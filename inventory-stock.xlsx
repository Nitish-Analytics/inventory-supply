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80617322aabdd18c/Desktop/excel/inventory-stock-analysis/"/>
    </mc:Choice>
  </mc:AlternateContent>
  <xr:revisionPtr revIDLastSave="0" documentId="13_ncr:1_{64AA8F9A-E962-4A6A-AA1F-9FDB3C27134B}" xr6:coauthVersionLast="47" xr6:coauthVersionMax="47" xr10:uidLastSave="{00000000-0000-0000-0000-000000000000}"/>
  <bookViews>
    <workbookView xWindow="-108" yWindow="-108" windowWidth="23256" windowHeight="12456" activeTab="2" xr2:uid="{00000000-000D-0000-FFFF-FFFF00000000}"/>
  </bookViews>
  <sheets>
    <sheet name="Raw_Data" sheetId="1" r:id="rId1"/>
    <sheet name="Analysis" sheetId="2" r:id="rId2"/>
    <sheet name="Dashboard" sheetId="3" r:id="rId3"/>
  </sheets>
  <definedNames>
    <definedName name="Slicer_Category">#N/A</definedName>
    <definedName name="Slicer_Inventory_Status">#N/A</definedName>
    <definedName name="Slicer_Region">#N/A</definedName>
    <definedName name="Slicer_Supplier">#N/A</definedName>
  </definedNames>
  <calcPr calcId="191029"/>
  <pivotCaches>
    <pivotCache cacheId="2" r:id="rId4"/>
    <pivotCache cacheId="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O100" i="2" l="1"/>
  <c r="O101" i="2"/>
  <c r="O102" i="2"/>
  <c r="O103" i="2"/>
  <c r="O99" i="2"/>
  <c r="O92" i="2"/>
  <c r="O93" i="2"/>
  <c r="O94" i="2"/>
  <c r="O95" i="2"/>
  <c r="O91" i="2"/>
  <c r="O85" i="2"/>
  <c r="O86" i="2"/>
  <c r="O87" i="2"/>
  <c r="O88" i="2"/>
  <c r="O84" i="2"/>
  <c r="S1501" i="1"/>
  <c r="S1500" i="1"/>
  <c r="S1499" i="1"/>
  <c r="S1498" i="1"/>
  <c r="S1497" i="1"/>
  <c r="S1496" i="1"/>
  <c r="S1495" i="1"/>
  <c r="S1494" i="1"/>
  <c r="S1493" i="1"/>
  <c r="S1492" i="1"/>
  <c r="S1491" i="1"/>
  <c r="S1490" i="1"/>
  <c r="S1489" i="1"/>
  <c r="S1488" i="1"/>
  <c r="S1487" i="1"/>
  <c r="S1486" i="1"/>
  <c r="S1485" i="1"/>
  <c r="S1484" i="1"/>
  <c r="S1483" i="1"/>
  <c r="S1482" i="1"/>
  <c r="S1481" i="1"/>
  <c r="S1480" i="1"/>
  <c r="S1479" i="1"/>
  <c r="S1478" i="1"/>
  <c r="S1477" i="1"/>
  <c r="S1476" i="1"/>
  <c r="S1475" i="1"/>
  <c r="S1474" i="1"/>
  <c r="S1473" i="1"/>
  <c r="S1472" i="1"/>
  <c r="S1471" i="1"/>
  <c r="S1470" i="1"/>
  <c r="S1469" i="1"/>
  <c r="S1468" i="1"/>
  <c r="S1467" i="1"/>
  <c r="S1466" i="1"/>
  <c r="S1465" i="1"/>
  <c r="S1464" i="1"/>
  <c r="S1463" i="1"/>
  <c r="S1462" i="1"/>
  <c r="S1461" i="1"/>
  <c r="S1460" i="1"/>
  <c r="S1459" i="1"/>
  <c r="S1458" i="1"/>
  <c r="S1457" i="1"/>
  <c r="S1456" i="1"/>
  <c r="S1455" i="1"/>
  <c r="S1454" i="1"/>
  <c r="S1453" i="1"/>
  <c r="S1452" i="1"/>
  <c r="S1451" i="1"/>
  <c r="S1450" i="1"/>
  <c r="S1449" i="1"/>
  <c r="S1448" i="1"/>
  <c r="S1447" i="1"/>
  <c r="S1446" i="1"/>
  <c r="S1445" i="1"/>
  <c r="S1444" i="1"/>
  <c r="S1443" i="1"/>
  <c r="S1442" i="1"/>
  <c r="S1441" i="1"/>
  <c r="S1440" i="1"/>
  <c r="S1439" i="1"/>
  <c r="S1438" i="1"/>
  <c r="S1437" i="1"/>
  <c r="S1436" i="1"/>
  <c r="S1435" i="1"/>
  <c r="S1434" i="1"/>
  <c r="S1433" i="1"/>
  <c r="S1432" i="1"/>
  <c r="S1431" i="1"/>
  <c r="S1430" i="1"/>
  <c r="S1429" i="1"/>
  <c r="S1428" i="1"/>
  <c r="S1427" i="1"/>
  <c r="S1426" i="1"/>
  <c r="S1425" i="1"/>
  <c r="S1424" i="1"/>
  <c r="S1423" i="1"/>
  <c r="S1422" i="1"/>
  <c r="S1421" i="1"/>
  <c r="S1420" i="1"/>
  <c r="S1419" i="1"/>
  <c r="S1418" i="1"/>
  <c r="S1417" i="1"/>
  <c r="S1416" i="1"/>
  <c r="S1415" i="1"/>
  <c r="S1414" i="1"/>
  <c r="S1413" i="1"/>
  <c r="S1412" i="1"/>
  <c r="S1411" i="1"/>
  <c r="S1410" i="1"/>
  <c r="S1409" i="1"/>
  <c r="S1408" i="1"/>
  <c r="S1407" i="1"/>
  <c r="S1406" i="1"/>
  <c r="S1405" i="1"/>
  <c r="S1404" i="1"/>
  <c r="S1403" i="1"/>
  <c r="S1402" i="1"/>
  <c r="S1401" i="1"/>
  <c r="S1400" i="1"/>
  <c r="S1399" i="1"/>
  <c r="S1398" i="1"/>
  <c r="S1397" i="1"/>
  <c r="S1396" i="1"/>
  <c r="S1395" i="1"/>
  <c r="S1394" i="1"/>
  <c r="S1393" i="1"/>
  <c r="S1392" i="1"/>
  <c r="S1391" i="1"/>
  <c r="S1390" i="1"/>
  <c r="S1389" i="1"/>
  <c r="S1388" i="1"/>
  <c r="S1387" i="1"/>
  <c r="S1386" i="1"/>
  <c r="S1385" i="1"/>
  <c r="S1384" i="1"/>
  <c r="S1383" i="1"/>
  <c r="S1382" i="1"/>
  <c r="S1381" i="1"/>
  <c r="S1380" i="1"/>
  <c r="S1379" i="1"/>
  <c r="S1378" i="1"/>
  <c r="S1377" i="1"/>
  <c r="S1376" i="1"/>
  <c r="S1375" i="1"/>
  <c r="S1374" i="1"/>
  <c r="S1373" i="1"/>
  <c r="S1372" i="1"/>
  <c r="S1371" i="1"/>
  <c r="S1370" i="1"/>
  <c r="S1369" i="1"/>
  <c r="S1368" i="1"/>
  <c r="S1367" i="1"/>
  <c r="S1366" i="1"/>
  <c r="S1365" i="1"/>
  <c r="S1364" i="1"/>
  <c r="S1363" i="1"/>
  <c r="S1362" i="1"/>
  <c r="S1361" i="1"/>
  <c r="S1360" i="1"/>
  <c r="S1359" i="1"/>
  <c r="S1358" i="1"/>
  <c r="S1357" i="1"/>
  <c r="S1356" i="1"/>
  <c r="S1355" i="1"/>
  <c r="S1354" i="1"/>
  <c r="S1353" i="1"/>
  <c r="S1352" i="1"/>
  <c r="S1351" i="1"/>
  <c r="S1350" i="1"/>
  <c r="S1349" i="1"/>
  <c r="S1348" i="1"/>
  <c r="S1347" i="1"/>
  <c r="S1346" i="1"/>
  <c r="S1345" i="1"/>
  <c r="S1344" i="1"/>
  <c r="S1343" i="1"/>
  <c r="S1342" i="1"/>
  <c r="S1341" i="1"/>
  <c r="S1340" i="1"/>
  <c r="S1339" i="1"/>
  <c r="S1338" i="1"/>
  <c r="S1337" i="1"/>
  <c r="S1336" i="1"/>
  <c r="S1335" i="1"/>
  <c r="S1334" i="1"/>
  <c r="S1333" i="1"/>
  <c r="S1332" i="1"/>
  <c r="S1331" i="1"/>
  <c r="S1330" i="1"/>
  <c r="S1329" i="1"/>
  <c r="S1328" i="1"/>
  <c r="S1327" i="1"/>
  <c r="S1326" i="1"/>
  <c r="S1325" i="1"/>
  <c r="S1324" i="1"/>
  <c r="S1323" i="1"/>
  <c r="S1322" i="1"/>
  <c r="S1321" i="1"/>
  <c r="S1320" i="1"/>
  <c r="S1319" i="1"/>
  <c r="S1318" i="1"/>
  <c r="S1317" i="1"/>
  <c r="S1316" i="1"/>
  <c r="S1315" i="1"/>
  <c r="S1314" i="1"/>
  <c r="S1313" i="1"/>
  <c r="S1312" i="1"/>
  <c r="S1311" i="1"/>
  <c r="S1310" i="1"/>
  <c r="S1309" i="1"/>
  <c r="S1308" i="1"/>
  <c r="S1307" i="1"/>
  <c r="S1306" i="1"/>
  <c r="S1305" i="1"/>
  <c r="S1304" i="1"/>
  <c r="S1303" i="1"/>
  <c r="S1302" i="1"/>
  <c r="S1301" i="1"/>
  <c r="S1300" i="1"/>
  <c r="S1299" i="1"/>
  <c r="S1298" i="1"/>
  <c r="S1297" i="1"/>
  <c r="S1296" i="1"/>
  <c r="S1295" i="1"/>
  <c r="S1294" i="1"/>
  <c r="S1293" i="1"/>
  <c r="S1292" i="1"/>
  <c r="S1291" i="1"/>
  <c r="S1290" i="1"/>
  <c r="S1289" i="1"/>
  <c r="S1288" i="1"/>
  <c r="S1287" i="1"/>
  <c r="S1286" i="1"/>
  <c r="S1285" i="1"/>
  <c r="S1284" i="1"/>
  <c r="S1283" i="1"/>
  <c r="S1282" i="1"/>
  <c r="S1281" i="1"/>
  <c r="S1280" i="1"/>
  <c r="S1279" i="1"/>
  <c r="S1278" i="1"/>
  <c r="S1277" i="1"/>
  <c r="S1276" i="1"/>
  <c r="S1275" i="1"/>
  <c r="S1274" i="1"/>
  <c r="S1273" i="1"/>
  <c r="S1272" i="1"/>
  <c r="S1271" i="1"/>
  <c r="S1270" i="1"/>
  <c r="S1269" i="1"/>
  <c r="S1268" i="1"/>
  <c r="S1267" i="1"/>
  <c r="S1266" i="1"/>
  <c r="S1265" i="1"/>
  <c r="S1264" i="1"/>
  <c r="S1263" i="1"/>
  <c r="S1262" i="1"/>
  <c r="S1261" i="1"/>
  <c r="S1260" i="1"/>
  <c r="S1259" i="1"/>
  <c r="S1258" i="1"/>
  <c r="S1257" i="1"/>
  <c r="S1256" i="1"/>
  <c r="S1255" i="1"/>
  <c r="S1254" i="1"/>
  <c r="S1253" i="1"/>
  <c r="S1252" i="1"/>
  <c r="S1251" i="1"/>
  <c r="S1250" i="1"/>
  <c r="S1249" i="1"/>
  <c r="S1248" i="1"/>
  <c r="S1247" i="1"/>
  <c r="S1246" i="1"/>
  <c r="S1245" i="1"/>
  <c r="S1244" i="1"/>
  <c r="S1243" i="1"/>
  <c r="S1242" i="1"/>
  <c r="S1241" i="1"/>
  <c r="S1240" i="1"/>
  <c r="S1239" i="1"/>
  <c r="S1238" i="1"/>
  <c r="S1237" i="1"/>
  <c r="S1236" i="1"/>
  <c r="S1235" i="1"/>
  <c r="S1234" i="1"/>
  <c r="S1233" i="1"/>
  <c r="S1232" i="1"/>
  <c r="S1231" i="1"/>
  <c r="S1230" i="1"/>
  <c r="S1229" i="1"/>
  <c r="S1228" i="1"/>
  <c r="S1227" i="1"/>
  <c r="S1226" i="1"/>
  <c r="S1225" i="1"/>
  <c r="S1224" i="1"/>
  <c r="S1223" i="1"/>
  <c r="S1222" i="1"/>
  <c r="S1221" i="1"/>
  <c r="S1220" i="1"/>
  <c r="S1219" i="1"/>
  <c r="S1218" i="1"/>
  <c r="S1217" i="1"/>
  <c r="S1216" i="1"/>
  <c r="S1215" i="1"/>
  <c r="S1214" i="1"/>
  <c r="S1213" i="1"/>
  <c r="S1212" i="1"/>
  <c r="S1211" i="1"/>
  <c r="S1210" i="1"/>
  <c r="S1209" i="1"/>
  <c r="S1208" i="1"/>
  <c r="S1207" i="1"/>
  <c r="S1206" i="1"/>
  <c r="S1205" i="1"/>
  <c r="S1204" i="1"/>
  <c r="S1203" i="1"/>
  <c r="S1202" i="1"/>
  <c r="S1201" i="1"/>
  <c r="S1200" i="1"/>
  <c r="S1199" i="1"/>
  <c r="S1198" i="1"/>
  <c r="S1197" i="1"/>
  <c r="S1196" i="1"/>
  <c r="S1195" i="1"/>
  <c r="S1194" i="1"/>
  <c r="S1193" i="1"/>
  <c r="S1192" i="1"/>
  <c r="S1191" i="1"/>
  <c r="S1190" i="1"/>
  <c r="S1189" i="1"/>
  <c r="S1188" i="1"/>
  <c r="S1187" i="1"/>
  <c r="S1186" i="1"/>
  <c r="S1185" i="1"/>
  <c r="S1184" i="1"/>
  <c r="S1183" i="1"/>
  <c r="S1182" i="1"/>
  <c r="S1181" i="1"/>
  <c r="S1180" i="1"/>
  <c r="S1179" i="1"/>
  <c r="S1178" i="1"/>
  <c r="S1177" i="1"/>
  <c r="S1176" i="1"/>
  <c r="S1175" i="1"/>
  <c r="S1174" i="1"/>
  <c r="S1173" i="1"/>
  <c r="S1172" i="1"/>
  <c r="S1171" i="1"/>
  <c r="S1170" i="1"/>
  <c r="S1169" i="1"/>
  <c r="S1168" i="1"/>
  <c r="S1167" i="1"/>
  <c r="S1166" i="1"/>
  <c r="S1165" i="1"/>
  <c r="S1164" i="1"/>
  <c r="S1163" i="1"/>
  <c r="S1162" i="1"/>
  <c r="S1161" i="1"/>
  <c r="S1160" i="1"/>
  <c r="S1159" i="1"/>
  <c r="S1158" i="1"/>
  <c r="S1157" i="1"/>
  <c r="S1156" i="1"/>
  <c r="S1155" i="1"/>
  <c r="S1154" i="1"/>
  <c r="S1153" i="1"/>
  <c r="S1152" i="1"/>
  <c r="S1151" i="1"/>
  <c r="S1150" i="1"/>
  <c r="S1149" i="1"/>
  <c r="S1148" i="1"/>
  <c r="S1147" i="1"/>
  <c r="S1146" i="1"/>
  <c r="S1145" i="1"/>
  <c r="S1144" i="1"/>
  <c r="S1143" i="1"/>
  <c r="S1142" i="1"/>
  <c r="S1141" i="1"/>
  <c r="S1140" i="1"/>
  <c r="S1139" i="1"/>
  <c r="S1138" i="1"/>
  <c r="S1137" i="1"/>
  <c r="S1136" i="1"/>
  <c r="S1135" i="1"/>
  <c r="S1134" i="1"/>
  <c r="S1133" i="1"/>
  <c r="S1132" i="1"/>
  <c r="S1131" i="1"/>
  <c r="S1130" i="1"/>
  <c r="S1129" i="1"/>
  <c r="S1128" i="1"/>
  <c r="S1127" i="1"/>
  <c r="S1126" i="1"/>
  <c r="S1125" i="1"/>
  <c r="S1124" i="1"/>
  <c r="S1123" i="1"/>
  <c r="S1122" i="1"/>
  <c r="S1121" i="1"/>
  <c r="S1120" i="1"/>
  <c r="S1119" i="1"/>
  <c r="S1118" i="1"/>
  <c r="S1117" i="1"/>
  <c r="S1116" i="1"/>
  <c r="S1115" i="1"/>
  <c r="S1114" i="1"/>
  <c r="S1113" i="1"/>
  <c r="S1112" i="1"/>
  <c r="S1111" i="1"/>
  <c r="S1110" i="1"/>
  <c r="S1109" i="1"/>
  <c r="S1108" i="1"/>
  <c r="S1107" i="1"/>
  <c r="S1106" i="1"/>
  <c r="S1105" i="1"/>
  <c r="S1104" i="1"/>
  <c r="S1103" i="1"/>
  <c r="S1102" i="1"/>
  <c r="S1101" i="1"/>
  <c r="S1100" i="1"/>
  <c r="S1099" i="1"/>
  <c r="S1098" i="1"/>
  <c r="S1097" i="1"/>
  <c r="S1096" i="1"/>
  <c r="S1095" i="1"/>
  <c r="S1094" i="1"/>
  <c r="S1093" i="1"/>
  <c r="S1092" i="1"/>
  <c r="S1091" i="1"/>
  <c r="S1090" i="1"/>
  <c r="S1089" i="1"/>
  <c r="S1088" i="1"/>
  <c r="S1087" i="1"/>
  <c r="S1086" i="1"/>
  <c r="S1085" i="1"/>
  <c r="S1084" i="1"/>
  <c r="S1083" i="1"/>
  <c r="S1082" i="1"/>
  <c r="S1081" i="1"/>
  <c r="S1080" i="1"/>
  <c r="S1079" i="1"/>
  <c r="S1078" i="1"/>
  <c r="S1077" i="1"/>
  <c r="S1076" i="1"/>
  <c r="S1075" i="1"/>
  <c r="S1074" i="1"/>
  <c r="S1073" i="1"/>
  <c r="S1072" i="1"/>
  <c r="S1071" i="1"/>
  <c r="S1070" i="1"/>
  <c r="S1069" i="1"/>
  <c r="S1068" i="1"/>
  <c r="S1067" i="1"/>
  <c r="S1066" i="1"/>
  <c r="S1065" i="1"/>
  <c r="S1064" i="1"/>
  <c r="S1063" i="1"/>
  <c r="S1062" i="1"/>
  <c r="S1061" i="1"/>
  <c r="S1060" i="1"/>
  <c r="S1059" i="1"/>
  <c r="S1058" i="1"/>
  <c r="S1057" i="1"/>
  <c r="S1056" i="1"/>
  <c r="S1055" i="1"/>
  <c r="S1054" i="1"/>
  <c r="S1053" i="1"/>
  <c r="S1052" i="1"/>
  <c r="S1051" i="1"/>
  <c r="S1050" i="1"/>
  <c r="S1049" i="1"/>
  <c r="S1048" i="1"/>
  <c r="S1047" i="1"/>
  <c r="S1046" i="1"/>
  <c r="S1045" i="1"/>
  <c r="S1044" i="1"/>
  <c r="S1043" i="1"/>
  <c r="S1042" i="1"/>
  <c r="S1041" i="1"/>
  <c r="S1040" i="1"/>
  <c r="S1039" i="1"/>
  <c r="S1038" i="1"/>
  <c r="S1037" i="1"/>
  <c r="S1036" i="1"/>
  <c r="S1035" i="1"/>
  <c r="S1034" i="1"/>
  <c r="S1033" i="1"/>
  <c r="S1032" i="1"/>
  <c r="S1031" i="1"/>
  <c r="S1030" i="1"/>
  <c r="S1029" i="1"/>
  <c r="S1028" i="1"/>
  <c r="S1027" i="1"/>
  <c r="S1026" i="1"/>
  <c r="S1025" i="1"/>
  <c r="S1024" i="1"/>
  <c r="S1023" i="1"/>
  <c r="S1022" i="1"/>
  <c r="S1021" i="1"/>
  <c r="S1020" i="1"/>
  <c r="S1019" i="1"/>
  <c r="S1018" i="1"/>
  <c r="S1017" i="1"/>
  <c r="S1016" i="1"/>
  <c r="S1015" i="1"/>
  <c r="S1014" i="1"/>
  <c r="S1013" i="1"/>
  <c r="S1012" i="1"/>
  <c r="S1011" i="1"/>
  <c r="S1010" i="1"/>
  <c r="S1009" i="1"/>
  <c r="S1008" i="1"/>
  <c r="S1007" i="1"/>
  <c r="S1006" i="1"/>
  <c r="S1005" i="1"/>
  <c r="S1004" i="1"/>
  <c r="S1003" i="1"/>
  <c r="S1002" i="1"/>
  <c r="S1001" i="1"/>
  <c r="S1000" i="1"/>
  <c r="S999" i="1"/>
  <c r="S998" i="1"/>
  <c r="S997" i="1"/>
  <c r="S996" i="1"/>
  <c r="S995" i="1"/>
  <c r="S994" i="1"/>
  <c r="S993" i="1"/>
  <c r="S992" i="1"/>
  <c r="S991" i="1"/>
  <c r="S990" i="1"/>
  <c r="S989" i="1"/>
  <c r="S988" i="1"/>
  <c r="S987" i="1"/>
  <c r="S986" i="1"/>
  <c r="S985" i="1"/>
  <c r="S984" i="1"/>
  <c r="S983" i="1"/>
  <c r="S982" i="1"/>
  <c r="S981" i="1"/>
  <c r="S980" i="1"/>
  <c r="S979" i="1"/>
  <c r="S978" i="1"/>
  <c r="S977" i="1"/>
  <c r="S976" i="1"/>
  <c r="S975" i="1"/>
  <c r="S974" i="1"/>
  <c r="S973" i="1"/>
  <c r="S972" i="1"/>
  <c r="S971" i="1"/>
  <c r="S970" i="1"/>
  <c r="S969" i="1"/>
  <c r="S968" i="1"/>
  <c r="S967" i="1"/>
  <c r="S966" i="1"/>
  <c r="S965" i="1"/>
  <c r="S964" i="1"/>
  <c r="S963" i="1"/>
  <c r="S962" i="1"/>
  <c r="S961" i="1"/>
  <c r="S960" i="1"/>
  <c r="S959" i="1"/>
  <c r="S958" i="1"/>
  <c r="S957" i="1"/>
  <c r="S956" i="1"/>
  <c r="S955" i="1"/>
  <c r="S954" i="1"/>
  <c r="S953" i="1"/>
  <c r="S952" i="1"/>
  <c r="S951" i="1"/>
  <c r="S950" i="1"/>
  <c r="S949" i="1"/>
  <c r="S948" i="1"/>
  <c r="S947" i="1"/>
  <c r="S946" i="1"/>
  <c r="S945" i="1"/>
  <c r="S944" i="1"/>
  <c r="S943" i="1"/>
  <c r="S942" i="1"/>
  <c r="S941" i="1"/>
  <c r="S940" i="1"/>
  <c r="S939" i="1"/>
  <c r="S938" i="1"/>
  <c r="S937" i="1"/>
  <c r="S936" i="1"/>
  <c r="S935" i="1"/>
  <c r="S934" i="1"/>
  <c r="S933" i="1"/>
  <c r="S932" i="1"/>
  <c r="S931" i="1"/>
  <c r="S930" i="1"/>
  <c r="S929" i="1"/>
  <c r="S928" i="1"/>
  <c r="S927" i="1"/>
  <c r="S926" i="1"/>
  <c r="S925" i="1"/>
  <c r="S924" i="1"/>
  <c r="S923" i="1"/>
  <c r="S922" i="1"/>
  <c r="S921" i="1"/>
  <c r="S920" i="1"/>
  <c r="S919" i="1"/>
  <c r="S918" i="1"/>
  <c r="S917" i="1"/>
  <c r="S916" i="1"/>
  <c r="S915" i="1"/>
  <c r="S914" i="1"/>
  <c r="S913" i="1"/>
  <c r="S912" i="1"/>
  <c r="S911" i="1"/>
  <c r="S910" i="1"/>
  <c r="S909" i="1"/>
  <c r="S908" i="1"/>
  <c r="S907" i="1"/>
  <c r="S906" i="1"/>
  <c r="S905" i="1"/>
  <c r="S904" i="1"/>
  <c r="S903" i="1"/>
  <c r="S902" i="1"/>
  <c r="S901" i="1"/>
  <c r="S900" i="1"/>
  <c r="S899" i="1"/>
  <c r="S898" i="1"/>
  <c r="S897" i="1"/>
  <c r="S896" i="1"/>
  <c r="S895" i="1"/>
  <c r="S894" i="1"/>
  <c r="S893" i="1"/>
  <c r="S892" i="1"/>
  <c r="S891" i="1"/>
  <c r="S890" i="1"/>
  <c r="S889" i="1"/>
  <c r="S888" i="1"/>
  <c r="S887" i="1"/>
  <c r="S886" i="1"/>
  <c r="S885" i="1"/>
  <c r="S884" i="1"/>
  <c r="S883" i="1"/>
  <c r="S882" i="1"/>
  <c r="S881" i="1"/>
  <c r="S880" i="1"/>
  <c r="S879" i="1"/>
  <c r="S878" i="1"/>
  <c r="S877" i="1"/>
  <c r="S876" i="1"/>
  <c r="S875" i="1"/>
  <c r="S874" i="1"/>
  <c r="S873" i="1"/>
  <c r="S872" i="1"/>
  <c r="S871" i="1"/>
  <c r="S870" i="1"/>
  <c r="S869" i="1"/>
  <c r="S868" i="1"/>
  <c r="S867" i="1"/>
  <c r="S866" i="1"/>
  <c r="S865" i="1"/>
  <c r="S864" i="1"/>
  <c r="S863" i="1"/>
  <c r="S862" i="1"/>
  <c r="S861" i="1"/>
  <c r="S860" i="1"/>
  <c r="S859" i="1"/>
  <c r="S858" i="1"/>
  <c r="S857" i="1"/>
  <c r="S856" i="1"/>
  <c r="S855" i="1"/>
  <c r="S854" i="1"/>
  <c r="S853" i="1"/>
  <c r="S852" i="1"/>
  <c r="S851" i="1"/>
  <c r="S850" i="1"/>
  <c r="S849" i="1"/>
  <c r="S848" i="1"/>
  <c r="S847" i="1"/>
  <c r="S846" i="1"/>
  <c r="S845" i="1"/>
  <c r="S844" i="1"/>
  <c r="S843" i="1"/>
  <c r="S842" i="1"/>
  <c r="S841" i="1"/>
  <c r="S840" i="1"/>
  <c r="S839" i="1"/>
  <c r="S838" i="1"/>
  <c r="S837" i="1"/>
  <c r="S836" i="1"/>
  <c r="S835" i="1"/>
  <c r="S834" i="1"/>
  <c r="S833" i="1"/>
  <c r="S832" i="1"/>
  <c r="S831" i="1"/>
  <c r="S830" i="1"/>
  <c r="S829" i="1"/>
  <c r="S828" i="1"/>
  <c r="S827" i="1"/>
  <c r="S826" i="1"/>
  <c r="S825" i="1"/>
  <c r="S824" i="1"/>
  <c r="S823" i="1"/>
  <c r="S822" i="1"/>
  <c r="S821" i="1"/>
  <c r="S820" i="1"/>
  <c r="S819" i="1"/>
  <c r="S818" i="1"/>
  <c r="S817" i="1"/>
  <c r="S816" i="1"/>
  <c r="S815" i="1"/>
  <c r="S814" i="1"/>
  <c r="S813" i="1"/>
  <c r="S812" i="1"/>
  <c r="S811" i="1"/>
  <c r="S810" i="1"/>
  <c r="S809" i="1"/>
  <c r="S808" i="1"/>
  <c r="S807" i="1"/>
  <c r="S806" i="1"/>
  <c r="S805" i="1"/>
  <c r="S804" i="1"/>
  <c r="S803" i="1"/>
  <c r="S802" i="1"/>
  <c r="S801" i="1"/>
  <c r="S800" i="1"/>
  <c r="S799" i="1"/>
  <c r="S798" i="1"/>
  <c r="S797" i="1"/>
  <c r="S796" i="1"/>
  <c r="S795" i="1"/>
  <c r="S794" i="1"/>
  <c r="S793" i="1"/>
  <c r="S792" i="1"/>
  <c r="S791" i="1"/>
  <c r="S790" i="1"/>
  <c r="S789" i="1"/>
  <c r="S788" i="1"/>
  <c r="S787" i="1"/>
  <c r="S786" i="1"/>
  <c r="S785" i="1"/>
  <c r="S784" i="1"/>
  <c r="S783" i="1"/>
  <c r="S782" i="1"/>
  <c r="S781" i="1"/>
  <c r="S780" i="1"/>
  <c r="S779" i="1"/>
  <c r="S778" i="1"/>
  <c r="S777" i="1"/>
  <c r="S776" i="1"/>
  <c r="S775" i="1"/>
  <c r="S774" i="1"/>
  <c r="S773" i="1"/>
  <c r="S772" i="1"/>
  <c r="S771" i="1"/>
  <c r="S770" i="1"/>
  <c r="S769" i="1"/>
  <c r="S768" i="1"/>
  <c r="S767" i="1"/>
  <c r="S766" i="1"/>
  <c r="S765" i="1"/>
  <c r="S764" i="1"/>
  <c r="S763" i="1"/>
  <c r="S762" i="1"/>
  <c r="S761" i="1"/>
  <c r="S760" i="1"/>
  <c r="S759" i="1"/>
  <c r="S758" i="1"/>
  <c r="S757" i="1"/>
  <c r="S756" i="1"/>
  <c r="S755" i="1"/>
  <c r="S754" i="1"/>
  <c r="S753" i="1"/>
  <c r="S752" i="1"/>
  <c r="S751" i="1"/>
  <c r="S750" i="1"/>
  <c r="S749" i="1"/>
  <c r="S748" i="1"/>
  <c r="S747" i="1"/>
  <c r="S746" i="1"/>
  <c r="S745" i="1"/>
  <c r="S744" i="1"/>
  <c r="S743" i="1"/>
  <c r="S742" i="1"/>
  <c r="S741" i="1"/>
  <c r="S740" i="1"/>
  <c r="S739" i="1"/>
  <c r="S738" i="1"/>
  <c r="S737" i="1"/>
  <c r="S736" i="1"/>
  <c r="S735" i="1"/>
  <c r="S734" i="1"/>
  <c r="S733" i="1"/>
  <c r="S732" i="1"/>
  <c r="S731" i="1"/>
  <c r="S730" i="1"/>
  <c r="S729" i="1"/>
  <c r="S728" i="1"/>
  <c r="S727" i="1"/>
  <c r="S726" i="1"/>
  <c r="S725" i="1"/>
  <c r="S724" i="1"/>
  <c r="S723" i="1"/>
  <c r="S722" i="1"/>
  <c r="S721" i="1"/>
  <c r="S720" i="1"/>
  <c r="S719" i="1"/>
  <c r="S718" i="1"/>
  <c r="S717" i="1"/>
  <c r="S716" i="1"/>
  <c r="S715" i="1"/>
  <c r="S714" i="1"/>
  <c r="S713" i="1"/>
  <c r="S712" i="1"/>
  <c r="S711" i="1"/>
  <c r="S710" i="1"/>
  <c r="S709" i="1"/>
  <c r="S708" i="1"/>
  <c r="S707" i="1"/>
  <c r="S706" i="1"/>
  <c r="S705" i="1"/>
  <c r="S704" i="1"/>
  <c r="S703" i="1"/>
  <c r="S702" i="1"/>
  <c r="S701" i="1"/>
  <c r="S700" i="1"/>
  <c r="S699" i="1"/>
  <c r="S698" i="1"/>
  <c r="S697" i="1"/>
  <c r="S696" i="1"/>
  <c r="S695" i="1"/>
  <c r="S694" i="1"/>
  <c r="S693" i="1"/>
  <c r="S692" i="1"/>
  <c r="S691" i="1"/>
  <c r="S690" i="1"/>
  <c r="S689" i="1"/>
  <c r="S688" i="1"/>
  <c r="S687" i="1"/>
  <c r="S686" i="1"/>
  <c r="S685" i="1"/>
  <c r="S684" i="1"/>
  <c r="S683" i="1"/>
  <c r="S682" i="1"/>
  <c r="S681" i="1"/>
  <c r="S680" i="1"/>
  <c r="S679" i="1"/>
  <c r="S678" i="1"/>
  <c r="S677" i="1"/>
  <c r="S676" i="1"/>
  <c r="S675" i="1"/>
  <c r="S674" i="1"/>
  <c r="S673" i="1"/>
  <c r="S672" i="1"/>
  <c r="S671" i="1"/>
  <c r="S670" i="1"/>
  <c r="S669" i="1"/>
  <c r="S668" i="1"/>
  <c r="S667" i="1"/>
  <c r="S666" i="1"/>
  <c r="S665" i="1"/>
  <c r="S664" i="1"/>
  <c r="S663" i="1"/>
  <c r="S662" i="1"/>
  <c r="S661" i="1"/>
  <c r="S660" i="1"/>
  <c r="S659" i="1"/>
  <c r="S658" i="1"/>
  <c r="S657" i="1"/>
  <c r="S656" i="1"/>
  <c r="S655" i="1"/>
  <c r="S654" i="1"/>
  <c r="S653" i="1"/>
  <c r="S652" i="1"/>
  <c r="S651" i="1"/>
  <c r="S650" i="1"/>
  <c r="S649" i="1"/>
  <c r="S648" i="1"/>
  <c r="S647" i="1"/>
  <c r="S646" i="1"/>
  <c r="S645" i="1"/>
  <c r="S644" i="1"/>
  <c r="S643" i="1"/>
  <c r="S642" i="1"/>
  <c r="S641" i="1"/>
  <c r="S640" i="1"/>
  <c r="S639" i="1"/>
  <c r="S638" i="1"/>
  <c r="S637" i="1"/>
  <c r="S636" i="1"/>
  <c r="S635" i="1"/>
  <c r="S634" i="1"/>
  <c r="S633" i="1"/>
  <c r="S632" i="1"/>
  <c r="S631" i="1"/>
  <c r="S630" i="1"/>
  <c r="S629" i="1"/>
  <c r="S628" i="1"/>
  <c r="S627" i="1"/>
  <c r="S626" i="1"/>
  <c r="S625" i="1"/>
  <c r="S624" i="1"/>
  <c r="S623" i="1"/>
  <c r="S622" i="1"/>
  <c r="S621" i="1"/>
  <c r="S620" i="1"/>
  <c r="S619" i="1"/>
  <c r="S618" i="1"/>
  <c r="S617" i="1"/>
  <c r="S616" i="1"/>
  <c r="S615" i="1"/>
  <c r="S614" i="1"/>
  <c r="S613" i="1"/>
  <c r="S612" i="1"/>
  <c r="S611" i="1"/>
  <c r="S610" i="1"/>
  <c r="S609" i="1"/>
  <c r="S608" i="1"/>
  <c r="S607" i="1"/>
  <c r="S606" i="1"/>
  <c r="S605" i="1"/>
  <c r="S604" i="1"/>
  <c r="S603" i="1"/>
  <c r="S602" i="1"/>
  <c r="S601" i="1"/>
  <c r="S600" i="1"/>
  <c r="S599" i="1"/>
  <c r="S598" i="1"/>
  <c r="S597" i="1"/>
  <c r="S596" i="1"/>
  <c r="S595" i="1"/>
  <c r="S594" i="1"/>
  <c r="S593" i="1"/>
  <c r="S592" i="1"/>
  <c r="S591" i="1"/>
  <c r="S590" i="1"/>
  <c r="S589" i="1"/>
  <c r="S588" i="1"/>
  <c r="S587" i="1"/>
  <c r="S586" i="1"/>
  <c r="S585" i="1"/>
  <c r="S584" i="1"/>
  <c r="S583" i="1"/>
  <c r="S582" i="1"/>
  <c r="S581" i="1"/>
  <c r="S580" i="1"/>
  <c r="S579" i="1"/>
  <c r="S578" i="1"/>
  <c r="S577" i="1"/>
  <c r="S576" i="1"/>
  <c r="S575" i="1"/>
  <c r="S574" i="1"/>
  <c r="S573" i="1"/>
  <c r="S572" i="1"/>
  <c r="S571" i="1"/>
  <c r="S570" i="1"/>
  <c r="S569" i="1"/>
  <c r="S568" i="1"/>
  <c r="S567" i="1"/>
  <c r="S566" i="1"/>
  <c r="S565" i="1"/>
  <c r="S564" i="1"/>
  <c r="S563" i="1"/>
  <c r="S562" i="1"/>
  <c r="S561" i="1"/>
  <c r="S560" i="1"/>
  <c r="S559" i="1"/>
  <c r="S558" i="1"/>
  <c r="S557" i="1"/>
  <c r="S556" i="1"/>
  <c r="S555" i="1"/>
  <c r="S554" i="1"/>
  <c r="S553" i="1"/>
  <c r="S552" i="1"/>
  <c r="S551" i="1"/>
  <c r="S550" i="1"/>
  <c r="S549" i="1"/>
  <c r="S548" i="1"/>
  <c r="S547" i="1"/>
  <c r="S546" i="1"/>
  <c r="S545" i="1"/>
  <c r="S544" i="1"/>
  <c r="S543" i="1"/>
  <c r="S542" i="1"/>
  <c r="S541" i="1"/>
  <c r="S540" i="1"/>
  <c r="S539" i="1"/>
  <c r="S538" i="1"/>
  <c r="S537" i="1"/>
  <c r="S536" i="1"/>
  <c r="S535" i="1"/>
  <c r="S534" i="1"/>
  <c r="S533" i="1"/>
  <c r="S532" i="1"/>
  <c r="S531" i="1"/>
  <c r="S530" i="1"/>
  <c r="S529" i="1"/>
  <c r="S528" i="1"/>
  <c r="S527" i="1"/>
  <c r="S526" i="1"/>
  <c r="S525" i="1"/>
  <c r="S524" i="1"/>
  <c r="S523" i="1"/>
  <c r="S522" i="1"/>
  <c r="S521" i="1"/>
  <c r="S520" i="1"/>
  <c r="S519" i="1"/>
  <c r="S518" i="1"/>
  <c r="S517" i="1"/>
  <c r="S516" i="1"/>
  <c r="S515" i="1"/>
  <c r="S514" i="1"/>
  <c r="S513" i="1"/>
  <c r="S512" i="1"/>
  <c r="S511" i="1"/>
  <c r="S510" i="1"/>
  <c r="S509" i="1"/>
  <c r="S508" i="1"/>
  <c r="S507" i="1"/>
  <c r="S506" i="1"/>
  <c r="S505" i="1"/>
  <c r="S504" i="1"/>
  <c r="S503" i="1"/>
  <c r="S502" i="1"/>
  <c r="S501" i="1"/>
  <c r="S500" i="1"/>
  <c r="S499" i="1"/>
  <c r="S498" i="1"/>
  <c r="S497" i="1"/>
  <c r="S496" i="1"/>
  <c r="S495" i="1"/>
  <c r="S494" i="1"/>
  <c r="S493" i="1"/>
  <c r="S492" i="1"/>
  <c r="S491" i="1"/>
  <c r="S490" i="1"/>
  <c r="S489" i="1"/>
  <c r="S488" i="1"/>
  <c r="S487" i="1"/>
  <c r="S486" i="1"/>
  <c r="S485" i="1"/>
  <c r="S484" i="1"/>
  <c r="S483" i="1"/>
  <c r="S482" i="1"/>
  <c r="S481" i="1"/>
  <c r="S480" i="1"/>
  <c r="S479" i="1"/>
  <c r="S478" i="1"/>
  <c r="S477" i="1"/>
  <c r="S476" i="1"/>
  <c r="S475" i="1"/>
  <c r="S474" i="1"/>
  <c r="S473" i="1"/>
  <c r="S472" i="1"/>
  <c r="S471" i="1"/>
  <c r="S470" i="1"/>
  <c r="S469" i="1"/>
  <c r="S468" i="1"/>
  <c r="S467" i="1"/>
  <c r="S466" i="1"/>
  <c r="S465" i="1"/>
  <c r="S464" i="1"/>
  <c r="S463" i="1"/>
  <c r="S462" i="1"/>
  <c r="S461" i="1"/>
  <c r="S460" i="1"/>
  <c r="S459" i="1"/>
  <c r="S458" i="1"/>
  <c r="S457" i="1"/>
  <c r="S456" i="1"/>
  <c r="S455" i="1"/>
  <c r="S454" i="1"/>
  <c r="S453" i="1"/>
  <c r="S452" i="1"/>
  <c r="S451" i="1"/>
  <c r="S450" i="1"/>
  <c r="S449" i="1"/>
  <c r="S448" i="1"/>
  <c r="S447" i="1"/>
  <c r="S446" i="1"/>
  <c r="S445" i="1"/>
  <c r="S444" i="1"/>
  <c r="S443" i="1"/>
  <c r="S442" i="1"/>
  <c r="S441" i="1"/>
  <c r="S440" i="1"/>
  <c r="S439" i="1"/>
  <c r="S438" i="1"/>
  <c r="S437" i="1"/>
  <c r="S436" i="1"/>
  <c r="S435" i="1"/>
  <c r="S434" i="1"/>
  <c r="S433" i="1"/>
  <c r="S432" i="1"/>
  <c r="S431" i="1"/>
  <c r="S430" i="1"/>
  <c r="S429" i="1"/>
  <c r="S428" i="1"/>
  <c r="S427" i="1"/>
  <c r="S426" i="1"/>
  <c r="S425" i="1"/>
  <c r="S424" i="1"/>
  <c r="S423" i="1"/>
  <c r="S422" i="1"/>
  <c r="S421" i="1"/>
  <c r="S420" i="1"/>
  <c r="S419" i="1"/>
  <c r="S418" i="1"/>
  <c r="S417" i="1"/>
  <c r="S416" i="1"/>
  <c r="S415" i="1"/>
  <c r="S414" i="1"/>
  <c r="S413" i="1"/>
  <c r="S412" i="1"/>
  <c r="S411" i="1"/>
  <c r="S410" i="1"/>
  <c r="S409" i="1"/>
  <c r="S408" i="1"/>
  <c r="S407" i="1"/>
  <c r="S406" i="1"/>
  <c r="S405" i="1"/>
  <c r="S404" i="1"/>
  <c r="S403" i="1"/>
  <c r="S402" i="1"/>
  <c r="S401" i="1"/>
  <c r="S400" i="1"/>
  <c r="S399" i="1"/>
  <c r="S398" i="1"/>
  <c r="S397" i="1"/>
  <c r="S396" i="1"/>
  <c r="S395" i="1"/>
  <c r="S394" i="1"/>
  <c r="S393" i="1"/>
  <c r="S392" i="1"/>
  <c r="S391" i="1"/>
  <c r="S390" i="1"/>
  <c r="S389" i="1"/>
  <c r="S388" i="1"/>
  <c r="S387" i="1"/>
  <c r="S386" i="1"/>
  <c r="S385" i="1"/>
  <c r="S384" i="1"/>
  <c r="S383" i="1"/>
  <c r="S382" i="1"/>
  <c r="S381" i="1"/>
  <c r="S380" i="1"/>
  <c r="S379" i="1"/>
  <c r="S378" i="1"/>
  <c r="S377" i="1"/>
  <c r="S376" i="1"/>
  <c r="S375" i="1"/>
  <c r="S374" i="1"/>
  <c r="S373" i="1"/>
  <c r="S372" i="1"/>
  <c r="S371" i="1"/>
  <c r="S370" i="1"/>
  <c r="S369" i="1"/>
  <c r="S368" i="1"/>
  <c r="S367" i="1"/>
  <c r="S366" i="1"/>
  <c r="S365" i="1"/>
  <c r="S364" i="1"/>
  <c r="S363" i="1"/>
  <c r="S362" i="1"/>
  <c r="S361" i="1"/>
  <c r="S360" i="1"/>
  <c r="S359" i="1"/>
  <c r="S358" i="1"/>
  <c r="S357" i="1"/>
  <c r="S356" i="1"/>
  <c r="S355" i="1"/>
  <c r="S354" i="1"/>
  <c r="S353" i="1"/>
  <c r="S352" i="1"/>
  <c r="S351" i="1"/>
  <c r="S350" i="1"/>
  <c r="S349" i="1"/>
  <c r="S348" i="1"/>
  <c r="S347" i="1"/>
  <c r="S346" i="1"/>
  <c r="S345" i="1"/>
  <c r="S344" i="1"/>
  <c r="S343" i="1"/>
  <c r="S342" i="1"/>
  <c r="S341" i="1"/>
  <c r="S340" i="1"/>
  <c r="S339" i="1"/>
  <c r="S338" i="1"/>
  <c r="S337" i="1"/>
  <c r="S336" i="1"/>
  <c r="S335" i="1"/>
  <c r="S334" i="1"/>
  <c r="S333" i="1"/>
  <c r="S332" i="1"/>
  <c r="S331" i="1"/>
  <c r="S330" i="1"/>
  <c r="S329" i="1"/>
  <c r="S328" i="1"/>
  <c r="S327" i="1"/>
  <c r="S326" i="1"/>
  <c r="S325" i="1"/>
  <c r="S324" i="1"/>
  <c r="S323" i="1"/>
  <c r="S322" i="1"/>
  <c r="S321" i="1"/>
  <c r="S320" i="1"/>
  <c r="S319" i="1"/>
  <c r="S318" i="1"/>
  <c r="S317" i="1"/>
  <c r="S316" i="1"/>
  <c r="S315" i="1"/>
  <c r="S314" i="1"/>
  <c r="S313" i="1"/>
  <c r="S312" i="1"/>
  <c r="S311" i="1"/>
  <c r="S310" i="1"/>
  <c r="S309" i="1"/>
  <c r="S308" i="1"/>
  <c r="S307" i="1"/>
  <c r="S306" i="1"/>
  <c r="S305" i="1"/>
  <c r="S304" i="1"/>
  <c r="S303" i="1"/>
  <c r="S302" i="1"/>
  <c r="S301" i="1"/>
  <c r="S300" i="1"/>
  <c r="S299" i="1"/>
  <c r="S298" i="1"/>
  <c r="S297" i="1"/>
  <c r="S296" i="1"/>
  <c r="S295" i="1"/>
  <c r="S294" i="1"/>
  <c r="S293" i="1"/>
  <c r="S292" i="1"/>
  <c r="S291" i="1"/>
  <c r="S290" i="1"/>
  <c r="S289" i="1"/>
  <c r="S288" i="1"/>
  <c r="S287" i="1"/>
  <c r="S286" i="1"/>
  <c r="S285" i="1"/>
  <c r="S284" i="1"/>
  <c r="S283" i="1"/>
  <c r="S282" i="1"/>
  <c r="S281" i="1"/>
  <c r="S280" i="1"/>
  <c r="S279" i="1"/>
  <c r="S278" i="1"/>
  <c r="S277" i="1"/>
  <c r="S276" i="1"/>
  <c r="S275" i="1"/>
  <c r="S274" i="1"/>
  <c r="S273" i="1"/>
  <c r="S272" i="1"/>
  <c r="S271" i="1"/>
  <c r="S270" i="1"/>
  <c r="S269" i="1"/>
  <c r="S268" i="1"/>
  <c r="S267" i="1"/>
  <c r="S266" i="1"/>
  <c r="S265" i="1"/>
  <c r="S264" i="1"/>
  <c r="S263" i="1"/>
  <c r="S262" i="1"/>
  <c r="S261" i="1"/>
  <c r="S260" i="1"/>
  <c r="S259" i="1"/>
  <c r="S258" i="1"/>
  <c r="S257" i="1"/>
  <c r="S256" i="1"/>
  <c r="S255" i="1"/>
  <c r="S254" i="1"/>
  <c r="S253" i="1"/>
  <c r="S252" i="1"/>
  <c r="S251" i="1"/>
  <c r="S250" i="1"/>
  <c r="S249" i="1"/>
  <c r="S248" i="1"/>
  <c r="S247" i="1"/>
  <c r="S246" i="1"/>
  <c r="S245" i="1"/>
  <c r="S244" i="1"/>
  <c r="S243" i="1"/>
  <c r="S242" i="1"/>
  <c r="S241" i="1"/>
  <c r="S240" i="1"/>
  <c r="S239" i="1"/>
  <c r="S238" i="1"/>
  <c r="S237" i="1"/>
  <c r="S236" i="1"/>
  <c r="S235" i="1"/>
  <c r="S234" i="1"/>
  <c r="S233" i="1"/>
  <c r="S232" i="1"/>
  <c r="S231" i="1"/>
  <c r="S230" i="1"/>
  <c r="S229" i="1"/>
  <c r="S228" i="1"/>
  <c r="S227" i="1"/>
  <c r="S226" i="1"/>
  <c r="S225" i="1"/>
  <c r="S224" i="1"/>
  <c r="S223" i="1"/>
  <c r="S222" i="1"/>
  <c r="S221" i="1"/>
  <c r="S220" i="1"/>
  <c r="S219" i="1"/>
  <c r="S218" i="1"/>
  <c r="S217" i="1"/>
  <c r="S216" i="1"/>
  <c r="S215" i="1"/>
  <c r="S214" i="1"/>
  <c r="S213" i="1"/>
  <c r="S212" i="1"/>
  <c r="S211" i="1"/>
  <c r="S210" i="1"/>
  <c r="S209" i="1"/>
  <c r="S208" i="1"/>
  <c r="S207" i="1"/>
  <c r="S206" i="1"/>
  <c r="S205" i="1"/>
  <c r="S204" i="1"/>
  <c r="S203" i="1"/>
  <c r="S202" i="1"/>
  <c r="S201" i="1"/>
  <c r="S200" i="1"/>
  <c r="S199" i="1"/>
  <c r="S198" i="1"/>
  <c r="S197" i="1"/>
  <c r="S196" i="1"/>
  <c r="S195" i="1"/>
  <c r="S194" i="1"/>
  <c r="S193" i="1"/>
  <c r="S192" i="1"/>
  <c r="S191" i="1"/>
  <c r="S190" i="1"/>
  <c r="S189" i="1"/>
  <c r="S188" i="1"/>
  <c r="S187" i="1"/>
  <c r="S186" i="1"/>
  <c r="S185" i="1"/>
  <c r="S184" i="1"/>
  <c r="S183" i="1"/>
  <c r="S182" i="1"/>
  <c r="S181"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S3" i="1"/>
  <c r="S2" i="1"/>
  <c r="M43" i="2"/>
  <c r="M15" i="2"/>
  <c r="G122" i="2"/>
  <c r="J6" i="2"/>
  <c r="J8" i="2"/>
  <c r="M42" i="2"/>
  <c r="M14" i="2"/>
  <c r="G123" i="2"/>
  <c r="J5" i="2"/>
  <c r="J7" i="2"/>
  <c r="M41" i="2"/>
  <c r="M13" i="2"/>
  <c r="G124" i="2"/>
  <c r="N13" i="2"/>
  <c r="M40" i="2"/>
  <c r="M12" i="2"/>
  <c r="G125" i="2"/>
  <c r="N14" i="2"/>
  <c r="N12" i="2"/>
  <c r="N15" i="2"/>
  <c r="G126" i="2"/>
  <c r="J9" i="2"/>
  <c r="D3" i="3"/>
  <c r="E3" i="3"/>
  <c r="F3" i="3"/>
  <c r="B9" i="2"/>
  <c r="A3" i="3"/>
  <c r="B11" i="2"/>
  <c r="B19" i="2"/>
  <c r="B10" i="2"/>
  <c r="M55" i="2"/>
  <c r="M57" i="2"/>
  <c r="M56" i="2"/>
  <c r="M54" i="2"/>
  <c r="C3" i="3" l="1"/>
  <c r="B3" i="3"/>
</calcChain>
</file>

<file path=xl/sharedStrings.xml><?xml version="1.0" encoding="utf-8"?>
<sst xmlns="http://schemas.openxmlformats.org/spreadsheetml/2006/main" count="13908" uniqueCount="1612">
  <si>
    <t>Order ID</t>
  </si>
  <si>
    <t>Order Date</t>
  </si>
  <si>
    <t>Product</t>
  </si>
  <si>
    <t>Category</t>
  </si>
  <si>
    <t>Supplier</t>
  </si>
  <si>
    <t>Warehouse</t>
  </si>
  <si>
    <t>Region</t>
  </si>
  <si>
    <t>Opening Stock</t>
  </si>
  <si>
    <t>Units Received</t>
  </si>
  <si>
    <t>Units Sold</t>
  </si>
  <si>
    <t>Closing Stock</t>
  </si>
  <si>
    <t>Reorder Level</t>
  </si>
  <si>
    <t>Unit Cost</t>
  </si>
  <si>
    <t>Lead Time Days</t>
  </si>
  <si>
    <t>Stockout Days</t>
  </si>
  <si>
    <t>Supplier Delivery Status</t>
  </si>
  <si>
    <t>Inventory Status</t>
  </si>
  <si>
    <t>Order Status</t>
  </si>
  <si>
    <t>ORD00001</t>
  </si>
  <si>
    <t>Bluetooth Speaker</t>
  </si>
  <si>
    <t>Electronics</t>
  </si>
  <si>
    <t>UrbanSupply</t>
  </si>
  <si>
    <t>Mumbai</t>
  </si>
  <si>
    <t>West</t>
  </si>
  <si>
    <t>Late</t>
  </si>
  <si>
    <t>Low Stock</t>
  </si>
  <si>
    <t>Delivered</t>
  </si>
  <si>
    <t>ORD00002</t>
  </si>
  <si>
    <t>Hoodie</t>
  </si>
  <si>
    <t>Fashion</t>
  </si>
  <si>
    <t>DirectWholesale</t>
  </si>
  <si>
    <t>Bangalore</t>
  </si>
  <si>
    <t>South</t>
  </si>
  <si>
    <t>On Time</t>
  </si>
  <si>
    <t>Healthy</t>
  </si>
  <si>
    <t>ORD00003</t>
  </si>
  <si>
    <t>Sneakers</t>
  </si>
  <si>
    <t>Delhi</t>
  </si>
  <si>
    <t>North</t>
  </si>
  <si>
    <t>ORD00004</t>
  </si>
  <si>
    <t>Wireless Mouse</t>
  </si>
  <si>
    <t>ORD00005</t>
  </si>
  <si>
    <t>PrimeGoods</t>
  </si>
  <si>
    <t>Cancelled</t>
  </si>
  <si>
    <t>ORD00006</t>
  </si>
  <si>
    <t>Storage Box</t>
  </si>
  <si>
    <t>Home</t>
  </si>
  <si>
    <t>Overstock</t>
  </si>
  <si>
    <t>ORD00007</t>
  </si>
  <si>
    <t>Football</t>
  </si>
  <si>
    <t>Sports</t>
  </si>
  <si>
    <t>ORD00008</t>
  </si>
  <si>
    <t>Sunscreen</t>
  </si>
  <si>
    <t>Beauty</t>
  </si>
  <si>
    <t>ORD00009</t>
  </si>
  <si>
    <t>Yoga Mat</t>
  </si>
  <si>
    <t>ORD00010</t>
  </si>
  <si>
    <t>Running Shoes</t>
  </si>
  <si>
    <t>GlobalMart</t>
  </si>
  <si>
    <t>Pending</t>
  </si>
  <si>
    <t>ORD00011</t>
  </si>
  <si>
    <t>ORD00012</t>
  </si>
  <si>
    <t>T-Shirt</t>
  </si>
  <si>
    <t>ORD00013</t>
  </si>
  <si>
    <t>ORD00014</t>
  </si>
  <si>
    <t>ORD00015</t>
  </si>
  <si>
    <t>ORD00016</t>
  </si>
  <si>
    <t>ORD00017</t>
  </si>
  <si>
    <t>Moisturizer</t>
  </si>
  <si>
    <t>ORD00018</t>
  </si>
  <si>
    <t>ORD00019</t>
  </si>
  <si>
    <t>ORD00020</t>
  </si>
  <si>
    <t>Cricket Bat</t>
  </si>
  <si>
    <t>ORD00021</t>
  </si>
  <si>
    <t>ORD00022</t>
  </si>
  <si>
    <t>TechSource</t>
  </si>
  <si>
    <t>ORD00023</t>
  </si>
  <si>
    <t>Shampoo</t>
  </si>
  <si>
    <t>ORD00024</t>
  </si>
  <si>
    <t>ORD00025</t>
  </si>
  <si>
    <t>Desk Lamp</t>
  </si>
  <si>
    <t>Returned</t>
  </si>
  <si>
    <t>ORD00026</t>
  </si>
  <si>
    <t>Jeans</t>
  </si>
  <si>
    <t>ORD00027</t>
  </si>
  <si>
    <t>ORD00028</t>
  </si>
  <si>
    <t>ORD00029</t>
  </si>
  <si>
    <t>Face Wash</t>
  </si>
  <si>
    <t>ORD00030</t>
  </si>
  <si>
    <t>USB-C Hub</t>
  </si>
  <si>
    <t>ORD00031</t>
  </si>
  <si>
    <t>ORD00032</t>
  </si>
  <si>
    <t>ORD00033</t>
  </si>
  <si>
    <t>ORD00034</t>
  </si>
  <si>
    <t>ORD00035</t>
  </si>
  <si>
    <t>ORD00036</t>
  </si>
  <si>
    <t>ORD00037</t>
  </si>
  <si>
    <t>ORD00038</t>
  </si>
  <si>
    <t>Keyboard</t>
  </si>
  <si>
    <t>ORD00039</t>
  </si>
  <si>
    <t>ORD00040</t>
  </si>
  <si>
    <t>ORD00041</t>
  </si>
  <si>
    <t>ORD00042</t>
  </si>
  <si>
    <t>ORD00043</t>
  </si>
  <si>
    <t>ORD00044</t>
  </si>
  <si>
    <t>ORD00045</t>
  </si>
  <si>
    <t>ORD00046</t>
  </si>
  <si>
    <t>ORD00047</t>
  </si>
  <si>
    <t>ORD00048</t>
  </si>
  <si>
    <t>Coffee Maker</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</si>
  <si>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</si>
  <si>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</si>
  <si>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</si>
  <si>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</si>
  <si>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</si>
  <si>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</si>
  <si>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</si>
  <si>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</si>
  <si>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</si>
  <si>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</si>
  <si>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</si>
  <si>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</si>
  <si>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</si>
  <si>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</si>
  <si>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</si>
  <si>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</si>
  <si>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</si>
  <si>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</si>
  <si>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</si>
  <si>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</si>
  <si>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</si>
  <si>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</si>
  <si>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</si>
  <si>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</si>
  <si>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</si>
  <si>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</si>
  <si>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</si>
  <si>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</si>
  <si>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</si>
  <si>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</si>
  <si>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</si>
  <si>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</si>
  <si>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</si>
  <si>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</si>
  <si>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</si>
  <si>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</si>
  <si>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Bedsheet Set</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</si>
  <si>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</si>
  <si>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</si>
  <si>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</si>
  <si>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</si>
  <si>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</si>
  <si>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</si>
  <si>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</si>
  <si>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</si>
  <si>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</si>
  <si>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</si>
  <si>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</si>
  <si>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</si>
  <si>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</si>
  <si>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</si>
  <si>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</si>
  <si>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</si>
  <si>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</si>
  <si>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</si>
  <si>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</si>
  <si>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</si>
  <si>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</si>
  <si>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</si>
  <si>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</si>
  <si>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</si>
  <si>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</si>
  <si>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</si>
  <si>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</si>
  <si>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</si>
  <si>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</si>
  <si>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</si>
  <si>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</si>
  <si>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</si>
  <si>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</si>
  <si>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</si>
  <si>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</si>
  <si>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</si>
  <si>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</si>
  <si>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</si>
  <si>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</si>
  <si>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</si>
  <si>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</si>
  <si>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</si>
  <si>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</si>
  <si>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</si>
  <si>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</si>
  <si>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</si>
  <si>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</si>
  <si>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</si>
  <si>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</si>
  <si>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</si>
  <si>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</si>
  <si>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</si>
  <si>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</si>
  <si>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</si>
  <si>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</si>
  <si>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</si>
  <si>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</si>
  <si>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</si>
  <si>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</si>
  <si>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</si>
  <si>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</si>
  <si>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</si>
  <si>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</si>
  <si>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</si>
  <si>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</si>
  <si>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</si>
  <si>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</si>
  <si>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</si>
  <si>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</si>
  <si>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</si>
  <si>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</si>
  <si>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</si>
  <si>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</si>
  <si>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</si>
  <si>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</si>
  <si>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</si>
  <si>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</si>
  <si>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</si>
  <si>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</si>
  <si>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</si>
  <si>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</si>
  <si>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</si>
  <si>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</si>
  <si>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</si>
  <si>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</si>
  <si>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</si>
  <si>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</si>
  <si>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</si>
  <si>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</si>
  <si>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</si>
  <si>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</si>
  <si>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</si>
  <si>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</si>
  <si>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</si>
  <si>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</si>
  <si>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</si>
  <si>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</si>
  <si>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</si>
  <si>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</si>
  <si>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</si>
  <si>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</si>
  <si>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</si>
  <si>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</si>
  <si>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</si>
  <si>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</si>
  <si>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</si>
  <si>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</si>
  <si>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</si>
  <si>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</si>
  <si>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</si>
  <si>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</si>
  <si>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</si>
  <si>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</si>
  <si>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</si>
  <si>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</si>
  <si>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</si>
  <si>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</si>
  <si>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</si>
  <si>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</si>
  <si>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</si>
  <si>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</si>
  <si>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</si>
  <si>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</si>
  <si>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</si>
  <si>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</si>
  <si>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</si>
  <si>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</si>
  <si>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</si>
  <si>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</si>
  <si>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</si>
  <si>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</si>
  <si>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</si>
  <si>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</si>
  <si>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</si>
  <si>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</si>
  <si>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</si>
  <si>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</si>
  <si>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</si>
  <si>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</si>
  <si>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</si>
  <si>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</si>
  <si>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</si>
  <si>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</si>
  <si>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</si>
  <si>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</si>
  <si>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</si>
  <si>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</si>
  <si>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</si>
  <si>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</si>
  <si>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</si>
  <si>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</si>
  <si>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</si>
  <si>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</si>
  <si>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</si>
  <si>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</si>
  <si>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</si>
  <si>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</si>
  <si>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</si>
  <si>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</si>
  <si>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</si>
  <si>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</si>
  <si>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</si>
  <si>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</si>
  <si>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</si>
  <si>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</si>
  <si>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</si>
  <si>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</si>
  <si>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</si>
  <si>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</si>
  <si>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</si>
  <si>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</si>
  <si>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</si>
  <si>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</si>
  <si>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</si>
  <si>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</si>
  <si>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</si>
  <si>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</si>
  <si>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</si>
  <si>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</si>
  <si>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</si>
  <si>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</si>
  <si>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</si>
  <si>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</si>
  <si>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</si>
  <si>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</si>
  <si>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</si>
  <si>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</si>
  <si>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</si>
  <si>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</si>
  <si>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</si>
  <si>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</si>
  <si>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</si>
  <si>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</si>
  <si>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</si>
  <si>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</si>
  <si>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</si>
  <si>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</si>
  <si>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</si>
  <si>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</si>
  <si>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</si>
  <si>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</si>
  <si>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</si>
  <si>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</si>
  <si>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</si>
  <si>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</si>
  <si>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</si>
  <si>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</si>
  <si>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</si>
  <si>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</si>
  <si>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</si>
  <si>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</si>
  <si>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</si>
  <si>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</si>
  <si>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</si>
  <si>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</si>
  <si>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</si>
  <si>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</si>
  <si>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</si>
  <si>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</si>
  <si>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</si>
  <si>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</si>
  <si>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</si>
  <si>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</si>
  <si>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</si>
  <si>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</si>
  <si>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</si>
  <si>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</si>
  <si>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</si>
  <si>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</si>
  <si>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</si>
  <si>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</si>
  <si>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</si>
  <si>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</si>
  <si>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</si>
  <si>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</si>
  <si>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</si>
  <si>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</si>
  <si>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</si>
  <si>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</si>
  <si>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</si>
  <si>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</si>
  <si>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</si>
  <si>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</si>
  <si>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</si>
  <si>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</si>
  <si>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</si>
  <si>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</si>
  <si>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</si>
  <si>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</si>
  <si>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</si>
  <si>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</si>
  <si>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</si>
  <si>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</si>
  <si>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</si>
  <si>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</si>
  <si>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</si>
  <si>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</si>
  <si>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</si>
  <si>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</si>
  <si>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</si>
  <si>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</si>
  <si>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</si>
  <si>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</si>
  <si>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</si>
  <si>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</si>
  <si>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</si>
  <si>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</si>
  <si>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</si>
  <si>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</si>
  <si>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</si>
  <si>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</si>
  <si>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</si>
  <si>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</si>
  <si>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</si>
  <si>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</si>
  <si>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</si>
  <si>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</si>
  <si>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</si>
  <si>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</si>
  <si>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</si>
  <si>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</si>
  <si>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</si>
  <si>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</si>
  <si>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</si>
  <si>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</si>
  <si>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</si>
  <si>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</si>
  <si>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</si>
  <si>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</si>
  <si>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</si>
  <si>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</si>
  <si>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</si>
  <si>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</si>
  <si>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</si>
  <si>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</si>
  <si>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</si>
  <si>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</si>
  <si>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</si>
  <si>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</si>
  <si>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</si>
  <si>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</si>
  <si>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</si>
  <si>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</si>
  <si>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</si>
  <si>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</si>
  <si>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</si>
  <si>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</si>
  <si>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</si>
  <si>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</si>
  <si>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</si>
  <si>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</si>
  <si>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</si>
  <si>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</si>
  <si>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</si>
  <si>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</si>
  <si>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</si>
  <si>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</si>
  <si>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</si>
  <si>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</si>
  <si>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</si>
  <si>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</si>
  <si>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</si>
  <si>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</si>
  <si>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</si>
  <si>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</si>
  <si>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</si>
  <si>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</si>
  <si>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</si>
  <si>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</si>
  <si>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</si>
  <si>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</si>
  <si>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</si>
  <si>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</si>
  <si>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</si>
  <si>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</si>
  <si>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</si>
  <si>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</si>
  <si>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</si>
  <si>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</si>
  <si>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</si>
  <si>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</si>
  <si>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</si>
  <si>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</si>
  <si>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</si>
  <si>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</si>
  <si>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</si>
  <si>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</si>
  <si>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</si>
  <si>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</si>
  <si>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</si>
  <si>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</si>
  <si>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</si>
  <si>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</si>
  <si>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</si>
  <si>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</si>
  <si>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</si>
  <si>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</si>
  <si>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</si>
  <si>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</si>
  <si>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</si>
  <si>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</si>
  <si>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</si>
  <si>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</si>
  <si>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</si>
  <si>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</si>
  <si>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</si>
  <si>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</si>
  <si>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</si>
  <si>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</si>
  <si>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</si>
  <si>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</si>
  <si>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</si>
  <si>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</si>
  <si>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</si>
  <si>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</si>
  <si>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</si>
  <si>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</si>
  <si>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</si>
  <si>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</si>
  <si>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</si>
  <si>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</si>
  <si>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</si>
  <si>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</si>
  <si>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</si>
  <si>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</si>
  <si>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</si>
  <si>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</si>
  <si>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</si>
  <si>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</si>
  <si>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</si>
  <si>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</si>
  <si>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</si>
  <si>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</si>
  <si>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</si>
  <si>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</si>
  <si>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</si>
  <si>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</si>
  <si>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</si>
  <si>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</si>
  <si>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</si>
  <si>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</si>
  <si>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</si>
  <si>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</si>
  <si>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</si>
  <si>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</si>
  <si>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</si>
  <si>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</si>
  <si>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</si>
  <si>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</si>
  <si>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</si>
  <si>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</si>
  <si>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</si>
  <si>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</si>
  <si>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</si>
  <si>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</si>
  <si>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</si>
  <si>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</si>
  <si>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</si>
  <si>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</si>
  <si>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</si>
  <si>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</si>
  <si>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</si>
  <si>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</si>
  <si>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</si>
  <si>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</si>
  <si>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</si>
  <si>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</si>
  <si>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</si>
  <si>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</si>
  <si>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</si>
  <si>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</si>
  <si>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</si>
  <si>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</si>
  <si>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</si>
  <si>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</si>
  <si>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</si>
  <si>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</si>
  <si>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</si>
  <si>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</si>
  <si>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</si>
  <si>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</si>
  <si>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</si>
  <si>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</si>
  <si>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</si>
  <si>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</si>
  <si>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</si>
  <si>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</si>
  <si>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</si>
  <si>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</si>
  <si>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</si>
  <si>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</si>
  <si>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</si>
  <si>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</si>
  <si>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</si>
  <si>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</si>
  <si>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</si>
  <si>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</si>
  <si>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</si>
  <si>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</si>
  <si>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</si>
  <si>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</si>
  <si>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</si>
  <si>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</si>
  <si>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</si>
  <si>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</si>
  <si>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</si>
  <si>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</si>
  <si>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</si>
  <si>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</si>
  <si>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</si>
  <si>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</si>
  <si>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</si>
  <si>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</si>
  <si>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</si>
  <si>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</si>
  <si>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</si>
  <si>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</si>
  <si>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</si>
  <si>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</si>
  <si>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</si>
  <si>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</si>
  <si>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</si>
  <si>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</si>
  <si>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</si>
  <si>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</si>
  <si>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</si>
  <si>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</si>
  <si>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</si>
  <si>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</si>
  <si>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</si>
  <si>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</si>
  <si>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</si>
  <si>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</si>
  <si>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</si>
  <si>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</si>
  <si>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</si>
  <si>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</si>
  <si>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</si>
  <si>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</si>
  <si>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</si>
  <si>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</si>
  <si>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</si>
  <si>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</si>
  <si>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</si>
  <si>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</si>
  <si>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</si>
  <si>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</si>
  <si>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</si>
  <si>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</si>
  <si>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</si>
  <si>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</si>
  <si>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</si>
  <si>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</si>
  <si>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</si>
  <si>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</si>
  <si>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</si>
  <si>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</si>
  <si>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</si>
  <si>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</si>
  <si>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</si>
  <si>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</si>
  <si>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</si>
  <si>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</si>
  <si>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</si>
  <si>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</si>
  <si>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</si>
  <si>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</si>
  <si>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</si>
  <si>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</si>
  <si>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</si>
  <si>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</si>
  <si>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</si>
  <si>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</si>
  <si>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</si>
  <si>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</si>
  <si>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</si>
  <si>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</si>
  <si>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</si>
  <si>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</si>
  <si>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</si>
  <si>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</si>
  <si>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</si>
  <si>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</si>
  <si>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</si>
  <si>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</si>
  <si>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</si>
  <si>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</si>
  <si>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</si>
  <si>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</si>
  <si>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</si>
  <si>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</si>
  <si>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</si>
  <si>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</si>
  <si>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</si>
  <si>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</si>
  <si>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</si>
  <si>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</si>
  <si>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</si>
  <si>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</si>
  <si>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</si>
  <si>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</si>
  <si>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</si>
  <si>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</si>
  <si>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</si>
  <si>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</si>
  <si>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</si>
  <si>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</si>
  <si>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</si>
  <si>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</si>
  <si>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</si>
  <si>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</si>
  <si>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</si>
  <si>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</si>
  <si>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</si>
  <si>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</si>
  <si>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</si>
  <si>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</si>
  <si>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</si>
  <si>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</si>
  <si>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</si>
  <si>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</si>
  <si>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</si>
  <si>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</si>
  <si>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</si>
  <si>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</si>
  <si>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</si>
  <si>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</si>
  <si>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</si>
  <si>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</si>
  <si>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</si>
  <si>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</si>
  <si>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</si>
  <si>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</si>
  <si>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</si>
  <si>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</si>
  <si>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</si>
  <si>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</si>
  <si>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</si>
  <si>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</si>
  <si>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</si>
  <si>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</si>
  <si>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</si>
  <si>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</si>
  <si>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</si>
  <si>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</si>
  <si>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</si>
  <si>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</si>
  <si>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</si>
  <si>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</si>
  <si>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</si>
  <si>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</si>
  <si>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</si>
  <si>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</si>
  <si>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</si>
  <si>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</si>
  <si>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</si>
  <si>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</si>
  <si>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</si>
  <si>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</si>
  <si>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</si>
  <si>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</si>
  <si>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</si>
  <si>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</si>
  <si>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</si>
  <si>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</si>
  <si>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</si>
  <si>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</si>
  <si>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</si>
  <si>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</si>
  <si>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</si>
  <si>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</si>
  <si>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</si>
  <si>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</si>
  <si>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</si>
  <si>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</si>
  <si>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</si>
  <si>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</si>
  <si>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</si>
  <si>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</si>
  <si>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</si>
  <si>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</si>
  <si>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</si>
  <si>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</si>
  <si>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</si>
  <si>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</si>
  <si>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</si>
  <si>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</si>
  <si>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</si>
  <si>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</si>
  <si>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</si>
  <si>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</si>
  <si>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</si>
  <si>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</si>
  <si>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</si>
  <si>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</si>
  <si>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</si>
  <si>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</si>
  <si>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</si>
  <si>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</si>
  <si>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</si>
  <si>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</si>
  <si>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</si>
  <si>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</si>
  <si>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</si>
  <si>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</si>
  <si>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</si>
  <si>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</si>
  <si>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</si>
  <si>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</si>
  <si>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</si>
  <si>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</si>
  <si>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</si>
  <si>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</si>
  <si>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</si>
  <si>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</si>
  <si>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</si>
  <si>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</si>
  <si>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</si>
  <si>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</si>
  <si>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</si>
  <si>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</si>
  <si>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</si>
  <si>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</si>
  <si>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</si>
  <si>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</si>
  <si>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</si>
  <si>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</si>
  <si>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</si>
  <si>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</si>
  <si>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</si>
  <si>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</si>
  <si>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</si>
  <si>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</si>
  <si>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</si>
  <si>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</si>
  <si>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</si>
  <si>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</si>
  <si>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</si>
  <si>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</si>
  <si>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</si>
  <si>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</si>
  <si>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</si>
  <si>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</si>
  <si>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</si>
  <si>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</si>
  <si>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</si>
  <si>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</si>
  <si>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</si>
  <si>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</si>
  <si>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</si>
  <si>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</si>
  <si>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</si>
  <si>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</si>
  <si>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</si>
  <si>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</si>
  <si>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</si>
  <si>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</si>
  <si>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</si>
  <si>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</si>
  <si>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</si>
  <si>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</si>
  <si>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</si>
  <si>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</si>
  <si>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</si>
  <si>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</si>
  <si>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</si>
  <si>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</si>
  <si>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</si>
  <si>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</si>
  <si>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</si>
  <si>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</si>
  <si>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</si>
  <si>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</si>
  <si>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</si>
  <si>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</si>
  <si>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</si>
  <si>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</si>
  <si>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</si>
  <si>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</si>
  <si>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</si>
  <si>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</si>
  <si>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</si>
  <si>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</si>
  <si>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</si>
  <si>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</si>
  <si>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</si>
  <si>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</si>
  <si>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</si>
  <si>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</si>
  <si>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</si>
  <si>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</si>
  <si>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</si>
  <si>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</si>
  <si>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</si>
  <si>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</si>
  <si>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</si>
  <si>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</si>
  <si>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</si>
  <si>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</si>
  <si>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</si>
  <si>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</si>
  <si>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</si>
  <si>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</si>
  <si>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</si>
  <si>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</si>
  <si>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</si>
  <si>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</si>
  <si>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</si>
  <si>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</si>
  <si>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</si>
  <si>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</si>
  <si>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</si>
  <si>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</si>
  <si>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</si>
  <si>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</si>
  <si>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</si>
  <si>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</si>
  <si>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</si>
  <si>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</si>
  <si>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</si>
  <si>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</si>
  <si>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</si>
  <si>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</si>
  <si>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</si>
  <si>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</si>
  <si>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</si>
  <si>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</si>
  <si>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</si>
  <si>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</si>
  <si>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</si>
  <si>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</si>
  <si>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</si>
  <si>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</si>
  <si>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</si>
  <si>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</si>
  <si>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</si>
  <si>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</si>
  <si>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</si>
  <si>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</si>
  <si>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</si>
  <si>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</si>
  <si>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</si>
  <si>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</si>
  <si>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</si>
  <si>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</si>
  <si>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</si>
  <si>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</si>
  <si>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</si>
  <si>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</si>
  <si>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</si>
  <si>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</si>
  <si>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</si>
  <si>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</si>
  <si>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</si>
  <si>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</si>
  <si>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</si>
  <si>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</si>
  <si>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</si>
  <si>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</si>
  <si>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</si>
  <si>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</si>
  <si>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</si>
  <si>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</si>
  <si>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</si>
  <si>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</si>
  <si>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</si>
  <si>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</si>
  <si>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</si>
  <si>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</si>
  <si>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</si>
  <si>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</si>
  <si>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</si>
  <si>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</si>
  <si>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</si>
  <si>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</si>
  <si>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</si>
  <si>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</si>
  <si>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</si>
  <si>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</si>
  <si>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</si>
  <si>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</si>
  <si>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</si>
  <si>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</si>
  <si>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</si>
  <si>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</si>
  <si>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</si>
  <si>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</si>
  <si>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</si>
  <si>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</si>
  <si>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</si>
  <si>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</si>
  <si>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</si>
  <si>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</si>
  <si>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</si>
  <si>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</si>
  <si>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</si>
  <si>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</si>
  <si>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</si>
  <si>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</si>
  <si>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</si>
  <si>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</si>
  <si>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</si>
  <si>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</si>
  <si>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</si>
  <si>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</si>
  <si>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</si>
  <si>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</si>
  <si>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</si>
  <si>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</si>
  <si>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</si>
  <si>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</si>
  <si>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</si>
  <si>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</si>
  <si>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</si>
  <si>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</si>
  <si>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</si>
  <si>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</si>
  <si>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</si>
  <si>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</si>
  <si>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</si>
  <si>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</si>
  <si>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</si>
  <si>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</si>
  <si>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</si>
  <si>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</si>
  <si>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</si>
  <si>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</si>
  <si>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</si>
  <si>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</si>
  <si>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</si>
  <si>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</si>
  <si>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</si>
  <si>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</si>
  <si>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</si>
  <si>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</si>
  <si>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</si>
  <si>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</si>
  <si>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</si>
  <si>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</si>
  <si>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</si>
  <si>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</si>
  <si>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</si>
  <si>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</si>
  <si>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</si>
  <si>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</si>
  <si>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</si>
  <si>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</si>
  <si>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</si>
  <si>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</si>
  <si>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</si>
  <si>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</si>
  <si>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</si>
  <si>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</si>
  <si>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</si>
  <si>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</si>
  <si>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</si>
  <si>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</si>
  <si>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</si>
  <si>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</si>
  <si>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</si>
  <si>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</si>
  <si>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</si>
  <si>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</si>
  <si>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</si>
  <si>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</si>
  <si>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</si>
  <si>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</si>
  <si>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</si>
  <si>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</si>
  <si>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</si>
  <si>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</si>
  <si>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</si>
  <si>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</si>
  <si>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</si>
  <si>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</si>
  <si>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</si>
  <si>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</si>
  <si>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</si>
  <si>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</si>
  <si>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</si>
  <si>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</si>
  <si>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</si>
  <si>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</si>
  <si>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</si>
  <si>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</si>
  <si>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</si>
  <si>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</si>
  <si>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</si>
  <si>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</si>
  <si>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</si>
  <si>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</si>
  <si>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</si>
  <si>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</si>
  <si>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</si>
  <si>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</si>
  <si>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</si>
  <si>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</si>
  <si>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</si>
  <si>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</si>
  <si>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</si>
  <si>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</si>
  <si>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</si>
  <si>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</si>
  <si>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</si>
  <si>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</si>
  <si>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</si>
  <si>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</si>
  <si>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</si>
  <si>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</si>
  <si>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</si>
  <si>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</si>
  <si>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</si>
  <si>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</si>
  <si>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</si>
  <si>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</si>
  <si>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</si>
  <si>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</si>
  <si>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</si>
  <si>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</si>
  <si>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</si>
  <si>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</si>
  <si>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</si>
  <si>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</si>
  <si>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</si>
  <si>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</si>
  <si>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</si>
  <si>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</si>
  <si>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</si>
  <si>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</si>
  <si>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</si>
  <si>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</si>
  <si>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</si>
  <si>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</si>
  <si>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</si>
  <si>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</si>
  <si>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</si>
  <si>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</si>
  <si>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</si>
  <si>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</si>
  <si>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</si>
  <si>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</si>
  <si>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</si>
  <si>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</si>
  <si>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</si>
  <si>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</si>
  <si>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</si>
  <si>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</si>
  <si>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</si>
  <si>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</si>
  <si>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</si>
  <si>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</si>
  <si>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</si>
  <si>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</si>
  <si>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</si>
  <si>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</si>
  <si>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</si>
  <si>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</si>
  <si>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</si>
  <si>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</si>
  <si>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</si>
  <si>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</si>
  <si>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</si>
  <si>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</si>
  <si>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</si>
  <si>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</si>
  <si>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</si>
  <si>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</si>
  <si>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</si>
  <si>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</si>
  <si>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</si>
  <si>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</si>
  <si>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</si>
  <si>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</si>
  <si>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</si>
  <si>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</si>
  <si>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</si>
  <si>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</si>
  <si>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</si>
  <si>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</si>
  <si>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</si>
  <si>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</si>
  <si>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</si>
  <si>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</si>
  <si>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</si>
  <si>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</si>
  <si>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</si>
  <si>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</si>
  <si>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</si>
  <si>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</si>
  <si>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</si>
  <si>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</si>
  <si>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</si>
  <si>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</si>
  <si>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</si>
  <si>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</si>
  <si>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</si>
  <si>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</si>
  <si>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</si>
  <si>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</si>
  <si>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</si>
  <si>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</si>
  <si>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</si>
  <si>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</si>
  <si>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</si>
  <si>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</si>
  <si>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</si>
  <si>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</si>
  <si>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</si>
  <si>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</si>
  <si>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</si>
  <si>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</si>
  <si>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</si>
  <si>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</si>
  <si>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</si>
  <si>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</si>
  <si>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</si>
  <si>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</si>
  <si>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</si>
  <si>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</si>
  <si>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</si>
  <si>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</si>
  <si>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</si>
  <si>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</si>
  <si>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</si>
  <si>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</si>
  <si>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</si>
  <si>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</si>
  <si>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</si>
  <si>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</si>
  <si>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</si>
  <si>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</si>
  <si>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</si>
  <si>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</si>
  <si>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</si>
  <si>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</si>
  <si>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</si>
  <si>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</si>
  <si>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</si>
  <si>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</si>
  <si>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</si>
  <si>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</si>
  <si>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</si>
  <si>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</si>
  <si>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</si>
  <si>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</si>
  <si>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</si>
  <si>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</si>
  <si>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</si>
  <si>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</si>
  <si>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</si>
  <si>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</si>
  <si>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</si>
  <si>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</si>
  <si>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</si>
  <si>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</si>
  <si>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</si>
  <si>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</si>
  <si>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</si>
  <si>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</si>
  <si>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</si>
  <si>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</si>
  <si>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</si>
  <si>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</si>
  <si>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</si>
  <si>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</si>
  <si>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</si>
  <si>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</si>
  <si>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</si>
  <si>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</si>
  <si>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</si>
  <si>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</si>
  <si>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</si>
  <si>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</si>
  <si>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</si>
  <si>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</si>
  <si>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</si>
  <si>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</si>
  <si>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</si>
  <si>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</si>
  <si>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</si>
  <si>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</si>
  <si>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</si>
  <si>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</si>
  <si>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</si>
  <si>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</si>
  <si>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</si>
  <si>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</si>
  <si>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</si>
  <si>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</si>
  <si>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</si>
  <si>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</si>
  <si>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</si>
  <si>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</si>
  <si>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</si>
  <si>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</si>
  <si>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</si>
  <si>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</si>
  <si>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</si>
  <si>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</si>
  <si>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</si>
  <si>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</si>
  <si>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</si>
  <si>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</si>
  <si>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</si>
  <si>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</si>
  <si>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</si>
  <si>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</si>
  <si>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</si>
  <si>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</si>
  <si>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</si>
  <si>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</si>
  <si>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</si>
  <si>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</si>
  <si>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</si>
  <si>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</si>
  <si>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</si>
  <si>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</si>
  <si>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</si>
  <si>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</si>
  <si>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</si>
  <si>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</si>
  <si>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</si>
  <si>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</si>
  <si>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</si>
  <si>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</si>
  <si>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</si>
  <si>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</si>
  <si>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</si>
  <si>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</si>
  <si>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</si>
  <si>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</si>
  <si>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</si>
  <si>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</si>
  <si>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</si>
  <si>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</si>
  <si>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</si>
  <si>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</si>
  <si>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</si>
  <si>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</si>
  <si>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</si>
  <si>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</si>
  <si>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</si>
  <si>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</si>
  <si>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</si>
  <si>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</si>
  <si>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</si>
  <si>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</si>
  <si>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</si>
  <si>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</si>
  <si>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</si>
  <si>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</si>
  <si>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</si>
  <si>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</si>
  <si>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</si>
  <si>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</si>
  <si>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</si>
  <si>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</si>
  <si>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</si>
  <si>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</si>
  <si>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</si>
  <si>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</si>
  <si>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</si>
  <si>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</si>
  <si>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</si>
  <si>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</si>
  <si>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</si>
  <si>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</si>
  <si>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</si>
  <si>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</si>
  <si>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</si>
  <si>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</si>
  <si>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</si>
  <si>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</si>
  <si>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</si>
  <si>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</si>
  <si>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</si>
  <si>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</si>
  <si>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</si>
  <si>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</si>
  <si>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</si>
  <si>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</si>
  <si>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</si>
  <si>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</si>
  <si>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</si>
  <si>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</si>
  <si>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</si>
  <si>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</si>
  <si>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</si>
  <si>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</si>
  <si>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</si>
  <si>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</si>
  <si>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</si>
  <si>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</si>
  <si>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</si>
  <si>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</si>
  <si>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</si>
  <si>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</si>
  <si>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</si>
  <si>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</si>
  <si>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</si>
  <si>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</si>
  <si>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</si>
  <si>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</si>
  <si>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</si>
  <si>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</si>
  <si>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</si>
  <si>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</si>
  <si>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</si>
  <si>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</si>
  <si>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</si>
  <si>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</si>
  <si>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</si>
  <si>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</si>
  <si>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</si>
  <si>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</si>
  <si>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</si>
  <si>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</si>
  <si>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</si>
  <si>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</si>
  <si>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</si>
  <si>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</si>
  <si>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</si>
  <si>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</si>
  <si>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</si>
  <si>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</si>
  <si>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</si>
  <si>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</si>
  <si>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</si>
  <si>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</si>
  <si>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</si>
  <si>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</si>
  <si>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</si>
  <si>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</si>
  <si>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</si>
  <si>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</si>
  <si>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</si>
  <si>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</si>
  <si>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</si>
  <si>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</si>
  <si>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</si>
  <si>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</si>
  <si>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</si>
  <si>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</si>
  <si>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</si>
  <si>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</si>
  <si>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</si>
  <si>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</si>
  <si>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</si>
  <si>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</si>
  <si>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</si>
  <si>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</si>
  <si>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</si>
  <si>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</si>
  <si>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</si>
  <si>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</si>
  <si>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</si>
  <si>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</si>
  <si>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</si>
  <si>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</si>
  <si>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</si>
  <si>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</si>
  <si>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</si>
  <si>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</si>
  <si>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</si>
  <si>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</si>
  <si>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</si>
  <si>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</si>
  <si>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</si>
  <si>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</si>
  <si>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</si>
  <si>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</si>
  <si>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</si>
  <si>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</si>
  <si>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</si>
  <si>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</si>
  <si>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</si>
  <si>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</si>
  <si>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</si>
  <si>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</si>
  <si>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</si>
  <si>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</si>
  <si>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</si>
  <si>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</si>
  <si>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</si>
  <si>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</si>
  <si>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</si>
  <si>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</si>
  <si>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</si>
  <si>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</si>
  <si>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</si>
  <si>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</si>
  <si>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</si>
  <si>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</si>
  <si>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</si>
  <si>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</si>
  <si>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</si>
  <si>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</si>
  <si>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</si>
  <si>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</si>
  <si>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</si>
  <si>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</si>
  <si>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</si>
  <si>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</si>
  <si>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</si>
  <si>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</si>
  <si>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</si>
  <si>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</si>
  <si>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</si>
  <si>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</si>
  <si>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</si>
  <si>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</si>
  <si>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</si>
  <si>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</si>
  <si>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</si>
  <si>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</si>
  <si>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</si>
  <si>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</si>
  <si>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</si>
  <si>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</si>
  <si>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</si>
  <si>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</si>
  <si>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</si>
  <si>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</si>
  <si>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</si>
  <si>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</si>
  <si>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</si>
  <si>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</si>
  <si>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</si>
  <si>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</si>
  <si>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</si>
  <si>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</si>
  <si>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</si>
  <si>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</si>
  <si>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</si>
  <si>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</si>
  <si>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</si>
  <si>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</si>
  <si>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</si>
  <si>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</si>
  <si>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</si>
  <si>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</si>
  <si>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</si>
  <si>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</si>
  <si>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</si>
  <si>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</si>
  <si>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</si>
  <si>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</si>
  <si>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</si>
  <si>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</si>
  <si>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</si>
  <si>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</si>
  <si>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</si>
  <si>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</si>
  <si>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</si>
  <si>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</si>
  <si>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</si>
  <si>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Row Labels</t>
  </si>
  <si>
    <t>Grand Total</t>
  </si>
  <si>
    <t>Count of Order ID</t>
  </si>
  <si>
    <t>Sum of Closing Stock</t>
  </si>
  <si>
    <t>Healty %</t>
  </si>
  <si>
    <t>Low %</t>
  </si>
  <si>
    <t>Overstock %</t>
  </si>
  <si>
    <t>Inventory Value</t>
  </si>
  <si>
    <t>Sum of Inventory Value</t>
  </si>
  <si>
    <t>Overstock Inventory Value %</t>
  </si>
  <si>
    <t>Column Labels</t>
  </si>
  <si>
    <t>Late Delivery Rate</t>
  </si>
  <si>
    <t>Global Mart - Sneakers</t>
  </si>
  <si>
    <t>Techsource - Bluetooth</t>
  </si>
  <si>
    <t>Global Mart - Coffee Maker</t>
  </si>
  <si>
    <t>Prime Goods - Cricket Bat</t>
  </si>
  <si>
    <t>Urban Supply - Hoodie</t>
  </si>
  <si>
    <t>Sum of Stockout Days</t>
  </si>
  <si>
    <t>Average of Stockout Days</t>
  </si>
  <si>
    <t>Kolkata</t>
  </si>
  <si>
    <t>East</t>
  </si>
  <si>
    <t>Low Stock %</t>
  </si>
  <si>
    <t>Cancellation Rate</t>
  </si>
  <si>
    <t>Pending Rate</t>
  </si>
  <si>
    <t>Return Rate</t>
  </si>
  <si>
    <t>Fulfillment Rate</t>
  </si>
  <si>
    <t>Fullfillment Rate</t>
  </si>
  <si>
    <t>Total Orders</t>
  </si>
  <si>
    <t>PRODUCT INVENTORY ANALYSIS</t>
  </si>
  <si>
    <t>TOTAL ORDERS</t>
  </si>
  <si>
    <t>FULFILLMENT RATE</t>
  </si>
  <si>
    <t>CANCELLATION RATE</t>
  </si>
  <si>
    <t>PENDING ORDERS</t>
  </si>
  <si>
    <t>TOTAL INVENTORY VALUE</t>
  </si>
  <si>
    <t>OVERSTOCK INVENTORY VALUE</t>
  </si>
  <si>
    <t>Sum of Fullfillment Rate</t>
  </si>
  <si>
    <t>KEY OPERATIONAL INSIGHTS</t>
  </si>
  <si>
    <t>1. Overstock Capital</t>
  </si>
  <si>
    <t>₹16.30 Cr of inventory value is tied up in overstock, representing 56.36% of total inventory value.</t>
  </si>
  <si>
    <t>2. Stockout Risk</t>
  </si>
  <si>
    <t>Low Stock inventory averages 4.94 stockout days and accounts for 50.6% of total stockout days.</t>
  </si>
  <si>
    <t>3. Supplier Alert</t>
  </si>
  <si>
    <t>TechSource has an 83.33% late-delivery rate for Bluetooth Speakers (10 of 12 deliveries were late).</t>
  </si>
  <si>
    <t>4. Regional Alert</t>
  </si>
  <si>
    <t>South has the lowest fulfillment rate at 64.44% and the highest average stockout days at 0.97.</t>
  </si>
  <si>
    <t>5. Order Performance</t>
  </si>
  <si>
    <t>Overall fulfillment is 67.20%, while 12.80% of orders remain pending and 11.87% are cancelled.</t>
  </si>
  <si>
    <t>6. Product Risk</t>
  </si>
  <si>
    <t>Storage Box has the highest cancellation rate at 24.29%, while Sneakers have the highest pending rate at 20.48%.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</si>
</sst>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0"/>
    <numFmt numFmtId="166" formatCode="_ [$₹-4009]\ * #,##0.00_ ;_ [$₹-4009]\ * \-#,##0.00_ ;_ [$₹-4009]\ * &quot;-&quot;??_ ;_ @_ "/>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3.5"/>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0" fontId="0" fillId="0" borderId="0" xfId="1" applyNumberFormat="1" applyFont="1"/>
    <xf numFmtId="166" fontId="0" fillId="0" borderId="0" xfId="0" applyNumberFormat="1"/>
    <xf numFmtId="0" fontId="2" fillId="0" borderId="0" xfId="0" applyFont="1" applyAlignment="1">
      <alignment horizontal="left"/>
    </xf>
    <xf numFmtId="0" fontId="2" fillId="0" borderId="0" xfId="0" applyFont="1"/>
    <xf numFmtId="0" fontId="0" fillId="0" borderId="0" xfId="0" applyAlignment="1">
      <alignment horizontal="left" indent="1"/>
    </xf>
    <xf numFmtId="0" fontId="2"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right" vertical="center" wrapText="1"/>
    </xf>
    <xf numFmtId="0" fontId="2" fillId="0" borderId="0" xfId="0" applyFont="1" applyAlignment="1">
      <alignment horizontal="right" vertical="center" wrapText="1"/>
    </xf>
    <xf numFmtId="10" fontId="0" fillId="0" borderId="0" xfId="1" applyNumberFormat="1" applyFont="1" applyAlignment="1">
      <alignment horizontal="right" vertical="center" wrapText="1"/>
    </xf>
    <xf numFmtId="0" fontId="2" fillId="0" borderId="0" xfId="0" applyFont="1" applyAlignment="1">
      <alignment vertical="center" wrapText="1"/>
    </xf>
    <xf numFmtId="0" fontId="2" fillId="3" borderId="0" xfId="0" applyFont="1" applyFill="1" applyAlignment="1">
      <alignment vertical="center"/>
    </xf>
    <xf numFmtId="0" fontId="2" fillId="4" borderId="0" xfId="0" applyFont="1" applyFill="1" applyAlignment="1">
      <alignment vertical="center"/>
    </xf>
    <xf numFmtId="10" fontId="2" fillId="4" borderId="0" xfId="0" applyNumberFormat="1" applyFont="1" applyFill="1" applyAlignment="1">
      <alignment vertical="center"/>
    </xf>
    <xf numFmtId="166" fontId="2" fillId="4" borderId="0" xfId="0" applyNumberFormat="1" applyFont="1" applyFill="1" applyAlignment="1">
      <alignment vertical="center"/>
    </xf>
    <xf numFmtId="10" fontId="0" fillId="0" borderId="0" xfId="0" applyNumberFormat="1" applyAlignment="1">
      <alignment horizontal="right" vertical="center" wrapText="1"/>
    </xf>
    <xf numFmtId="10" fontId="0" fillId="0" borderId="0" xfId="0" applyNumberFormat="1"/>
    <xf numFmtId="0" fontId="2" fillId="2" borderId="0" xfId="0" applyFont="1" applyFill="1" applyAlignment="1">
      <alignment horizontal="center"/>
    </xf>
    <xf numFmtId="0" fontId="3" fillId="0" borderId="0" xfId="0" applyFont="1" applyAlignment="1">
      <alignment horizontal="center" vertical="center"/>
    </xf>
  </cellXfs>
  <cellStyles count="2">
    <cellStyle name="Normal" xfId="0" builtinId="0"/>
    <cellStyle name="Percent" xfId="1" builtinId="5"/>
  </cellStyles>
  <dxfs count="7">
    <dxf>
      <font>
        <b val="0"/>
        <i val="0"/>
        <strike val="0"/>
        <condense val="0"/>
        <extend val="0"/>
        <outline val="0"/>
        <shadow val="0"/>
        <u val="none"/>
        <vertAlign val="baseline"/>
        <sz val="11"/>
        <color theme="1"/>
        <name val="Calibri"/>
        <family val="2"/>
        <scheme val="minor"/>
      </font>
      <numFmt numFmtId="14" formatCode="0.00%"/>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dxf>
    <dxf>
      <numFmt numFmtId="14" formatCode="0.00%"/>
      <alignment horizontal="right" vertical="center" textRotation="0" wrapText="1" indent="0" justifyLastLine="0" shrinkToFit="0" readingOrder="0"/>
    </dxf>
    <dxf>
      <alignment horizontal="general" vertical="center" textRotation="0" wrapText="1" indent="0" justifyLastLine="0" shrinkToFit="0" readingOrder="0"/>
    </dxf>
    <dxf>
      <numFmt numFmtId="165" formatCode="\₹#,##0.00"/>
    </dxf>
    <dxf>
      <numFmt numFmtId="165" formatCode="\₹#,##0.00"/>
    </dxf>
    <dxf>
      <numFmt numFmtId="164" formatCode="dd\-m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[inventory-stock.xlsx]Analysis!Inventory Status Count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Inventory</a:t>
            </a:r>
            <a:r>
              <a:rPr lang="en-IN" baseline="0"/>
              <a:t> Health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Analysis!$B$3</c:f>
              <c:strCache>
                <c:ptCount val="1"/>
                <c:pt idx="0">
                  <c:v>Count of 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1E-4177-9253-51F114CB18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1E-4177-9253-51F114CB18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A1E-4177-9253-51F114CB18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Analysis!$A$4:$A$7</c:f>
              <c:strCache>
                <c:ptCount val="3"/>
                <c:pt idx="0">
                  <c:v>Healthy</c:v>
                </c:pt>
                <c:pt idx="1">
                  <c:v>Low Stock</c:v>
                </c:pt>
                <c:pt idx="2">
                  <c:v>Overstock</c:v>
                </c:pt>
              </c:strCache>
            </c:strRef>
          </c:cat>
          <c:val>
            <c:numRef>
              <c:f>Analysis!$B$4:$B$7</c:f>
              <c:numCache>
                <c:formatCode>General</c:formatCode>
                <c:ptCount val="3"/>
                <c:pt idx="0">
                  <c:v>768</c:v>
                </c:pt>
                <c:pt idx="1">
                  <c:v>128</c:v>
                </c:pt>
                <c:pt idx="2">
                  <c:v>604</c:v>
                </c:pt>
              </c:numCache>
            </c:numRef>
          </c:val>
          <c:extLst>
            <c:ext xmlns:c16="http://schemas.microsoft.com/office/drawing/2014/chart" uri="{C3380CC4-5D6E-409C-BE32-E72D297353CC}">
              <c16:uniqueId val="{00000006-0A1E-4177-9253-51F114CB1813}"/>
            </c:ext>
          </c:extLst>
        </c:ser>
        <c:ser>
          <c:idx val="1"/>
          <c:order val="1"/>
          <c:tx>
            <c:strRef>
              <c:f>Analysis!$C$3</c:f>
              <c:strCache>
                <c:ptCount val="1"/>
                <c:pt idx="0">
                  <c:v>Sum of Closing Stock</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0A1E-4177-9253-51F114CB18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0A1E-4177-9253-51F114CB18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0A1E-4177-9253-51F114CB18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Analysis!$A$4:$A$7</c:f>
              <c:strCache>
                <c:ptCount val="3"/>
                <c:pt idx="0">
                  <c:v>Healthy</c:v>
                </c:pt>
                <c:pt idx="1">
                  <c:v>Low Stock</c:v>
                </c:pt>
                <c:pt idx="2">
                  <c:v>Overstock</c:v>
                </c:pt>
              </c:strCache>
            </c:strRef>
          </c:cat>
          <c:val>
            <c:numRef>
              <c:f>Analysis!$C$4:$C$7</c:f>
              <c:numCache>
                <c:formatCode>General</c:formatCode>
                <c:ptCount val="3"/>
                <c:pt idx="0">
                  <c:v>87436</c:v>
                </c:pt>
                <c:pt idx="1">
                  <c:v>3365</c:v>
                </c:pt>
                <c:pt idx="2">
                  <c:v>121094</c:v>
                </c:pt>
              </c:numCache>
            </c:numRef>
          </c:val>
          <c:extLst>
            <c:ext xmlns:c16="http://schemas.microsoft.com/office/drawing/2014/chart" uri="{C3380CC4-5D6E-409C-BE32-E72D297353CC}">
              <c16:uniqueId val="{0000000D-0A1E-4177-9253-51F114CB181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[inventory-stock.xlsx]Analysis!Inventory Status Value Count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Inventory</a:t>
            </a:r>
            <a:r>
              <a:rPr lang="en-IN" baseline="0"/>
              <a:t> Value by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Analysis!$A$14:$A$17</c:f>
              <c:strCache>
                <c:ptCount val="3"/>
                <c:pt idx="0">
                  <c:v>Healthy</c:v>
                </c:pt>
                <c:pt idx="1">
                  <c:v>Low Stock</c:v>
                </c:pt>
                <c:pt idx="2">
                  <c:v>Overstock</c:v>
                </c:pt>
              </c:strCache>
            </c:strRef>
          </c:cat>
          <c:val>
            <c:numRef>
              <c:f>Analysis!$B$14:$B$17</c:f>
              <c:numCache>
                <c:formatCode>_ [$₹-4009]\ * #,##0.00_ ;_ [$₹-4009]\ * \-#,##0.00_ ;_ [$₹-4009]\ * "-"??_ ;_ @_ </c:formatCode>
                <c:ptCount val="3"/>
                <c:pt idx="0">
                  <c:v>122069231.53999993</c:v>
                </c:pt>
                <c:pt idx="1">
                  <c:v>4178555.4299999997</c:v>
                </c:pt>
                <c:pt idx="2">
                  <c:v>163037957.04000014</c:v>
                </c:pt>
              </c:numCache>
            </c:numRef>
          </c:val>
          <c:extLst>
            <c:ext xmlns:c16="http://schemas.microsoft.com/office/drawing/2014/chart" uri="{C3380CC4-5D6E-409C-BE32-E72D297353CC}">
              <c16:uniqueId val="{00000000-BC2D-4FAB-AF83-0E8B8CCAE8C6}"/>
            </c:ext>
          </c:extLst>
        </c:ser>
        <c:dLbls>
          <c:dLblPos val="outEnd"/>
          <c:showLegendKey val="0"/>
          <c:showVal val="1"/>
          <c:showCatName val="0"/>
          <c:showSerName val="0"/>
          <c:showPercent val="0"/>
          <c:showBubbleSize val="0"/>
        </c:dLbls>
        <c:gapWidth val="219"/>
        <c:overlap val="-27"/>
        <c:axId val="836010527"/>
        <c:axId val="836006207"/>
      </c:barChart>
      <c:catAx>
        <c:axId val="83601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006207"/>
        <c:crosses val="autoZero"/>
        <c:auto val="1"/>
        <c:lblAlgn val="ctr"/>
        <c:lblOffset val="100"/>
        <c:noMultiLvlLbl val="0"/>
      </c:catAx>
      <c:valAx>
        <c:axId val="836006207"/>
        <c:scaling>
          <c:orientation val="minMax"/>
        </c:scaling>
        <c:delete val="0"/>
        <c:axPos val="l"/>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01052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[inventory-stock.xlsx]Analysis!Inventory Value by Region</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Inventory</a:t>
            </a:r>
            <a:r>
              <a:rPr lang="en-IN" baseline="0"/>
              <a:t> Value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Analysis!$M$25:$M$26</c:f>
              <c:strCache>
                <c:ptCount val="1"/>
                <c:pt idx="0">
                  <c:v>Healthy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Analysis!$L$27:$L$31</c:f>
              <c:strCache>
                <c:ptCount val="4"/>
                <c:pt idx="0">
                  <c:v>East</c:v>
                </c:pt>
                <c:pt idx="1">
                  <c:v>North</c:v>
                </c:pt>
                <c:pt idx="2">
                  <c:v>South</c:v>
                </c:pt>
                <c:pt idx="3">
                  <c:v>West</c:v>
                </c:pt>
              </c:strCache>
            </c:strRef>
          </c:cat>
          <c:val>
            <c:numRef>
              <c:f>Analysis!$M$27:$M$31</c:f>
              <c:numCache>
                <c:formatCode>\₹#,##0.00</c:formatCode>
                <c:ptCount val="4"/>
                <c:pt idx="0">
                  <c:v>29924269.269999992</c:v>
                </c:pt>
                <c:pt idx="1">
                  <c:v>30128827.359999999</c:v>
                </c:pt>
                <c:pt idx="2">
                  <c:v>30040346.780000001</c:v>
                </c:pt>
                <c:pt idx="3">
                  <c:v>31975788.13000001</c:v>
                </c:pt>
              </c:numCache>
            </c:numRef>
          </c:val>
          <c:extLst>
            <c:ext xmlns:c16="http://schemas.microsoft.com/office/drawing/2014/chart" uri="{C3380CC4-5D6E-409C-BE32-E72D297353CC}">
              <c16:uniqueId val="{00000000-B7C1-4A9B-BD6A-0F90433B376B}"/>
            </c:ext>
          </c:extLst>
        </c:ser>
        <c:ser>
          <c:idx val="1"/>
          <c:order val="1"/>
          <c:tx>
            <c:strRef>
              <c:f>Analysis!$N$25:$N$26</c:f>
              <c:strCache>
                <c:ptCount val="1"/>
                <c:pt idx="0">
                  <c:v>Low Stock</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Analysis!$L$27:$L$31</c:f>
              <c:strCache>
                <c:ptCount val="4"/>
                <c:pt idx="0">
                  <c:v>East</c:v>
                </c:pt>
                <c:pt idx="1">
                  <c:v>North</c:v>
                </c:pt>
                <c:pt idx="2">
                  <c:v>South</c:v>
                </c:pt>
                <c:pt idx="3">
                  <c:v>West</c:v>
                </c:pt>
              </c:strCache>
            </c:strRef>
          </c:cat>
          <c:val>
            <c:numRef>
              <c:f>Analysis!$N$27:$N$31</c:f>
              <c:numCache>
                <c:formatCode>\₹#,##0.00</c:formatCode>
                <c:ptCount val="4"/>
                <c:pt idx="0">
                  <c:v>729352.61</c:v>
                </c:pt>
                <c:pt idx="1">
                  <c:v>1513096.7899999998</c:v>
                </c:pt>
                <c:pt idx="2">
                  <c:v>722773.07</c:v>
                </c:pt>
                <c:pt idx="3">
                  <c:v>1213332.96</c:v>
                </c:pt>
              </c:numCache>
            </c:numRef>
          </c:val>
          <c:extLst>
            <c:ext xmlns:c16="http://schemas.microsoft.com/office/drawing/2014/chart" uri="{C3380CC4-5D6E-409C-BE32-E72D297353CC}">
              <c16:uniqueId val="{00000001-B7C1-4A9B-BD6A-0F90433B376B}"/>
            </c:ext>
          </c:extLst>
        </c:ser>
        <c:ser>
          <c:idx val="2"/>
          <c:order val="2"/>
          <c:tx>
            <c:strRef>
              <c:f>Analysis!$O$25:$O$26</c:f>
              <c:strCache>
                <c:ptCount val="1"/>
                <c:pt idx="0">
                  <c:v>Overstock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Analysis!$L$27:$L$31</c:f>
              <c:strCache>
                <c:ptCount val="4"/>
                <c:pt idx="0">
                  <c:v>East</c:v>
                </c:pt>
                <c:pt idx="1">
                  <c:v>North</c:v>
                </c:pt>
                <c:pt idx="2">
                  <c:v>South</c:v>
                </c:pt>
                <c:pt idx="3">
                  <c:v>West</c:v>
                </c:pt>
              </c:strCache>
            </c:strRef>
          </c:cat>
          <c:val>
            <c:numRef>
              <c:f>Analysis!$O$27:$O$31</c:f>
              <c:numCache>
                <c:formatCode>\₹#,##0.00</c:formatCode>
                <c:ptCount val="4"/>
                <c:pt idx="0">
                  <c:v>48066939.309999987</c:v>
                </c:pt>
                <c:pt idx="1">
                  <c:v>41674320.769999973</c:v>
                </c:pt>
                <c:pt idx="2">
                  <c:v>42207556.539999992</c:v>
                </c:pt>
                <c:pt idx="3">
                  <c:v>31089140.420000006</c:v>
                </c:pt>
              </c:numCache>
            </c:numRef>
          </c:val>
          <c:extLst>
            <c:ext xmlns:c16="http://schemas.microsoft.com/office/drawing/2014/chart" uri="{C3380CC4-5D6E-409C-BE32-E72D297353CC}">
              <c16:uniqueId val="{00000002-B7C1-4A9B-BD6A-0F90433B376B}"/>
            </c:ext>
          </c:extLst>
        </c:ser>
        <c:dLbls>
          <c:dLblPos val="outEnd"/>
          <c:showLegendKey val="0"/>
          <c:showVal val="1"/>
          <c:showCatName val="0"/>
          <c:showSerName val="0"/>
          <c:showPercent val="0"/>
          <c:showBubbleSize val="0"/>
        </c:dLbls>
        <c:gapWidth val="219"/>
        <c:overlap val="-27"/>
        <c:axId val="836010527"/>
        <c:axId val="836031647"/>
      </c:barChart>
      <c:catAx>
        <c:axId val="83601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031647"/>
        <c:crosses val="autoZero"/>
        <c:auto val="1"/>
        <c:lblAlgn val="ctr"/>
        <c:lblOffset val="100"/>
        <c:noMultiLvlLbl val="0"/>
      </c:catAx>
      <c:valAx>
        <c:axId val="83603164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01052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a:t>
            </a:r>
            <a:r>
              <a:rPr lang="en-IN" baseline="0"/>
              <a:t> </a:t>
            </a:r>
            <a:r>
              <a:rPr lang="en-IN"/>
              <a:t>Fullfillment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Analysis!$M$53</c:f>
              <c:strCache>
                <c:ptCount val="1"/>
                <c:pt idx="0">
                  <c:v>Fullfillment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Analysis!$L$54:$L$57</c:f>
              <c:strCache>
                <c:ptCount val="4"/>
                <c:pt idx="0">
                  <c:v>East</c:v>
                </c:pt>
                <c:pt idx="1">
                  <c:v>North</c:v>
                </c:pt>
                <c:pt idx="2">
                  <c:v>South</c:v>
                </c:pt>
                <c:pt idx="3">
                  <c:v>West</c:v>
                </c:pt>
              </c:strCache>
            </c:strRef>
          </c:cat>
          <c:val>
            <c:numRef>
              <c:f>Analysis!$M$54:$M$57</c:f>
              <c:numCache>
                <c:formatCode>0.00%</c:formatCode>
                <c:ptCount val="4"/>
                <c:pt idx="0">
                  <c:v>0.65205479452054793</c:v>
                </c:pt>
                <c:pt idx="1">
                  <c:v>0.67948717948717952</c:v>
                </c:pt>
                <c:pt idx="2">
                  <c:v>0.64438502673796794</c:v>
                </c:pt>
                <c:pt idx="3">
                  <c:v>0.71159029649595684</c:v>
                </c:pt>
              </c:numCache>
            </c:numRef>
          </c:val>
          <c:extLst>
            <c:ext xmlns:c16="http://schemas.microsoft.com/office/drawing/2014/chart" uri="{C3380CC4-5D6E-409C-BE32-E72D297353CC}">
              <c16:uniqueId val="{00000000-4237-40F4-9A8A-1A5DEFAF5630}"/>
            </c:ext>
          </c:extLst>
        </c:ser>
        <c:dLbls>
          <c:dLblPos val="outEnd"/>
          <c:showLegendKey val="0"/>
          <c:showVal val="1"/>
          <c:showCatName val="0"/>
          <c:showSerName val="0"/>
          <c:showPercent val="0"/>
          <c:showBubbleSize val="0"/>
        </c:dLbls>
        <c:gapWidth val="219"/>
        <c:overlap val="-27"/>
        <c:axId val="393959839"/>
        <c:axId val="393967039"/>
      </c:barChart>
      <c:catAx>
        <c:axId val="39395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967039"/>
        <c:crosses val="autoZero"/>
        <c:auto val="1"/>
        <c:lblAlgn val="ctr"/>
        <c:lblOffset val="100"/>
        <c:noMultiLvlLbl val="0"/>
      </c:catAx>
      <c:valAx>
        <c:axId val="39396703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39598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Supplier Late Delivery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Analysis!$G$128</c:f>
              <c:strCache>
                <c:ptCount val="1"/>
                <c:pt idx="0">
                  <c:v>Late Delivery Rate</c:v>
                </c:pt>
              </c:strCache>
            </c:strRef>
          </c:tx>
          <c:spPr>
            <a:solidFill>
              <a:schemeClr val="accent1"/>
            </a:solidFill>
            <a:ln>
              <a:noFill/>
            </a:ln>
            <a:effectLst/>
          </c:spPr>
          <c:invertIfNegative val="0"/>
          <c:cat>
            <c:strRef>
              <c:f>Analysis!$F$129:$F$133</c:f>
              <c:strCache>
                <c:ptCount val="5"/>
                <c:pt idx="0">
                  <c:v>GlobalMart</c:v>
                </c:pt>
                <c:pt idx="1">
                  <c:v>UrbanSupply</c:v>
                </c:pt>
                <c:pt idx="2">
                  <c:v>PrimeGoods</c:v>
                </c:pt>
                <c:pt idx="3">
                  <c:v>DirectWholesale</c:v>
                </c:pt>
                <c:pt idx="4">
                  <c:v>TechSource</c:v>
                </c:pt>
              </c:strCache>
            </c:strRef>
          </c:cat>
          <c:val>
            <c:numRef>
              <c:f>Analysis!$G$129:$G$133</c:f>
              <c:numCache>
                <c:formatCode>0.00%</c:formatCode>
                <c:ptCount val="5"/>
                <c:pt idx="0">
                  <c:v>0.19220000000000001</c:v>
                </c:pt>
                <c:pt idx="1">
                  <c:v>0.19220000000000001</c:v>
                </c:pt>
                <c:pt idx="2">
                  <c:v>0.18010000000000001</c:v>
                </c:pt>
                <c:pt idx="3">
                  <c:v>0.15640000000000001</c:v>
                </c:pt>
                <c:pt idx="4">
                  <c:v>0.15640000000000001</c:v>
                </c:pt>
              </c:numCache>
            </c:numRef>
          </c:val>
          <c:extLst>
            <c:ext xmlns:c16="http://schemas.microsoft.com/office/drawing/2014/chart" uri="{C3380CC4-5D6E-409C-BE32-E72D297353CC}">
              <c16:uniqueId val="{00000000-0B0A-457D-9CA5-B69BEA3E4467}"/>
            </c:ext>
          </c:extLst>
        </c:ser>
        <c:dLbls>
          <c:showLegendKey val="0"/>
          <c:showVal val="0"/>
          <c:showCatName val="0"/>
          <c:showSerName val="0"/>
          <c:showPercent val="0"/>
          <c:showBubbleSize val="0"/>
        </c:dLbls>
        <c:gapWidth val="182"/>
        <c:axId val="400179103"/>
        <c:axId val="400198783"/>
      </c:barChart>
      <c:catAx>
        <c:axId val="40017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198783"/>
        <c:crosses val="autoZero"/>
        <c:auto val="1"/>
        <c:lblAlgn val="ctr"/>
        <c:lblOffset val="100"/>
        <c:noMultiLvlLbl val="0"/>
      </c:catAx>
      <c:valAx>
        <c:axId val="40019878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17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Cancellation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Analysis!$O$83</c:f>
              <c:strCache>
                <c:ptCount val="1"/>
                <c:pt idx="0">
                  <c:v>Cancellation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Analysis!$L$84:$L$88</c:f>
              <c:strCache>
                <c:ptCount val="5"/>
                <c:pt idx="0">
                  <c:v>Storage Box</c:v>
                </c:pt>
                <c:pt idx="1">
                  <c:v>Coffee Maker</c:v>
                </c:pt>
                <c:pt idx="2">
                  <c:v>Cricket Bat</c:v>
                </c:pt>
                <c:pt idx="3">
                  <c:v>Sunscreen</c:v>
                </c:pt>
                <c:pt idx="4">
                  <c:v>Shampoo</c:v>
                </c:pt>
              </c:strCache>
            </c:strRef>
          </c:cat>
          <c:val>
            <c:numRef>
              <c:f>Analysis!$O$84:$O$88</c:f>
              <c:numCache>
                <c:formatCode>0.00%</c:formatCode>
                <c:ptCount val="5"/>
                <c:pt idx="0">
                  <c:v>0.24285714285714285</c:v>
                </c:pt>
                <c:pt idx="1">
                  <c:v>0.20253164556962025</c:v>
                </c:pt>
                <c:pt idx="2">
                  <c:v>0.18309859154929578</c:v>
                </c:pt>
                <c:pt idx="3">
                  <c:v>0.12941176470588237</c:v>
                </c:pt>
                <c:pt idx="4">
                  <c:v>0.12941176470588237</c:v>
                </c:pt>
              </c:numCache>
            </c:numRef>
          </c:val>
          <c:extLst>
            <c:ext xmlns:c16="http://schemas.microsoft.com/office/drawing/2014/chart" uri="{C3380CC4-5D6E-409C-BE32-E72D297353CC}">
              <c16:uniqueId val="{00000000-CD23-4136-9843-D68995E79E3B}"/>
            </c:ext>
          </c:extLst>
        </c:ser>
        <c:dLbls>
          <c:dLblPos val="outEnd"/>
          <c:showLegendKey val="0"/>
          <c:showVal val="1"/>
          <c:showCatName val="0"/>
          <c:showSerName val="0"/>
          <c:showPercent val="0"/>
          <c:showBubbleSize val="0"/>
        </c:dLbls>
        <c:gapWidth val="182"/>
        <c:axId val="400179103"/>
        <c:axId val="400196383"/>
      </c:barChart>
      <c:catAx>
        <c:axId val="400179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196383"/>
        <c:crosses val="autoZero"/>
        <c:auto val="1"/>
        <c:lblAlgn val="ctr"/>
        <c:lblOffset val="100"/>
        <c:noMultiLvlLbl val="0"/>
      </c:catAx>
      <c:valAx>
        <c:axId val="40019638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179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[inventory-stock.xlsx]Analysis!PivotTable22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Stockout Days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Analysis!$M$106</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Analysis!$L$107:$L$127</c:f>
              <c:strCache>
                <c:ptCount val="20"/>
                <c:pt idx="0">
                  <c:v>Cricket Bat</c:v>
                </c:pt>
                <c:pt idx="1">
                  <c:v>Hoodie</c:v>
                </c:pt>
                <c:pt idx="2">
                  <c:v>Moisturizer</c:v>
                </c:pt>
                <c:pt idx="3">
                  <c:v>T-Shirt</c:v>
                </c:pt>
                <c:pt idx="4">
                  <c:v>Shampoo</c:v>
                </c:pt>
                <c:pt idx="5">
                  <c:v>Sneakers</c:v>
                </c:pt>
                <c:pt idx="6">
                  <c:v>Keyboard</c:v>
                </c:pt>
                <c:pt idx="7">
                  <c:v>Bedsheet Set</c:v>
                </c:pt>
                <c:pt idx="8">
                  <c:v>Yoga Mat</c:v>
                </c:pt>
                <c:pt idx="9">
                  <c:v>Bluetooth Speaker</c:v>
                </c:pt>
                <c:pt idx="10">
                  <c:v>Wireless Mouse</c:v>
                </c:pt>
                <c:pt idx="11">
                  <c:v>Coffee Maker</c:v>
                </c:pt>
                <c:pt idx="12">
                  <c:v>Football</c:v>
                </c:pt>
                <c:pt idx="13">
                  <c:v>Jeans</c:v>
                </c:pt>
                <c:pt idx="14">
                  <c:v>Storage Box</c:v>
                </c:pt>
                <c:pt idx="15">
                  <c:v>Sunscreen</c:v>
                </c:pt>
                <c:pt idx="16">
                  <c:v>USB-C Hub</c:v>
                </c:pt>
                <c:pt idx="17">
                  <c:v>Desk Lamp</c:v>
                </c:pt>
                <c:pt idx="18">
                  <c:v>Running Shoes</c:v>
                </c:pt>
                <c:pt idx="19">
                  <c:v>Face Wash</c:v>
                </c:pt>
              </c:strCache>
            </c:strRef>
          </c:cat>
          <c:val>
            <c:numRef>
              <c:f>Analysis!$M$107:$M$127</c:f>
              <c:numCache>
                <c:formatCode>General</c:formatCode>
                <c:ptCount val="20"/>
                <c:pt idx="0">
                  <c:v>1.2535211267605635</c:v>
                </c:pt>
                <c:pt idx="1">
                  <c:v>1.1688311688311688</c:v>
                </c:pt>
                <c:pt idx="2">
                  <c:v>1.1285714285714286</c:v>
                </c:pt>
                <c:pt idx="3">
                  <c:v>1.1136363636363635</c:v>
                </c:pt>
                <c:pt idx="4">
                  <c:v>0.95294117647058818</c:v>
                </c:pt>
                <c:pt idx="5">
                  <c:v>0.93975903614457834</c:v>
                </c:pt>
                <c:pt idx="6">
                  <c:v>0.93442622950819676</c:v>
                </c:pt>
                <c:pt idx="7">
                  <c:v>0.92063492063492058</c:v>
                </c:pt>
                <c:pt idx="8">
                  <c:v>0.90769230769230769</c:v>
                </c:pt>
                <c:pt idx="9">
                  <c:v>0.83783783783783783</c:v>
                </c:pt>
                <c:pt idx="10">
                  <c:v>0.78947368421052633</c:v>
                </c:pt>
                <c:pt idx="11">
                  <c:v>0.77215189873417722</c:v>
                </c:pt>
                <c:pt idx="12">
                  <c:v>0.77142857142857146</c:v>
                </c:pt>
                <c:pt idx="13">
                  <c:v>0.73611111111111116</c:v>
                </c:pt>
                <c:pt idx="14">
                  <c:v>0.72857142857142854</c:v>
                </c:pt>
                <c:pt idx="15">
                  <c:v>0.69411764705882351</c:v>
                </c:pt>
                <c:pt idx="16">
                  <c:v>0.65277777777777779</c:v>
                </c:pt>
                <c:pt idx="17">
                  <c:v>0.62962962962962965</c:v>
                </c:pt>
                <c:pt idx="18">
                  <c:v>0.52</c:v>
                </c:pt>
                <c:pt idx="19">
                  <c:v>0.26506024096385544</c:v>
                </c:pt>
              </c:numCache>
            </c:numRef>
          </c:val>
          <c:extLst>
            <c:ext xmlns:c16="http://schemas.microsoft.com/office/drawing/2014/chart" uri="{C3380CC4-5D6E-409C-BE32-E72D297353CC}">
              <c16:uniqueId val="{00000000-E3D1-4781-8210-016804364162}"/>
            </c:ext>
          </c:extLst>
        </c:ser>
        <c:dLbls>
          <c:dLblPos val="outEnd"/>
          <c:showLegendKey val="0"/>
          <c:showVal val="1"/>
          <c:showCatName val="0"/>
          <c:showSerName val="0"/>
          <c:showPercent val="0"/>
          <c:showBubbleSize val="0"/>
        </c:dLbls>
        <c:gapWidth val="182"/>
        <c:axId val="1187214959"/>
        <c:axId val="1187216879"/>
      </c:barChart>
      <c:catAx>
        <c:axId val="1187214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216879"/>
        <c:crosses val="autoZero"/>
        <c:auto val="1"/>
        <c:lblAlgn val="ctr"/>
        <c:lblOffset val="100"/>
        <c:noMultiLvlLbl val="0"/>
      </c:catAx>
      <c:valAx>
        <c:axId val="11872168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21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68580</xdr:colOff>
      <xdr:row>20</xdr:row>
      <xdr:rowOff>77470</xdr:rowOff>
    </xdr:from>
    <xdr:to>
      <xdr:col>4</xdr:col>
      <xdr:colOff>289560</xdr:colOff>
      <xdr:row>37</xdr:row>
      <xdr:rowOff>129540</xdr:rowOff>
    </xdr:to>
    <xdr:graphicFrame macro="">
      <xdr:nvGraphicFramePr>
        <xdr:cNvPr id="2" name="Chart 1">
          <a:extLst>
            <a:ext uri="{FF2B5EF4-FFF2-40B4-BE49-F238E27FC236}">
              <a16:creationId xmlns:a16="http://schemas.microsoft.com/office/drawing/2014/main" id="{6EC3BEBC-479E-54EC-7828-06177B709F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609600</xdr:colOff>
      <xdr:row>18</xdr:row>
      <xdr:rowOff>156210</xdr:rowOff>
    </xdr:from>
    <xdr:to>
      <xdr:col>9</xdr:col>
      <xdr:colOff>121920</xdr:colOff>
      <xdr:row>36</xdr:row>
      <xdr:rowOff>137160</xdr:rowOff>
    </xdr:to>
    <xdr:graphicFrame macro="">
      <xdr:nvGraphicFramePr>
        <xdr:cNvPr id="3" name="Chart 2">
          <a:extLst>
            <a:ext uri="{FF2B5EF4-FFF2-40B4-BE49-F238E27FC236}">
              <a16:creationId xmlns:a16="http://schemas.microsoft.com/office/drawing/2014/main" id="{BA43243B-2095-A4B7-F701-E56CC78C87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58420</xdr:colOff>
      <xdr:row>19</xdr:row>
      <xdr:rowOff>138430</xdr:rowOff>
    </xdr:from>
    <xdr:to>
      <xdr:col>18</xdr:col>
      <xdr:colOff>325120</xdr:colOff>
      <xdr:row>38</xdr:row>
      <xdr:rowOff>27940</xdr:rowOff>
    </xdr:to>
    <xdr:graphicFrame macro="">
      <xdr:nvGraphicFramePr>
        <xdr:cNvPr id="4" name="Chart 3">
          <a:extLst>
            <a:ext uri="{FF2B5EF4-FFF2-40B4-BE49-F238E27FC236}">
              <a16:creationId xmlns:a16="http://schemas.microsoft.com/office/drawing/2014/main" id="{D5D19B6C-239B-E2B7-1505-FD8CE160A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40</xdr:row>
      <xdr:rowOff>49530</xdr:rowOff>
    </xdr:from>
    <xdr:to>
      <xdr:col>4</xdr:col>
      <xdr:colOff>91440</xdr:colOff>
      <xdr:row>55</xdr:row>
      <xdr:rowOff>49530</xdr:rowOff>
    </xdr:to>
    <xdr:graphicFrame macro="">
      <xdr:nvGraphicFramePr>
        <xdr:cNvPr id="5" name="Chart 4">
          <a:extLst>
            <a:ext uri="{FF2B5EF4-FFF2-40B4-BE49-F238E27FC236}">
              <a16:creationId xmlns:a16="http://schemas.microsoft.com/office/drawing/2014/main" id="{9466A15D-1B5B-C201-DD1A-E1C2344E4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668020</xdr:colOff>
      <xdr:row>40</xdr:row>
      <xdr:rowOff>87630</xdr:rowOff>
    </xdr:from>
    <xdr:to>
      <xdr:col>9</xdr:col>
      <xdr:colOff>355600</xdr:colOff>
      <xdr:row>56</xdr:row>
      <xdr:rowOff>83820</xdr:rowOff>
    </xdr:to>
    <xdr:graphicFrame macro="">
      <xdr:nvGraphicFramePr>
        <xdr:cNvPr id="6" name="Chart 6">
          <a:extLst>
            <a:ext uri="{FF2B5EF4-FFF2-40B4-BE49-F238E27FC236}">
              <a16:creationId xmlns:a16="http://schemas.microsoft.com/office/drawing/2014/main" id="{D10BDD8A-2126-00F7-65A1-AE9B59AC3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132080</xdr:colOff>
      <xdr:row>39</xdr:row>
      <xdr:rowOff>161290</xdr:rowOff>
    </xdr:from>
    <xdr:to>
      <xdr:col>18</xdr:col>
      <xdr:colOff>307340</xdr:colOff>
      <xdr:row>56</xdr:row>
      <xdr:rowOff>2540</xdr:rowOff>
    </xdr:to>
    <xdr:graphicFrame macro="">
      <xdr:nvGraphicFramePr>
        <xdr:cNvPr id="7" name="Chart 7">
          <a:extLst>
            <a:ext uri="{FF2B5EF4-FFF2-40B4-BE49-F238E27FC236}">
              <a16:creationId xmlns:a16="http://schemas.microsoft.com/office/drawing/2014/main" id="{3B1E5046-AF5C-B99B-DF4E-3931764642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734938</xdr:colOff>
      <xdr:row>57</xdr:row>
      <xdr:rowOff>160708</xdr:rowOff>
    </xdr:from>
    <xdr:to>
      <xdr:col>6</xdr:col>
      <xdr:colOff>159758</xdr:colOff>
      <xdr:row>81</xdr:row>
      <xdr:rowOff>53886</xdr:rowOff>
    </xdr:to>
    <xdr:graphicFrame macro="">
      <xdr:nvGraphicFramePr>
        <xdr:cNvPr id="8" name="Chart 8">
          <a:extLst>
            <a:ext uri="{FF2B5EF4-FFF2-40B4-BE49-F238E27FC236}">
              <a16:creationId xmlns:a16="http://schemas.microsoft.com/office/drawing/2014/main" id="{779883DB-9A44-A6AC-AFBA-472D5332A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537028</xdr:colOff>
      <xdr:row>4</xdr:row>
      <xdr:rowOff>123371</xdr:rowOff>
    </xdr:from>
    <xdr:to>
      <xdr:col>5</xdr:col>
      <xdr:colOff>785331</xdr:colOff>
      <xdr:row>18</xdr:row>
      <xdr:rowOff>8296</xdr:rowOff>
    </xdr:to>
    <mc:AlternateContent xmlns:mc="http://schemas.openxmlformats.org/markup-compatibility/2006" xmlns:a14="http://schemas.microsoft.com/office/drawing/2010/main">
      <mc:Choice Requires="a14">
        <xdr:graphicFrame macro="">
          <xdr:nvGraphicFramePr>
            <xdr:cNvPr id="9" name="Inventory Status">
              <a:extLst>
                <a:ext uri="{FF2B5EF4-FFF2-40B4-BE49-F238E27FC236}">
                  <a16:creationId xmlns:a16="http://schemas.microsoft.com/office/drawing/2014/main" id="{A9CE13B3-F5A3-48B9-BD40-B6F1BE7A3970}"/>
                </a:ext>
              </a:extLst>
            </xdr:cNvPr>
            <xdr:cNvGraphicFramePr/>
          </xdr:nvGraphicFramePr>
          <xdr:xfrm>
            <a:off x="0" y="0"/>
            <a:ext cx="0" cy="0"/>
          </xdr:xfrm>
          <a:graphic>
            <a:graphicData uri="http://schemas.microsoft.com/office/drawing/2010/slicer">
              <sle:slicer xmlns:sle="http://schemas.microsoft.com/office/drawing/2010/slicer" name="Inventory Status"/>
            </a:graphicData>
          </a:graphic>
        </xdr:graphicFrame>
      </mc:Choice>
      <mc:Fallback xmlns="">
        <xdr:sp macro="" textlink="">
          <xdr:nvSpPr>
            <xdr:cNvPr id="0" name=""/>
            <xdr:cNvSpPr>
              <a:spLocks noTextEdit="1"/>
            </xdr:cNvSpPr>
          </xdr:nvSpPr>
          <xdr:spPr>
            <a:xfrm>
              <a:off x="5013778" y="1209221"/>
              <a:ext cx="1810403" cy="2551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1295400</xdr:colOff>
      <xdr:row>4</xdr:row>
      <xdr:rowOff>152399</xdr:rowOff>
    </xdr:from>
    <xdr:to>
      <xdr:col>8</xdr:col>
      <xdr:colOff>45102</xdr:colOff>
      <xdr:row>18</xdr:row>
      <xdr:rowOff>37324</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469037C3-E091-4825-889B-60948724A3E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34250" y="1238249"/>
              <a:ext cx="1835802" cy="2551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560224</xdr:colOff>
      <xdr:row>4</xdr:row>
      <xdr:rowOff>81421</xdr:rowOff>
    </xdr:from>
    <xdr:to>
      <xdr:col>4</xdr:col>
      <xdr:colOff>26723</xdr:colOff>
      <xdr:row>17</xdr:row>
      <xdr:rowOff>144044</xdr:rowOff>
    </xdr:to>
    <mc:AlternateContent xmlns:mc="http://schemas.openxmlformats.org/markup-compatibility/2006" xmlns:a14="http://schemas.microsoft.com/office/drawing/2010/main">
      <mc:Choice Requires="a14">
        <xdr:graphicFrame macro="">
          <xdr:nvGraphicFramePr>
            <xdr:cNvPr id="11" name="Supplier">
              <a:extLst>
                <a:ext uri="{FF2B5EF4-FFF2-40B4-BE49-F238E27FC236}">
                  <a16:creationId xmlns:a16="http://schemas.microsoft.com/office/drawing/2014/main" id="{D90E4C2C-7BAB-4ED1-9EAA-8E447BEBB347}"/>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mlns="">
        <xdr:sp macro="" textlink="">
          <xdr:nvSpPr>
            <xdr:cNvPr id="0" name=""/>
            <xdr:cNvSpPr>
              <a:spLocks noTextEdit="1"/>
            </xdr:cNvSpPr>
          </xdr:nvSpPr>
          <xdr:spPr>
            <a:xfrm>
              <a:off x="2674774" y="1167271"/>
              <a:ext cx="1828699" cy="25391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330200</xdr:colOff>
      <xdr:row>4</xdr:row>
      <xdr:rowOff>152400</xdr:rowOff>
    </xdr:from>
    <xdr:to>
      <xdr:col>2</xdr:col>
      <xdr:colOff>19703</xdr:colOff>
      <xdr:row>18</xdr:row>
      <xdr:rowOff>44717</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88BFA20F-A468-4353-86DB-E262EB04686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30200" y="1238250"/>
              <a:ext cx="1804053" cy="25593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ish Viraktamath" refreshedDate="46262.581208333337" createdVersion="8" refreshedVersion="8" minRefreshableVersion="3" recordCount="4" xr:uid="{12889FEF-634D-4C4F-A7ED-3224D9C48DE0}">
  <cacheSource type="worksheet">
    <worksheetSource name="Table2"/>
  </cacheSource>
  <cacheFields count="2">
    <cacheField name="Region" numFmtId="0">
      <sharedItems count="4">
        <s v="East"/>
        <s v="North"/>
        <s v="South"/>
        <s v="West"/>
      </sharedItems>
    </cacheField>
    <cacheField name="Fullfillment Rate" numFmtId="10">
      <sharedItems containsSemiMixedTypes="0" containsString="0" containsNumber="1" minValue="0.64438502673796794" maxValue="0.7115902964959568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ish Viraktamath" refreshedDate="46262.583025231484" createdVersion="8" refreshedVersion="8" minRefreshableVersion="3" recordCount="1500" xr:uid="{4C48D60E-6CF3-4F46-99F6-C8C997B88345}">
  <cacheSource type="worksheet">
    <worksheetSource name="InventoryData"/>
  </cacheSource>
  <cacheFields count="19">
    <cacheField name="Order ID" numFmtId="0">
      <sharedItems/>
    </cacheField>
    <cacheField name="Order Date" numFmtId="164">
      <sharedItems containsSemiMixedTypes="0" containsNonDate="0" containsDate="1" containsString="0" minDate="2026-01-01T00:00:00" maxDate="2027-01-01T00:00:00"/>
    </cacheField>
    <cacheField name="Product" numFmtId="0">
      <sharedItems count="20">
        <s v="Bluetooth Speaker"/>
        <s v="Hoodie"/>
        <s v="Sneakers"/>
        <s v="Wireless Mouse"/>
        <s v="Storage Box"/>
        <s v="Football"/>
        <s v="Sunscreen"/>
        <s v="Yoga Mat"/>
        <s v="Running Shoes"/>
        <s v="T-Shirt"/>
        <s v="Moisturizer"/>
        <s v="Cricket Bat"/>
        <s v="Shampoo"/>
        <s v="Desk Lamp"/>
        <s v="Jeans"/>
        <s v="Face Wash"/>
        <s v="USB-C Hub"/>
        <s v="Keyboard"/>
        <s v="Coffee Maker"/>
        <s v="Bedsheet Set"/>
      </sharedItems>
    </cacheField>
    <cacheField name="Category" numFmtId="0">
      <sharedItems count="5">
        <s v="Electronics"/>
        <s v="Fashion"/>
        <s v="Home"/>
        <s v="Sports"/>
        <s v="Beauty"/>
      </sharedItems>
    </cacheField>
    <cacheField name="Supplier" numFmtId="0">
      <sharedItems count="5">
        <s v="UrbanSupply"/>
        <s v="DirectWholesale"/>
        <s v="PrimeGoods"/>
        <s v="GlobalMart"/>
        <s v="TechSource"/>
      </sharedItems>
    </cacheField>
    <cacheField name="Warehouse" numFmtId="0">
      <sharedItems/>
    </cacheField>
    <cacheField name="Region" numFmtId="0">
      <sharedItems count="4">
        <s v="West"/>
        <s v="South"/>
        <s v="North"/>
        <s v="East"/>
      </sharedItems>
    </cacheField>
    <cacheField name="Opening Stock" numFmtId="0">
      <sharedItems containsSemiMixedTypes="0" containsString="0" containsNumber="1" containsInteger="1" minValue="40" maxValue="220"/>
    </cacheField>
    <cacheField name="Units Received" numFmtId="0">
      <sharedItems containsSemiMixedTypes="0" containsString="0" containsNumber="1" containsInteger="1" minValue="20" maxValue="130"/>
    </cacheField>
    <cacheField name="Units Sold" numFmtId="0">
      <sharedItems containsSemiMixedTypes="0" containsString="0" containsNumber="1" containsInteger="1" minValue="15" maxValue="110"/>
    </cacheField>
    <cacheField name="Closing Stock" numFmtId="0">
      <sharedItems containsSemiMixedTypes="0" containsString="0" containsNumber="1" containsInteger="1" minValue="0" maxValue="323"/>
    </cacheField>
    <cacheField name="Reorder Level" numFmtId="0">
      <sharedItems containsSemiMixedTypes="0" containsString="0" containsNumber="1" containsInteger="1" minValue="45" maxValue="100"/>
    </cacheField>
    <cacheField name="Unit Cost" numFmtId="165">
      <sharedItems containsSemiMixedTypes="0" containsString="0" containsNumber="1" minValue="406.26" maxValue="3506.15"/>
    </cacheField>
    <cacheField name="Lead Time Days" numFmtId="0">
      <sharedItems containsSemiMixedTypes="0" containsString="0" containsNumber="1" containsInteger="1" minValue="2" maxValue="12"/>
    </cacheField>
    <cacheField name="Stockout Days" numFmtId="0">
      <sharedItems containsSemiMixedTypes="0" containsString="0" containsNumber="1" containsInteger="1" minValue="0" maxValue="12"/>
    </cacheField>
    <cacheField name="Supplier Delivery Status" numFmtId="0">
      <sharedItems count="2">
        <s v="Late"/>
        <s v="On Time"/>
      </sharedItems>
    </cacheField>
    <cacheField name="Inventory Status" numFmtId="0">
      <sharedItems count="3">
        <s v="Low Stock"/>
        <s v="Healthy"/>
        <s v="Overstock"/>
      </sharedItems>
    </cacheField>
    <cacheField name="Order Status" numFmtId="0">
      <sharedItems count="4">
        <s v="Delivered"/>
        <s v="Cancelled"/>
        <s v="Pending"/>
        <s v="Returned"/>
      </sharedItems>
    </cacheField>
    <cacheField name="Inventory Value" numFmtId="165">
      <sharedItems containsSemiMixedTypes="0" containsString="0" containsNumber="1" minValue="0" maxValue="931702.59"/>
    </cacheField>
  </cacheFields>
  <extLst>
    <ext xmlns:x14="http://schemas.microsoft.com/office/spreadsheetml/2009/9/main" uri="{725AE2AE-9491-48be-B2B4-4EB974FC3084}">
      <x14:pivotCacheDefinition pivotCacheId="11167368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0.65205479452054793"/>
  </r>
  <r>
    <x v="1"/>
    <n v="0.67948717948717952"/>
  </r>
  <r>
    <x v="2"/>
    <n v="0.64438502673796794"/>
  </r>
  <r>
    <x v="3"/>
    <n v="0.7115902964959568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ORD00001"/>
    <d v="2026-02-17T00:00:00"/>
    <x v="0"/>
    <x v="0"/>
    <x v="0"/>
    <s v="Mumbai"/>
    <x v="0"/>
    <n v="97"/>
    <n v="37"/>
    <n v="109"/>
    <n v="25"/>
    <n v="51"/>
    <n v="1863.61"/>
    <n v="6"/>
    <n v="7"/>
    <x v="0"/>
    <x v="0"/>
    <x v="0"/>
    <n v="46590.25"/>
  </r>
  <r>
    <s v="ORD00002"/>
    <d v="2026-01-04T00:00:00"/>
    <x v="1"/>
    <x v="1"/>
    <x v="1"/>
    <s v="Bangalore"/>
    <x v="1"/>
    <n v="183"/>
    <n v="45"/>
    <n v="106"/>
    <n v="122"/>
    <n v="86"/>
    <n v="1352.34"/>
    <n v="5"/>
    <n v="0"/>
    <x v="1"/>
    <x v="1"/>
    <x v="0"/>
    <n v="164985.47999999998"/>
  </r>
  <r>
    <s v="ORD00003"/>
    <d v="2026-05-16T00:00:00"/>
    <x v="2"/>
    <x v="1"/>
    <x v="0"/>
    <s v="Delhi"/>
    <x v="2"/>
    <n v="79"/>
    <n v="47"/>
    <n v="58"/>
    <n v="68"/>
    <n v="51"/>
    <n v="2204.52"/>
    <n v="2"/>
    <n v="0"/>
    <x v="1"/>
    <x v="1"/>
    <x v="0"/>
    <n v="149907.35999999999"/>
  </r>
  <r>
    <s v="ORD00004"/>
    <d v="2026-04-09T00:00:00"/>
    <x v="3"/>
    <x v="0"/>
    <x v="1"/>
    <s v="Bangalore"/>
    <x v="1"/>
    <n v="136"/>
    <n v="30"/>
    <n v="85"/>
    <n v="81"/>
    <n v="63"/>
    <n v="959.29"/>
    <n v="6"/>
    <n v="0"/>
    <x v="1"/>
    <x v="1"/>
    <x v="0"/>
    <n v="77702.489999999991"/>
  </r>
  <r>
    <s v="ORD00005"/>
    <d v="2026-03-25T00:00:00"/>
    <x v="0"/>
    <x v="0"/>
    <x v="2"/>
    <s v="Delhi"/>
    <x v="2"/>
    <n v="60"/>
    <n v="129"/>
    <n v="44"/>
    <n v="145"/>
    <n v="100"/>
    <n v="1656.36"/>
    <n v="4"/>
    <n v="0"/>
    <x v="1"/>
    <x v="1"/>
    <x v="1"/>
    <n v="240172.19999999998"/>
  </r>
  <r>
    <s v="ORD00006"/>
    <d v="2026-08-25T00:00:00"/>
    <x v="4"/>
    <x v="2"/>
    <x v="2"/>
    <s v="Delhi"/>
    <x v="2"/>
    <n v="219"/>
    <n v="107"/>
    <n v="97"/>
    <n v="229"/>
    <n v="49"/>
    <n v="817.46"/>
    <n v="3"/>
    <n v="0"/>
    <x v="1"/>
    <x v="2"/>
    <x v="0"/>
    <n v="187198.34"/>
  </r>
  <r>
    <s v="ORD00007"/>
    <d v="2026-04-19T00:00:00"/>
    <x v="5"/>
    <x v="3"/>
    <x v="1"/>
    <s v="Mumbai"/>
    <x v="0"/>
    <n v="215"/>
    <n v="61"/>
    <n v="22"/>
    <n v="254"/>
    <n v="59"/>
    <n v="1383.67"/>
    <n v="8"/>
    <n v="0"/>
    <x v="1"/>
    <x v="2"/>
    <x v="0"/>
    <n v="351452.18"/>
  </r>
  <r>
    <s v="ORD00008"/>
    <d v="2026-10-27T00:00:00"/>
    <x v="6"/>
    <x v="4"/>
    <x v="2"/>
    <s v="Kolkata"/>
    <x v="3"/>
    <n v="141"/>
    <n v="102"/>
    <n v="73"/>
    <n v="170"/>
    <n v="54"/>
    <n v="619.42999999999995"/>
    <n v="3"/>
    <n v="0"/>
    <x v="1"/>
    <x v="2"/>
    <x v="0"/>
    <n v="105303.09999999999"/>
  </r>
  <r>
    <s v="ORD00009"/>
    <d v="2026-12-15T00:00:00"/>
    <x v="7"/>
    <x v="3"/>
    <x v="0"/>
    <s v="Mumbai"/>
    <x v="0"/>
    <n v="75"/>
    <n v="85"/>
    <n v="78"/>
    <n v="82"/>
    <n v="50"/>
    <n v="1051.1600000000001"/>
    <n v="8"/>
    <n v="0"/>
    <x v="0"/>
    <x v="1"/>
    <x v="0"/>
    <n v="86195.12000000001"/>
  </r>
  <r>
    <s v="ORD00010"/>
    <d v="2026-02-28T00:00:00"/>
    <x v="8"/>
    <x v="3"/>
    <x v="3"/>
    <s v="Kolkata"/>
    <x v="3"/>
    <n v="192"/>
    <n v="79"/>
    <n v="82"/>
    <n v="189"/>
    <n v="61"/>
    <n v="3063.8"/>
    <n v="8"/>
    <n v="0"/>
    <x v="1"/>
    <x v="2"/>
    <x v="2"/>
    <n v="579058.20000000007"/>
  </r>
  <r>
    <s v="ORD00011"/>
    <d v="2026-09-14T00:00:00"/>
    <x v="6"/>
    <x v="4"/>
    <x v="0"/>
    <s v="Bangalore"/>
    <x v="1"/>
    <n v="115"/>
    <n v="75"/>
    <n v="35"/>
    <n v="155"/>
    <n v="74"/>
    <n v="585.41999999999996"/>
    <n v="7"/>
    <n v="0"/>
    <x v="1"/>
    <x v="1"/>
    <x v="0"/>
    <n v="90740.099999999991"/>
  </r>
  <r>
    <s v="ORD00012"/>
    <d v="2026-09-08T00:00:00"/>
    <x v="9"/>
    <x v="1"/>
    <x v="0"/>
    <s v="Mumbai"/>
    <x v="0"/>
    <n v="79"/>
    <n v="67"/>
    <n v="35"/>
    <n v="111"/>
    <n v="79"/>
    <n v="763.49"/>
    <n v="6"/>
    <n v="0"/>
    <x v="1"/>
    <x v="1"/>
    <x v="0"/>
    <n v="84747.39"/>
  </r>
  <r>
    <s v="ORD00013"/>
    <d v="2026-09-30T00:00:00"/>
    <x v="0"/>
    <x v="0"/>
    <x v="0"/>
    <s v="Delhi"/>
    <x v="2"/>
    <n v="101"/>
    <n v="27"/>
    <n v="45"/>
    <n v="83"/>
    <n v="81"/>
    <n v="1960.9"/>
    <n v="2"/>
    <n v="0"/>
    <x v="1"/>
    <x v="1"/>
    <x v="1"/>
    <n v="162754.70000000001"/>
  </r>
  <r>
    <s v="ORD00014"/>
    <d v="2026-06-09T00:00:00"/>
    <x v="1"/>
    <x v="1"/>
    <x v="3"/>
    <s v="Mumbai"/>
    <x v="0"/>
    <n v="107"/>
    <n v="87"/>
    <n v="92"/>
    <n v="102"/>
    <n v="72"/>
    <n v="1420.73"/>
    <n v="6"/>
    <n v="0"/>
    <x v="1"/>
    <x v="1"/>
    <x v="2"/>
    <n v="144914.46"/>
  </r>
  <r>
    <s v="ORD00015"/>
    <d v="2026-01-04T00:00:00"/>
    <x v="5"/>
    <x v="3"/>
    <x v="3"/>
    <s v="Kolkata"/>
    <x v="3"/>
    <n v="70"/>
    <n v="51"/>
    <n v="43"/>
    <n v="78"/>
    <n v="49"/>
    <n v="1257.9000000000001"/>
    <n v="6"/>
    <n v="0"/>
    <x v="1"/>
    <x v="1"/>
    <x v="0"/>
    <n v="98116.200000000012"/>
  </r>
  <r>
    <s v="ORD00016"/>
    <d v="2026-03-09T00:00:00"/>
    <x v="0"/>
    <x v="0"/>
    <x v="2"/>
    <s v="Bangalore"/>
    <x v="1"/>
    <n v="48"/>
    <n v="130"/>
    <n v="57"/>
    <n v="121"/>
    <n v="49"/>
    <n v="1805.1"/>
    <n v="4"/>
    <n v="0"/>
    <x v="1"/>
    <x v="2"/>
    <x v="0"/>
    <n v="218417.09999999998"/>
  </r>
  <r>
    <s v="ORD00017"/>
    <d v="2026-01-28T00:00:00"/>
    <x v="10"/>
    <x v="4"/>
    <x v="2"/>
    <s v="Kolkata"/>
    <x v="3"/>
    <n v="144"/>
    <n v="44"/>
    <n v="27"/>
    <n v="161"/>
    <n v="51"/>
    <n v="619.08000000000004"/>
    <n v="4"/>
    <n v="0"/>
    <x v="1"/>
    <x v="2"/>
    <x v="0"/>
    <n v="99671.88"/>
  </r>
  <r>
    <s v="ORD00018"/>
    <d v="2026-05-08T00:00:00"/>
    <x v="0"/>
    <x v="0"/>
    <x v="3"/>
    <s v="Delhi"/>
    <x v="2"/>
    <n v="67"/>
    <n v="51"/>
    <n v="39"/>
    <n v="79"/>
    <n v="57"/>
    <n v="1813.06"/>
    <n v="3"/>
    <n v="0"/>
    <x v="1"/>
    <x v="1"/>
    <x v="0"/>
    <n v="143231.74"/>
  </r>
  <r>
    <s v="ORD00019"/>
    <d v="2026-09-06T00:00:00"/>
    <x v="3"/>
    <x v="0"/>
    <x v="1"/>
    <s v="Bangalore"/>
    <x v="1"/>
    <n v="52"/>
    <n v="103"/>
    <n v="84"/>
    <n v="71"/>
    <n v="98"/>
    <n v="812.66"/>
    <n v="2"/>
    <n v="4"/>
    <x v="1"/>
    <x v="1"/>
    <x v="0"/>
    <n v="57698.86"/>
  </r>
  <r>
    <s v="ORD00020"/>
    <d v="2026-12-23T00:00:00"/>
    <x v="11"/>
    <x v="3"/>
    <x v="3"/>
    <s v="Bangalore"/>
    <x v="1"/>
    <n v="82"/>
    <n v="68"/>
    <n v="15"/>
    <n v="135"/>
    <n v="69"/>
    <n v="2096.69"/>
    <n v="8"/>
    <n v="0"/>
    <x v="1"/>
    <x v="1"/>
    <x v="0"/>
    <n v="283053.15000000002"/>
  </r>
  <r>
    <s v="ORD00021"/>
    <d v="2026-10-27T00:00:00"/>
    <x v="10"/>
    <x v="4"/>
    <x v="2"/>
    <s v="Mumbai"/>
    <x v="0"/>
    <n v="115"/>
    <n v="47"/>
    <n v="22"/>
    <n v="140"/>
    <n v="82"/>
    <n v="628.29"/>
    <n v="2"/>
    <n v="0"/>
    <x v="1"/>
    <x v="1"/>
    <x v="0"/>
    <n v="87960.599999999991"/>
  </r>
  <r>
    <s v="ORD00022"/>
    <d v="2026-01-21T00:00:00"/>
    <x v="11"/>
    <x v="3"/>
    <x v="4"/>
    <s v="Bangalore"/>
    <x v="1"/>
    <n v="87"/>
    <n v="28"/>
    <n v="91"/>
    <n v="24"/>
    <n v="49"/>
    <n v="2277.09"/>
    <n v="3"/>
    <n v="4"/>
    <x v="1"/>
    <x v="0"/>
    <x v="0"/>
    <n v="54650.16"/>
  </r>
  <r>
    <s v="ORD00023"/>
    <d v="2026-02-07T00:00:00"/>
    <x v="12"/>
    <x v="4"/>
    <x v="3"/>
    <s v="Delhi"/>
    <x v="2"/>
    <n v="106"/>
    <n v="46"/>
    <n v="100"/>
    <n v="52"/>
    <n v="90"/>
    <n v="481.42"/>
    <n v="4"/>
    <n v="5"/>
    <x v="1"/>
    <x v="0"/>
    <x v="0"/>
    <n v="25033.84"/>
  </r>
  <r>
    <s v="ORD00024"/>
    <d v="2026-07-09T00:00:00"/>
    <x v="3"/>
    <x v="0"/>
    <x v="1"/>
    <s v="Bangalore"/>
    <x v="1"/>
    <n v="58"/>
    <n v="88"/>
    <n v="42"/>
    <n v="104"/>
    <n v="77"/>
    <n v="857.74"/>
    <n v="4"/>
    <n v="0"/>
    <x v="1"/>
    <x v="1"/>
    <x v="1"/>
    <n v="89204.96"/>
  </r>
  <r>
    <s v="ORD00025"/>
    <d v="2026-02-23T00:00:00"/>
    <x v="13"/>
    <x v="2"/>
    <x v="3"/>
    <s v="Delhi"/>
    <x v="2"/>
    <n v="196"/>
    <n v="123"/>
    <n v="98"/>
    <n v="221"/>
    <n v="78"/>
    <n v="991.72"/>
    <n v="8"/>
    <n v="0"/>
    <x v="1"/>
    <x v="2"/>
    <x v="3"/>
    <n v="219170.12"/>
  </r>
  <r>
    <s v="ORD00026"/>
    <d v="2026-05-16T00:00:00"/>
    <x v="14"/>
    <x v="1"/>
    <x v="4"/>
    <s v="Bangalore"/>
    <x v="1"/>
    <n v="181"/>
    <n v="39"/>
    <n v="49"/>
    <n v="171"/>
    <n v="63"/>
    <n v="1633.55"/>
    <n v="7"/>
    <n v="0"/>
    <x v="1"/>
    <x v="2"/>
    <x v="2"/>
    <n v="279337.05"/>
  </r>
  <r>
    <s v="ORD00027"/>
    <d v="2026-05-15T00:00:00"/>
    <x v="10"/>
    <x v="4"/>
    <x v="0"/>
    <s v="Bangalore"/>
    <x v="1"/>
    <n v="63"/>
    <n v="101"/>
    <n v="69"/>
    <n v="95"/>
    <n v="98"/>
    <n v="573.20000000000005"/>
    <n v="2"/>
    <n v="3"/>
    <x v="1"/>
    <x v="1"/>
    <x v="0"/>
    <n v="54454.000000000007"/>
  </r>
  <r>
    <s v="ORD00028"/>
    <d v="2026-07-09T00:00:00"/>
    <x v="2"/>
    <x v="1"/>
    <x v="1"/>
    <s v="Kolkata"/>
    <x v="3"/>
    <n v="183"/>
    <n v="21"/>
    <n v="29"/>
    <n v="175"/>
    <n v="49"/>
    <n v="2613.62"/>
    <n v="7"/>
    <n v="0"/>
    <x v="1"/>
    <x v="2"/>
    <x v="0"/>
    <n v="457383.5"/>
  </r>
  <r>
    <s v="ORD00029"/>
    <d v="2026-12-08T00:00:00"/>
    <x v="15"/>
    <x v="4"/>
    <x v="3"/>
    <s v="Mumbai"/>
    <x v="0"/>
    <n v="50"/>
    <n v="59"/>
    <n v="61"/>
    <n v="48"/>
    <n v="95"/>
    <n v="492.5"/>
    <n v="2"/>
    <n v="4"/>
    <x v="1"/>
    <x v="0"/>
    <x v="2"/>
    <n v="23640"/>
  </r>
  <r>
    <s v="ORD00030"/>
    <d v="2026-01-13T00:00:00"/>
    <x v="16"/>
    <x v="0"/>
    <x v="1"/>
    <s v="Kolkata"/>
    <x v="3"/>
    <n v="198"/>
    <n v="115"/>
    <n v="34"/>
    <n v="279"/>
    <n v="60"/>
    <n v="1287.51"/>
    <n v="8"/>
    <n v="0"/>
    <x v="1"/>
    <x v="2"/>
    <x v="1"/>
    <n v="359215.29"/>
  </r>
  <r>
    <s v="ORD00031"/>
    <d v="2026-08-24T00:00:00"/>
    <x v="14"/>
    <x v="1"/>
    <x v="3"/>
    <s v="Mumbai"/>
    <x v="0"/>
    <n v="108"/>
    <n v="40"/>
    <n v="104"/>
    <n v="44"/>
    <n v="51"/>
    <n v="1562.41"/>
    <n v="2"/>
    <n v="4"/>
    <x v="1"/>
    <x v="1"/>
    <x v="0"/>
    <n v="68746.040000000008"/>
  </r>
  <r>
    <s v="ORD00032"/>
    <d v="2026-06-29T00:00:00"/>
    <x v="4"/>
    <x v="2"/>
    <x v="2"/>
    <s v="Mumbai"/>
    <x v="0"/>
    <n v="46"/>
    <n v="104"/>
    <n v="39"/>
    <n v="111"/>
    <n v="70"/>
    <n v="772.52"/>
    <n v="8"/>
    <n v="0"/>
    <x v="0"/>
    <x v="1"/>
    <x v="2"/>
    <n v="85749.72"/>
  </r>
  <r>
    <s v="ORD00033"/>
    <d v="2026-06-10T00:00:00"/>
    <x v="10"/>
    <x v="4"/>
    <x v="1"/>
    <s v="Delhi"/>
    <x v="2"/>
    <n v="47"/>
    <n v="34"/>
    <n v="48"/>
    <n v="33"/>
    <n v="56"/>
    <n v="609.66999999999996"/>
    <n v="4"/>
    <n v="7"/>
    <x v="0"/>
    <x v="0"/>
    <x v="0"/>
    <n v="20119.109999999997"/>
  </r>
  <r>
    <s v="ORD00034"/>
    <d v="2026-02-05T00:00:00"/>
    <x v="8"/>
    <x v="3"/>
    <x v="3"/>
    <s v="Mumbai"/>
    <x v="0"/>
    <n v="105"/>
    <n v="25"/>
    <n v="105"/>
    <n v="25"/>
    <n v="72"/>
    <n v="2520.9499999999998"/>
    <n v="8"/>
    <n v="4"/>
    <x v="1"/>
    <x v="0"/>
    <x v="0"/>
    <n v="63023.749999999993"/>
  </r>
  <r>
    <s v="ORD00035"/>
    <d v="2026-08-04T00:00:00"/>
    <x v="4"/>
    <x v="2"/>
    <x v="4"/>
    <s v="Delhi"/>
    <x v="2"/>
    <n v="169"/>
    <n v="59"/>
    <n v="100"/>
    <n v="128"/>
    <n v="71"/>
    <n v="772.19"/>
    <n v="7"/>
    <n v="0"/>
    <x v="1"/>
    <x v="1"/>
    <x v="0"/>
    <n v="98840.320000000007"/>
  </r>
  <r>
    <s v="ORD00036"/>
    <d v="2026-06-14T00:00:00"/>
    <x v="11"/>
    <x v="3"/>
    <x v="1"/>
    <s v="Delhi"/>
    <x v="2"/>
    <n v="143"/>
    <n v="90"/>
    <n v="15"/>
    <n v="218"/>
    <n v="64"/>
    <n v="2106.2399999999998"/>
    <n v="5"/>
    <n v="0"/>
    <x v="1"/>
    <x v="2"/>
    <x v="0"/>
    <n v="459160.31999999995"/>
  </r>
  <r>
    <s v="ORD00037"/>
    <d v="2026-06-21T00:00:00"/>
    <x v="7"/>
    <x v="3"/>
    <x v="3"/>
    <s v="Mumbai"/>
    <x v="0"/>
    <n v="170"/>
    <n v="80"/>
    <n v="109"/>
    <n v="141"/>
    <n v="55"/>
    <n v="1031.77"/>
    <n v="4"/>
    <n v="0"/>
    <x v="1"/>
    <x v="2"/>
    <x v="0"/>
    <n v="145479.57"/>
  </r>
  <r>
    <s v="ORD00038"/>
    <d v="2026-08-22T00:00:00"/>
    <x v="17"/>
    <x v="0"/>
    <x v="0"/>
    <s v="Mumbai"/>
    <x v="0"/>
    <n v="90"/>
    <n v="38"/>
    <n v="18"/>
    <n v="110"/>
    <n v="47"/>
    <n v="1328.56"/>
    <n v="5"/>
    <n v="0"/>
    <x v="1"/>
    <x v="2"/>
    <x v="2"/>
    <n v="146141.6"/>
  </r>
  <r>
    <s v="ORD00039"/>
    <d v="2026-08-06T00:00:00"/>
    <x v="11"/>
    <x v="3"/>
    <x v="3"/>
    <s v="Kolkata"/>
    <x v="3"/>
    <n v="142"/>
    <n v="51"/>
    <n v="33"/>
    <n v="160"/>
    <n v="86"/>
    <n v="2282.5500000000002"/>
    <n v="8"/>
    <n v="0"/>
    <x v="1"/>
    <x v="1"/>
    <x v="1"/>
    <n v="365208"/>
  </r>
  <r>
    <s v="ORD00040"/>
    <d v="2026-08-15T00:00:00"/>
    <x v="1"/>
    <x v="1"/>
    <x v="1"/>
    <s v="Kolkata"/>
    <x v="3"/>
    <n v="52"/>
    <n v="91"/>
    <n v="46"/>
    <n v="97"/>
    <n v="99"/>
    <n v="1201.55"/>
    <n v="3"/>
    <n v="6"/>
    <x v="1"/>
    <x v="1"/>
    <x v="3"/>
    <n v="116550.34999999999"/>
  </r>
  <r>
    <s v="ORD00041"/>
    <d v="2026-09-24T00:00:00"/>
    <x v="10"/>
    <x v="4"/>
    <x v="1"/>
    <s v="Kolkata"/>
    <x v="3"/>
    <n v="80"/>
    <n v="115"/>
    <n v="75"/>
    <n v="120"/>
    <n v="73"/>
    <n v="571.1"/>
    <n v="3"/>
    <n v="0"/>
    <x v="1"/>
    <x v="1"/>
    <x v="0"/>
    <n v="68532"/>
  </r>
  <r>
    <s v="ORD00042"/>
    <d v="2026-03-19T00:00:00"/>
    <x v="11"/>
    <x v="3"/>
    <x v="0"/>
    <s v="Kolkata"/>
    <x v="3"/>
    <n v="59"/>
    <n v="111"/>
    <n v="51"/>
    <n v="119"/>
    <n v="60"/>
    <n v="2099.5500000000002"/>
    <n v="4"/>
    <n v="0"/>
    <x v="1"/>
    <x v="1"/>
    <x v="0"/>
    <n v="249846.45"/>
  </r>
  <r>
    <s v="ORD00043"/>
    <d v="2026-10-27T00:00:00"/>
    <x v="2"/>
    <x v="1"/>
    <x v="2"/>
    <s v="Mumbai"/>
    <x v="0"/>
    <n v="56"/>
    <n v="73"/>
    <n v="67"/>
    <n v="62"/>
    <n v="66"/>
    <n v="2420.4499999999998"/>
    <n v="5"/>
    <n v="7"/>
    <x v="0"/>
    <x v="1"/>
    <x v="0"/>
    <n v="150067.9"/>
  </r>
  <r>
    <s v="ORD00044"/>
    <d v="2026-10-07T00:00:00"/>
    <x v="3"/>
    <x v="0"/>
    <x v="3"/>
    <s v="Bangalore"/>
    <x v="1"/>
    <n v="130"/>
    <n v="58"/>
    <n v="64"/>
    <n v="124"/>
    <n v="99"/>
    <n v="970.5"/>
    <n v="8"/>
    <n v="0"/>
    <x v="1"/>
    <x v="1"/>
    <x v="2"/>
    <n v="120342"/>
  </r>
  <r>
    <s v="ORD00045"/>
    <d v="2026-03-26T00:00:00"/>
    <x v="15"/>
    <x v="4"/>
    <x v="3"/>
    <s v="Mumbai"/>
    <x v="0"/>
    <n v="109"/>
    <n v="75"/>
    <n v="77"/>
    <n v="107"/>
    <n v="46"/>
    <n v="440"/>
    <n v="7"/>
    <n v="0"/>
    <x v="1"/>
    <x v="2"/>
    <x v="0"/>
    <n v="47080"/>
  </r>
  <r>
    <s v="ORD00046"/>
    <d v="2026-04-04T00:00:00"/>
    <x v="11"/>
    <x v="3"/>
    <x v="1"/>
    <s v="Bangalore"/>
    <x v="1"/>
    <n v="140"/>
    <n v="95"/>
    <n v="87"/>
    <n v="148"/>
    <n v="87"/>
    <n v="1991.92"/>
    <n v="7"/>
    <n v="0"/>
    <x v="1"/>
    <x v="1"/>
    <x v="1"/>
    <n v="294804.16000000003"/>
  </r>
  <r>
    <s v="ORD00047"/>
    <d v="2026-08-04T00:00:00"/>
    <x v="16"/>
    <x v="0"/>
    <x v="3"/>
    <s v="Delhi"/>
    <x v="2"/>
    <n v="94"/>
    <n v="78"/>
    <n v="56"/>
    <n v="116"/>
    <n v="66"/>
    <n v="1262.7"/>
    <n v="5"/>
    <n v="0"/>
    <x v="1"/>
    <x v="1"/>
    <x v="3"/>
    <n v="146473.20000000001"/>
  </r>
  <r>
    <s v="ORD00048"/>
    <d v="2026-01-11T00:00:00"/>
    <x v="18"/>
    <x v="2"/>
    <x v="3"/>
    <s v="Bangalore"/>
    <x v="1"/>
    <n v="178"/>
    <n v="26"/>
    <n v="59"/>
    <n v="145"/>
    <n v="59"/>
    <n v="3296.09"/>
    <n v="12"/>
    <n v="1"/>
    <x v="0"/>
    <x v="2"/>
    <x v="0"/>
    <n v="477933.05000000005"/>
  </r>
  <r>
    <s v="ORD00049"/>
    <d v="2026-03-27T00:00:00"/>
    <x v="15"/>
    <x v="4"/>
    <x v="2"/>
    <s v="Mumbai"/>
    <x v="0"/>
    <n v="161"/>
    <n v="105"/>
    <n v="29"/>
    <n v="237"/>
    <n v="81"/>
    <n v="490.3"/>
    <n v="5"/>
    <n v="0"/>
    <x v="1"/>
    <x v="2"/>
    <x v="2"/>
    <n v="116201.1"/>
  </r>
  <r>
    <s v="ORD00050"/>
    <d v="2026-02-08T00:00:00"/>
    <x v="12"/>
    <x v="4"/>
    <x v="2"/>
    <s v="Delhi"/>
    <x v="2"/>
    <n v="67"/>
    <n v="94"/>
    <n v="18"/>
    <n v="143"/>
    <n v="64"/>
    <n v="507.58"/>
    <n v="5"/>
    <n v="0"/>
    <x v="1"/>
    <x v="2"/>
    <x v="2"/>
    <n v="72583.94"/>
  </r>
  <r>
    <s v="ORD00051"/>
    <d v="2026-12-05T00:00:00"/>
    <x v="15"/>
    <x v="4"/>
    <x v="4"/>
    <s v="Delhi"/>
    <x v="2"/>
    <n v="215"/>
    <n v="96"/>
    <n v="30"/>
    <n v="281"/>
    <n v="95"/>
    <n v="493.55"/>
    <n v="8"/>
    <n v="0"/>
    <x v="0"/>
    <x v="2"/>
    <x v="0"/>
    <n v="138687.55000000002"/>
  </r>
  <r>
    <s v="ORD00052"/>
    <d v="2026-08-24T00:00:00"/>
    <x v="18"/>
    <x v="2"/>
    <x v="1"/>
    <s v="Delhi"/>
    <x v="2"/>
    <n v="43"/>
    <n v="128"/>
    <n v="68"/>
    <n v="103"/>
    <n v="97"/>
    <n v="3193.73"/>
    <n v="5"/>
    <n v="0"/>
    <x v="1"/>
    <x v="1"/>
    <x v="0"/>
    <n v="328954.19"/>
  </r>
  <r>
    <s v="ORD00053"/>
    <d v="2026-06-15T00:00:00"/>
    <x v="2"/>
    <x v="1"/>
    <x v="2"/>
    <s v="Delhi"/>
    <x v="2"/>
    <n v="197"/>
    <n v="123"/>
    <n v="83"/>
    <n v="237"/>
    <n v="94"/>
    <n v="2392.08"/>
    <n v="5"/>
    <n v="0"/>
    <x v="1"/>
    <x v="2"/>
    <x v="0"/>
    <n v="566922.96"/>
  </r>
  <r>
    <s v="ORD00054"/>
    <d v="2026-06-16T00:00:00"/>
    <x v="9"/>
    <x v="1"/>
    <x v="0"/>
    <s v="Kolkata"/>
    <x v="3"/>
    <n v="102"/>
    <n v="116"/>
    <n v="74"/>
    <n v="144"/>
    <n v="81"/>
    <n v="715.45"/>
    <n v="5"/>
    <n v="0"/>
    <x v="1"/>
    <x v="1"/>
    <x v="0"/>
    <n v="103024.8"/>
  </r>
  <r>
    <s v="ORD00055"/>
    <d v="2026-04-08T00:00:00"/>
    <x v="2"/>
    <x v="1"/>
    <x v="2"/>
    <s v="Delhi"/>
    <x v="2"/>
    <n v="106"/>
    <n v="63"/>
    <n v="50"/>
    <n v="119"/>
    <n v="83"/>
    <n v="2496.5700000000002"/>
    <n v="4"/>
    <n v="0"/>
    <x v="1"/>
    <x v="1"/>
    <x v="0"/>
    <n v="297091.83"/>
  </r>
  <r>
    <s v="ORD00056"/>
    <d v="2026-02-17T00:00:00"/>
    <x v="17"/>
    <x v="0"/>
    <x v="3"/>
    <s v="Kolkata"/>
    <x v="3"/>
    <n v="182"/>
    <n v="117"/>
    <n v="45"/>
    <n v="254"/>
    <n v="89"/>
    <n v="1393.31"/>
    <n v="7"/>
    <n v="0"/>
    <x v="1"/>
    <x v="2"/>
    <x v="2"/>
    <n v="353900.74"/>
  </r>
  <r>
    <s v="ORD00057"/>
    <d v="2026-10-09T00:00:00"/>
    <x v="13"/>
    <x v="2"/>
    <x v="3"/>
    <s v="Mumbai"/>
    <x v="0"/>
    <n v="118"/>
    <n v="104"/>
    <n v="89"/>
    <n v="133"/>
    <n v="68"/>
    <n v="1094.1199999999999"/>
    <n v="6"/>
    <n v="0"/>
    <x v="1"/>
    <x v="1"/>
    <x v="3"/>
    <n v="145517.96"/>
  </r>
  <r>
    <s v="ORD00058"/>
    <d v="2026-12-20T00:00:00"/>
    <x v="4"/>
    <x v="2"/>
    <x v="3"/>
    <s v="Delhi"/>
    <x v="2"/>
    <n v="118"/>
    <n v="52"/>
    <n v="44"/>
    <n v="126"/>
    <n v="52"/>
    <n v="835.41"/>
    <n v="4"/>
    <n v="0"/>
    <x v="0"/>
    <x v="2"/>
    <x v="0"/>
    <n v="105261.65999999999"/>
  </r>
  <r>
    <s v="ORD00059"/>
    <d v="2026-06-01T00:00:00"/>
    <x v="1"/>
    <x v="1"/>
    <x v="2"/>
    <s v="Kolkata"/>
    <x v="3"/>
    <n v="110"/>
    <n v="112"/>
    <n v="90"/>
    <n v="132"/>
    <n v="93"/>
    <n v="1306.4100000000001"/>
    <n v="4"/>
    <n v="0"/>
    <x v="1"/>
    <x v="1"/>
    <x v="1"/>
    <n v="172446.12000000002"/>
  </r>
  <r>
    <s v="ORD00060"/>
    <d v="2026-03-06T00:00:00"/>
    <x v="14"/>
    <x v="1"/>
    <x v="2"/>
    <s v="Delhi"/>
    <x v="2"/>
    <n v="43"/>
    <n v="110"/>
    <n v="83"/>
    <n v="70"/>
    <n v="53"/>
    <n v="1527.78"/>
    <n v="2"/>
    <n v="0"/>
    <x v="1"/>
    <x v="1"/>
    <x v="2"/>
    <n v="106944.59999999999"/>
  </r>
  <r>
    <s v="ORD00061"/>
    <d v="2026-02-28T00:00:00"/>
    <x v="8"/>
    <x v="3"/>
    <x v="4"/>
    <s v="Delhi"/>
    <x v="2"/>
    <n v="160"/>
    <n v="81"/>
    <n v="71"/>
    <n v="170"/>
    <n v="66"/>
    <n v="2623.24"/>
    <n v="2"/>
    <n v="0"/>
    <x v="1"/>
    <x v="2"/>
    <x v="1"/>
    <n v="445950.8"/>
  </r>
  <r>
    <s v="ORD00062"/>
    <d v="2026-05-08T00:00:00"/>
    <x v="3"/>
    <x v="0"/>
    <x v="3"/>
    <s v="Bangalore"/>
    <x v="1"/>
    <n v="187"/>
    <n v="100"/>
    <n v="102"/>
    <n v="185"/>
    <n v="48"/>
    <n v="837.31"/>
    <n v="8"/>
    <n v="0"/>
    <x v="1"/>
    <x v="2"/>
    <x v="0"/>
    <n v="154902.34999999998"/>
  </r>
  <r>
    <s v="ORD00063"/>
    <d v="2026-11-14T00:00:00"/>
    <x v="3"/>
    <x v="0"/>
    <x v="1"/>
    <s v="Mumbai"/>
    <x v="0"/>
    <n v="173"/>
    <n v="68"/>
    <n v="72"/>
    <n v="169"/>
    <n v="73"/>
    <n v="863.52"/>
    <n v="6"/>
    <n v="0"/>
    <x v="1"/>
    <x v="2"/>
    <x v="0"/>
    <n v="145934.88"/>
  </r>
  <r>
    <s v="ORD00064"/>
    <d v="2026-08-19T00:00:00"/>
    <x v="0"/>
    <x v="0"/>
    <x v="2"/>
    <s v="Mumbai"/>
    <x v="0"/>
    <n v="107"/>
    <n v="104"/>
    <n v="25"/>
    <n v="186"/>
    <n v="55"/>
    <n v="1706.35"/>
    <n v="6"/>
    <n v="0"/>
    <x v="0"/>
    <x v="2"/>
    <x v="0"/>
    <n v="317381.09999999998"/>
  </r>
  <r>
    <s v="ORD00065"/>
    <d v="2026-11-17T00:00:00"/>
    <x v="10"/>
    <x v="4"/>
    <x v="0"/>
    <s v="Bangalore"/>
    <x v="1"/>
    <n v="99"/>
    <n v="56"/>
    <n v="105"/>
    <n v="50"/>
    <n v="63"/>
    <n v="624.36"/>
    <n v="5"/>
    <n v="4"/>
    <x v="0"/>
    <x v="1"/>
    <x v="3"/>
    <n v="31218"/>
  </r>
  <r>
    <s v="ORD00066"/>
    <d v="2026-06-07T00:00:00"/>
    <x v="15"/>
    <x v="4"/>
    <x v="3"/>
    <s v="Bangalore"/>
    <x v="1"/>
    <n v="179"/>
    <n v="48"/>
    <n v="97"/>
    <n v="130"/>
    <n v="54"/>
    <n v="486.76"/>
    <n v="8"/>
    <n v="0"/>
    <x v="0"/>
    <x v="2"/>
    <x v="0"/>
    <n v="63278.799999999996"/>
  </r>
  <r>
    <s v="ORD00067"/>
    <d v="2026-02-11T00:00:00"/>
    <x v="6"/>
    <x v="4"/>
    <x v="3"/>
    <s v="Bangalore"/>
    <x v="1"/>
    <n v="159"/>
    <n v="108"/>
    <n v="53"/>
    <n v="214"/>
    <n v="89"/>
    <n v="637.33000000000004"/>
    <n v="4"/>
    <n v="0"/>
    <x v="1"/>
    <x v="2"/>
    <x v="0"/>
    <n v="136388.62"/>
  </r>
  <r>
    <s v="ORD00068"/>
    <d v="2026-01-11T00:00:00"/>
    <x v="12"/>
    <x v="4"/>
    <x v="3"/>
    <s v="Delhi"/>
    <x v="2"/>
    <n v="194"/>
    <n v="52"/>
    <n v="18"/>
    <n v="228"/>
    <n v="50"/>
    <n v="472.89"/>
    <n v="7"/>
    <n v="0"/>
    <x v="1"/>
    <x v="2"/>
    <x v="0"/>
    <n v="107818.92"/>
  </r>
  <r>
    <s v="ORD00069"/>
    <d v="2026-02-16T00:00:00"/>
    <x v="18"/>
    <x v="2"/>
    <x v="2"/>
    <s v="Kolkata"/>
    <x v="3"/>
    <n v="172"/>
    <n v="103"/>
    <n v="71"/>
    <n v="204"/>
    <n v="62"/>
    <n v="2996.15"/>
    <n v="6"/>
    <n v="0"/>
    <x v="1"/>
    <x v="2"/>
    <x v="1"/>
    <n v="611214.6"/>
  </r>
  <r>
    <s v="ORD00070"/>
    <d v="2026-07-25T00:00:00"/>
    <x v="5"/>
    <x v="3"/>
    <x v="3"/>
    <s v="Delhi"/>
    <x v="2"/>
    <n v="122"/>
    <n v="105"/>
    <n v="28"/>
    <n v="199"/>
    <n v="99"/>
    <n v="1211.81"/>
    <n v="5"/>
    <n v="0"/>
    <x v="1"/>
    <x v="1"/>
    <x v="0"/>
    <n v="241150.19"/>
  </r>
  <r>
    <s v="ORD00071"/>
    <d v="2026-01-01T00:00:00"/>
    <x v="12"/>
    <x v="4"/>
    <x v="3"/>
    <s v="Bangalore"/>
    <x v="1"/>
    <n v="120"/>
    <n v="52"/>
    <n v="56"/>
    <n v="116"/>
    <n v="52"/>
    <n v="547.02"/>
    <n v="5"/>
    <n v="0"/>
    <x v="1"/>
    <x v="2"/>
    <x v="1"/>
    <n v="63454.32"/>
  </r>
  <r>
    <s v="ORD00072"/>
    <d v="2026-05-17T00:00:00"/>
    <x v="10"/>
    <x v="4"/>
    <x v="3"/>
    <s v="Bangalore"/>
    <x v="1"/>
    <n v="88"/>
    <n v="86"/>
    <n v="61"/>
    <n v="113"/>
    <n v="84"/>
    <n v="630.77"/>
    <n v="7"/>
    <n v="0"/>
    <x v="1"/>
    <x v="1"/>
    <x v="0"/>
    <n v="71277.009999999995"/>
  </r>
  <r>
    <s v="ORD00073"/>
    <d v="2026-06-09T00:00:00"/>
    <x v="15"/>
    <x v="4"/>
    <x v="0"/>
    <s v="Kolkata"/>
    <x v="3"/>
    <n v="218"/>
    <n v="82"/>
    <n v="30"/>
    <n v="270"/>
    <n v="46"/>
    <n v="492.58"/>
    <n v="6"/>
    <n v="0"/>
    <x v="1"/>
    <x v="2"/>
    <x v="2"/>
    <n v="132996.6"/>
  </r>
  <r>
    <s v="ORD00074"/>
    <d v="2026-05-30T00:00:00"/>
    <x v="12"/>
    <x v="4"/>
    <x v="1"/>
    <s v="Kolkata"/>
    <x v="3"/>
    <n v="63"/>
    <n v="48"/>
    <n v="29"/>
    <n v="82"/>
    <n v="74"/>
    <n v="544.71"/>
    <n v="7"/>
    <n v="0"/>
    <x v="1"/>
    <x v="1"/>
    <x v="0"/>
    <n v="44666.22"/>
  </r>
  <r>
    <s v="ORD00075"/>
    <d v="2026-03-11T00:00:00"/>
    <x v="6"/>
    <x v="4"/>
    <x v="3"/>
    <s v="Kolkata"/>
    <x v="3"/>
    <n v="160"/>
    <n v="51"/>
    <n v="73"/>
    <n v="138"/>
    <n v="80"/>
    <n v="603.79999999999995"/>
    <n v="3"/>
    <n v="0"/>
    <x v="1"/>
    <x v="1"/>
    <x v="0"/>
    <n v="83324.399999999994"/>
  </r>
  <r>
    <s v="ORD00076"/>
    <d v="2026-09-08T00:00:00"/>
    <x v="16"/>
    <x v="0"/>
    <x v="3"/>
    <s v="Delhi"/>
    <x v="2"/>
    <n v="169"/>
    <n v="54"/>
    <n v="15"/>
    <n v="208"/>
    <n v="63"/>
    <n v="1254.25"/>
    <n v="8"/>
    <n v="0"/>
    <x v="1"/>
    <x v="2"/>
    <x v="3"/>
    <n v="260884"/>
  </r>
  <r>
    <s v="ORD00077"/>
    <d v="2026-12-24T00:00:00"/>
    <x v="2"/>
    <x v="1"/>
    <x v="1"/>
    <s v="Kolkata"/>
    <x v="3"/>
    <n v="128"/>
    <n v="62"/>
    <n v="85"/>
    <n v="105"/>
    <n v="93"/>
    <n v="2420.85"/>
    <n v="5"/>
    <n v="0"/>
    <x v="1"/>
    <x v="1"/>
    <x v="1"/>
    <n v="254189.25"/>
  </r>
  <r>
    <s v="ORD00078"/>
    <d v="2026-01-19T00:00:00"/>
    <x v="2"/>
    <x v="1"/>
    <x v="2"/>
    <s v="Kolkata"/>
    <x v="3"/>
    <n v="51"/>
    <n v="60"/>
    <n v="110"/>
    <n v="1"/>
    <n v="75"/>
    <n v="2498.5100000000002"/>
    <n v="8"/>
    <n v="3"/>
    <x v="1"/>
    <x v="0"/>
    <x v="0"/>
    <n v="2498.5100000000002"/>
  </r>
  <r>
    <s v="ORD00079"/>
    <d v="2026-02-08T00:00:00"/>
    <x v="14"/>
    <x v="1"/>
    <x v="4"/>
    <s v="Kolkata"/>
    <x v="3"/>
    <n v="65"/>
    <n v="87"/>
    <n v="73"/>
    <n v="79"/>
    <n v="45"/>
    <n v="1671.18"/>
    <n v="5"/>
    <n v="0"/>
    <x v="1"/>
    <x v="1"/>
    <x v="3"/>
    <n v="132023.22"/>
  </r>
  <r>
    <s v="ORD00080"/>
    <d v="2026-09-07T00:00:00"/>
    <x v="5"/>
    <x v="3"/>
    <x v="0"/>
    <s v="Kolkata"/>
    <x v="3"/>
    <n v="206"/>
    <n v="30"/>
    <n v="57"/>
    <n v="179"/>
    <n v="99"/>
    <n v="1345.33"/>
    <n v="6"/>
    <n v="0"/>
    <x v="1"/>
    <x v="1"/>
    <x v="0"/>
    <n v="240814.06999999998"/>
  </r>
  <r>
    <s v="ORD00081"/>
    <d v="2026-11-21T00:00:00"/>
    <x v="12"/>
    <x v="4"/>
    <x v="1"/>
    <s v="Bangalore"/>
    <x v="1"/>
    <n v="100"/>
    <n v="100"/>
    <n v="102"/>
    <n v="98"/>
    <n v="63"/>
    <n v="549.74"/>
    <n v="7"/>
    <n v="0"/>
    <x v="0"/>
    <x v="1"/>
    <x v="3"/>
    <n v="53874.520000000004"/>
  </r>
  <r>
    <s v="ORD00082"/>
    <d v="2026-07-30T00:00:00"/>
    <x v="3"/>
    <x v="0"/>
    <x v="2"/>
    <s v="Delhi"/>
    <x v="2"/>
    <n v="47"/>
    <n v="25"/>
    <n v="56"/>
    <n v="16"/>
    <n v="95"/>
    <n v="820.1"/>
    <n v="4"/>
    <n v="3"/>
    <x v="1"/>
    <x v="0"/>
    <x v="0"/>
    <n v="13121.6"/>
  </r>
  <r>
    <s v="ORD00083"/>
    <d v="2026-08-25T00:00:00"/>
    <x v="15"/>
    <x v="4"/>
    <x v="2"/>
    <s v="Mumbai"/>
    <x v="0"/>
    <n v="60"/>
    <n v="98"/>
    <n v="63"/>
    <n v="95"/>
    <n v="84"/>
    <n v="466.48"/>
    <n v="5"/>
    <n v="0"/>
    <x v="1"/>
    <x v="1"/>
    <x v="0"/>
    <n v="44315.6"/>
  </r>
  <r>
    <s v="ORD00084"/>
    <d v="2026-06-03T00:00:00"/>
    <x v="19"/>
    <x v="2"/>
    <x v="0"/>
    <s v="Bangalore"/>
    <x v="1"/>
    <n v="159"/>
    <n v="56"/>
    <n v="101"/>
    <n v="114"/>
    <n v="79"/>
    <n v="1397.39"/>
    <n v="5"/>
    <n v="0"/>
    <x v="1"/>
    <x v="1"/>
    <x v="3"/>
    <n v="159302.46000000002"/>
  </r>
  <r>
    <s v="ORD00085"/>
    <d v="2026-12-25T00:00:00"/>
    <x v="5"/>
    <x v="3"/>
    <x v="3"/>
    <s v="Delhi"/>
    <x v="2"/>
    <n v="90"/>
    <n v="69"/>
    <n v="76"/>
    <n v="83"/>
    <n v="51"/>
    <n v="1231.67"/>
    <n v="6"/>
    <n v="0"/>
    <x v="1"/>
    <x v="1"/>
    <x v="0"/>
    <n v="102228.61"/>
  </r>
  <r>
    <s v="ORD00086"/>
    <d v="2026-06-30T00:00:00"/>
    <x v="18"/>
    <x v="2"/>
    <x v="3"/>
    <s v="Delhi"/>
    <x v="2"/>
    <n v="42"/>
    <n v="92"/>
    <n v="102"/>
    <n v="32"/>
    <n v="94"/>
    <n v="3356.59"/>
    <n v="6"/>
    <n v="7"/>
    <x v="1"/>
    <x v="0"/>
    <x v="0"/>
    <n v="107410.88"/>
  </r>
  <r>
    <s v="ORD00087"/>
    <d v="2026-11-18T00:00:00"/>
    <x v="1"/>
    <x v="1"/>
    <x v="1"/>
    <s v="Delhi"/>
    <x v="2"/>
    <n v="213"/>
    <n v="116"/>
    <n v="107"/>
    <n v="222"/>
    <n v="94"/>
    <n v="1341.39"/>
    <n v="8"/>
    <n v="0"/>
    <x v="0"/>
    <x v="2"/>
    <x v="0"/>
    <n v="297788.58"/>
  </r>
  <r>
    <s v="ORD00088"/>
    <d v="2026-04-13T00:00:00"/>
    <x v="16"/>
    <x v="0"/>
    <x v="3"/>
    <s v="Bangalore"/>
    <x v="1"/>
    <n v="188"/>
    <n v="66"/>
    <n v="108"/>
    <n v="146"/>
    <n v="53"/>
    <n v="1101.6300000000001"/>
    <n v="4"/>
    <n v="0"/>
    <x v="1"/>
    <x v="2"/>
    <x v="0"/>
    <n v="160837.98000000001"/>
  </r>
  <r>
    <s v="ORD00089"/>
    <d v="2026-02-08T00:00:00"/>
    <x v="14"/>
    <x v="1"/>
    <x v="1"/>
    <s v="Delhi"/>
    <x v="2"/>
    <n v="82"/>
    <n v="52"/>
    <n v="76"/>
    <n v="58"/>
    <n v="96"/>
    <n v="1534.45"/>
    <n v="8"/>
    <n v="2"/>
    <x v="1"/>
    <x v="0"/>
    <x v="0"/>
    <n v="88998.1"/>
  </r>
  <r>
    <s v="ORD00090"/>
    <d v="2026-12-11T00:00:00"/>
    <x v="1"/>
    <x v="1"/>
    <x v="3"/>
    <s v="Delhi"/>
    <x v="2"/>
    <n v="63"/>
    <n v="121"/>
    <n v="65"/>
    <n v="119"/>
    <n v="45"/>
    <n v="1238.76"/>
    <n v="2"/>
    <n v="0"/>
    <x v="1"/>
    <x v="2"/>
    <x v="0"/>
    <n v="147412.44"/>
  </r>
  <r>
    <s v="ORD00091"/>
    <d v="2026-11-28T00:00:00"/>
    <x v="19"/>
    <x v="2"/>
    <x v="0"/>
    <s v="Bangalore"/>
    <x v="1"/>
    <n v="212"/>
    <n v="49"/>
    <n v="75"/>
    <n v="186"/>
    <n v="46"/>
    <n v="1535.86"/>
    <n v="6"/>
    <n v="0"/>
    <x v="1"/>
    <x v="2"/>
    <x v="0"/>
    <n v="285669.95999999996"/>
  </r>
  <r>
    <s v="ORD00092"/>
    <d v="2026-10-03T00:00:00"/>
    <x v="3"/>
    <x v="0"/>
    <x v="0"/>
    <s v="Kolkata"/>
    <x v="3"/>
    <n v="69"/>
    <n v="37"/>
    <n v="20"/>
    <n v="86"/>
    <n v="47"/>
    <n v="864.79"/>
    <n v="5"/>
    <n v="0"/>
    <x v="0"/>
    <x v="1"/>
    <x v="0"/>
    <n v="74371.94"/>
  </r>
  <r>
    <s v="ORD00093"/>
    <d v="2026-09-08T00:00:00"/>
    <x v="2"/>
    <x v="1"/>
    <x v="3"/>
    <s v="Delhi"/>
    <x v="2"/>
    <n v="211"/>
    <n v="115"/>
    <n v="104"/>
    <n v="222"/>
    <n v="79"/>
    <n v="2361.1799999999998"/>
    <n v="11"/>
    <n v="0"/>
    <x v="0"/>
    <x v="2"/>
    <x v="0"/>
    <n v="524181.95999999996"/>
  </r>
  <r>
    <s v="ORD00094"/>
    <d v="2026-12-18T00:00:00"/>
    <x v="10"/>
    <x v="4"/>
    <x v="0"/>
    <s v="Bangalore"/>
    <x v="1"/>
    <n v="216"/>
    <n v="67"/>
    <n v="42"/>
    <n v="241"/>
    <n v="73"/>
    <n v="593.36"/>
    <n v="3"/>
    <n v="0"/>
    <x v="1"/>
    <x v="2"/>
    <x v="0"/>
    <n v="142999.76"/>
  </r>
  <r>
    <s v="ORD00095"/>
    <d v="2026-11-02T00:00:00"/>
    <x v="4"/>
    <x v="2"/>
    <x v="4"/>
    <s v="Kolkata"/>
    <x v="3"/>
    <n v="110"/>
    <n v="44"/>
    <n v="30"/>
    <n v="124"/>
    <n v="99"/>
    <n v="851.87"/>
    <n v="2"/>
    <n v="0"/>
    <x v="1"/>
    <x v="1"/>
    <x v="0"/>
    <n v="105631.88"/>
  </r>
  <r>
    <s v="ORD00096"/>
    <d v="2026-04-30T00:00:00"/>
    <x v="0"/>
    <x v="0"/>
    <x v="0"/>
    <s v="Mumbai"/>
    <x v="0"/>
    <n v="72"/>
    <n v="120"/>
    <n v="87"/>
    <n v="105"/>
    <n v="58"/>
    <n v="1644.7"/>
    <n v="8"/>
    <n v="0"/>
    <x v="1"/>
    <x v="1"/>
    <x v="0"/>
    <n v="172693.5"/>
  </r>
  <r>
    <s v="ORD00097"/>
    <d v="2026-01-14T00:00:00"/>
    <x v="13"/>
    <x v="2"/>
    <x v="1"/>
    <s v="Bangalore"/>
    <x v="1"/>
    <n v="110"/>
    <n v="129"/>
    <n v="33"/>
    <n v="206"/>
    <n v="53"/>
    <n v="1108.8499999999999"/>
    <n v="8"/>
    <n v="0"/>
    <x v="1"/>
    <x v="2"/>
    <x v="0"/>
    <n v="228423.09999999998"/>
  </r>
  <r>
    <s v="ORD00098"/>
    <d v="2026-02-02T00:00:00"/>
    <x v="9"/>
    <x v="1"/>
    <x v="0"/>
    <s v="Mumbai"/>
    <x v="0"/>
    <n v="190"/>
    <n v="61"/>
    <n v="17"/>
    <n v="234"/>
    <n v="56"/>
    <n v="667.15"/>
    <n v="3"/>
    <n v="0"/>
    <x v="1"/>
    <x v="2"/>
    <x v="0"/>
    <n v="156113.1"/>
  </r>
  <r>
    <s v="ORD00099"/>
    <d v="2026-06-04T00:00:00"/>
    <x v="7"/>
    <x v="3"/>
    <x v="0"/>
    <s v="Bangalore"/>
    <x v="1"/>
    <n v="155"/>
    <n v="84"/>
    <n v="43"/>
    <n v="196"/>
    <n v="84"/>
    <n v="908.67"/>
    <n v="8"/>
    <n v="0"/>
    <x v="1"/>
    <x v="2"/>
    <x v="0"/>
    <n v="178099.31999999998"/>
  </r>
  <r>
    <s v="ORD00100"/>
    <d v="2026-11-08T00:00:00"/>
    <x v="8"/>
    <x v="3"/>
    <x v="4"/>
    <s v="Kolkata"/>
    <x v="3"/>
    <n v="142"/>
    <n v="74"/>
    <n v="102"/>
    <n v="114"/>
    <n v="51"/>
    <n v="2794.55"/>
    <n v="5"/>
    <n v="0"/>
    <x v="0"/>
    <x v="2"/>
    <x v="0"/>
    <n v="318578.7"/>
  </r>
  <r>
    <s v="ORD00101"/>
    <d v="2026-08-21T00:00:00"/>
    <x v="9"/>
    <x v="1"/>
    <x v="2"/>
    <s v="Delhi"/>
    <x v="2"/>
    <n v="199"/>
    <n v="101"/>
    <n v="89"/>
    <n v="211"/>
    <n v="80"/>
    <n v="729.7"/>
    <n v="5"/>
    <n v="0"/>
    <x v="1"/>
    <x v="2"/>
    <x v="0"/>
    <n v="153966.70000000001"/>
  </r>
  <r>
    <s v="ORD00102"/>
    <d v="2026-06-23T00:00:00"/>
    <x v="10"/>
    <x v="4"/>
    <x v="4"/>
    <s v="Bangalore"/>
    <x v="1"/>
    <n v="207"/>
    <n v="103"/>
    <n v="85"/>
    <n v="225"/>
    <n v="91"/>
    <n v="643.86"/>
    <n v="5"/>
    <n v="0"/>
    <x v="1"/>
    <x v="2"/>
    <x v="0"/>
    <n v="144868.5"/>
  </r>
  <r>
    <s v="ORD00103"/>
    <d v="2026-02-16T00:00:00"/>
    <x v="7"/>
    <x v="3"/>
    <x v="3"/>
    <s v="Bangalore"/>
    <x v="1"/>
    <n v="120"/>
    <n v="74"/>
    <n v="55"/>
    <n v="139"/>
    <n v="87"/>
    <n v="950.98"/>
    <n v="3"/>
    <n v="0"/>
    <x v="1"/>
    <x v="1"/>
    <x v="0"/>
    <n v="132186.22"/>
  </r>
  <r>
    <s v="ORD00104"/>
    <d v="2026-07-30T00:00:00"/>
    <x v="0"/>
    <x v="0"/>
    <x v="3"/>
    <s v="Bangalore"/>
    <x v="1"/>
    <n v="135"/>
    <n v="123"/>
    <n v="31"/>
    <n v="227"/>
    <n v="80"/>
    <n v="1641.59"/>
    <n v="6"/>
    <n v="0"/>
    <x v="1"/>
    <x v="2"/>
    <x v="0"/>
    <n v="372640.93"/>
  </r>
  <r>
    <s v="ORD00105"/>
    <d v="2026-02-25T00:00:00"/>
    <x v="19"/>
    <x v="2"/>
    <x v="4"/>
    <s v="Delhi"/>
    <x v="2"/>
    <n v="193"/>
    <n v="59"/>
    <n v="60"/>
    <n v="192"/>
    <n v="51"/>
    <n v="1523.38"/>
    <n v="3"/>
    <n v="0"/>
    <x v="0"/>
    <x v="2"/>
    <x v="0"/>
    <n v="292488.96000000002"/>
  </r>
  <r>
    <s v="ORD00106"/>
    <d v="2026-11-26T00:00:00"/>
    <x v="4"/>
    <x v="2"/>
    <x v="4"/>
    <s v="Delhi"/>
    <x v="2"/>
    <n v="186"/>
    <n v="48"/>
    <n v="69"/>
    <n v="165"/>
    <n v="99"/>
    <n v="809.75"/>
    <n v="8"/>
    <n v="0"/>
    <x v="1"/>
    <x v="1"/>
    <x v="0"/>
    <n v="133608.75"/>
  </r>
  <r>
    <s v="ORD00107"/>
    <d v="2026-10-17T00:00:00"/>
    <x v="12"/>
    <x v="4"/>
    <x v="1"/>
    <s v="Delhi"/>
    <x v="2"/>
    <n v="47"/>
    <n v="43"/>
    <n v="49"/>
    <n v="41"/>
    <n v="89"/>
    <n v="526.24"/>
    <n v="4"/>
    <n v="3"/>
    <x v="1"/>
    <x v="0"/>
    <x v="1"/>
    <n v="21575.84"/>
  </r>
  <r>
    <s v="ORD00108"/>
    <d v="2026-06-16T00:00:00"/>
    <x v="8"/>
    <x v="3"/>
    <x v="2"/>
    <s v="Bangalore"/>
    <x v="1"/>
    <n v="63"/>
    <n v="115"/>
    <n v="82"/>
    <n v="96"/>
    <n v="58"/>
    <n v="2730.67"/>
    <n v="5"/>
    <n v="0"/>
    <x v="1"/>
    <x v="1"/>
    <x v="0"/>
    <n v="262144.32"/>
  </r>
  <r>
    <s v="ORD00109"/>
    <d v="2026-11-07T00:00:00"/>
    <x v="12"/>
    <x v="4"/>
    <x v="4"/>
    <s v="Mumbai"/>
    <x v="0"/>
    <n v="80"/>
    <n v="116"/>
    <n v="94"/>
    <n v="102"/>
    <n v="48"/>
    <n v="517.4"/>
    <n v="4"/>
    <n v="0"/>
    <x v="1"/>
    <x v="1"/>
    <x v="0"/>
    <n v="52774.799999999996"/>
  </r>
  <r>
    <s v="ORD00110"/>
    <d v="2026-12-08T00:00:00"/>
    <x v="7"/>
    <x v="3"/>
    <x v="0"/>
    <s v="Mumbai"/>
    <x v="0"/>
    <n v="171"/>
    <n v="34"/>
    <n v="59"/>
    <n v="146"/>
    <n v="72"/>
    <n v="922.18"/>
    <n v="7"/>
    <n v="0"/>
    <x v="1"/>
    <x v="1"/>
    <x v="0"/>
    <n v="134638.28"/>
  </r>
  <r>
    <s v="ORD00111"/>
    <d v="2026-05-29T00:00:00"/>
    <x v="18"/>
    <x v="2"/>
    <x v="2"/>
    <s v="Kolkata"/>
    <x v="3"/>
    <n v="193"/>
    <n v="27"/>
    <n v="15"/>
    <n v="205"/>
    <n v="58"/>
    <n v="3072.91"/>
    <n v="3"/>
    <n v="0"/>
    <x v="1"/>
    <x v="2"/>
    <x v="2"/>
    <n v="629946.54999999993"/>
  </r>
  <r>
    <s v="ORD00112"/>
    <d v="2026-07-01T00:00:00"/>
    <x v="18"/>
    <x v="2"/>
    <x v="4"/>
    <s v="Kolkata"/>
    <x v="3"/>
    <n v="150"/>
    <n v="42"/>
    <n v="31"/>
    <n v="161"/>
    <n v="69"/>
    <n v="3220.85"/>
    <n v="3"/>
    <n v="0"/>
    <x v="1"/>
    <x v="2"/>
    <x v="1"/>
    <n v="518556.85"/>
  </r>
  <r>
    <s v="ORD00113"/>
    <d v="2026-07-27T00:00:00"/>
    <x v="3"/>
    <x v="0"/>
    <x v="4"/>
    <s v="Kolkata"/>
    <x v="3"/>
    <n v="44"/>
    <n v="78"/>
    <n v="24"/>
    <n v="98"/>
    <n v="100"/>
    <n v="866.35"/>
    <n v="5"/>
    <n v="7"/>
    <x v="1"/>
    <x v="1"/>
    <x v="0"/>
    <n v="84902.3"/>
  </r>
  <r>
    <s v="ORD00114"/>
    <d v="2026-02-10T00:00:00"/>
    <x v="16"/>
    <x v="0"/>
    <x v="2"/>
    <s v="Kolkata"/>
    <x v="3"/>
    <n v="216"/>
    <n v="66"/>
    <n v="26"/>
    <n v="256"/>
    <n v="72"/>
    <n v="1282.68"/>
    <n v="3"/>
    <n v="0"/>
    <x v="1"/>
    <x v="2"/>
    <x v="0"/>
    <n v="328366.08000000002"/>
  </r>
  <r>
    <s v="ORD00115"/>
    <d v="2026-06-28T00:00:00"/>
    <x v="5"/>
    <x v="3"/>
    <x v="0"/>
    <s v="Mumbai"/>
    <x v="0"/>
    <n v="125"/>
    <n v="119"/>
    <n v="36"/>
    <n v="208"/>
    <n v="49"/>
    <n v="1302.73"/>
    <n v="2"/>
    <n v="0"/>
    <x v="1"/>
    <x v="2"/>
    <x v="0"/>
    <n v="270967.84000000003"/>
  </r>
  <r>
    <s v="ORD00116"/>
    <d v="2026-11-18T00:00:00"/>
    <x v="13"/>
    <x v="2"/>
    <x v="2"/>
    <s v="Bangalore"/>
    <x v="1"/>
    <n v="77"/>
    <n v="52"/>
    <n v="40"/>
    <n v="89"/>
    <n v="56"/>
    <n v="1122.53"/>
    <n v="8"/>
    <n v="0"/>
    <x v="1"/>
    <x v="1"/>
    <x v="0"/>
    <n v="99905.17"/>
  </r>
  <r>
    <s v="ORD00117"/>
    <d v="2026-03-19T00:00:00"/>
    <x v="7"/>
    <x v="3"/>
    <x v="1"/>
    <s v="Kolkata"/>
    <x v="3"/>
    <n v="214"/>
    <n v="92"/>
    <n v="97"/>
    <n v="209"/>
    <n v="85"/>
    <n v="1097.31"/>
    <n v="4"/>
    <n v="0"/>
    <x v="1"/>
    <x v="2"/>
    <x v="0"/>
    <n v="229337.78999999998"/>
  </r>
  <r>
    <s v="ORD00118"/>
    <d v="2026-01-20T00:00:00"/>
    <x v="8"/>
    <x v="3"/>
    <x v="3"/>
    <s v="Kolkata"/>
    <x v="3"/>
    <n v="201"/>
    <n v="58"/>
    <n v="50"/>
    <n v="209"/>
    <n v="82"/>
    <n v="2551.46"/>
    <n v="6"/>
    <n v="0"/>
    <x v="0"/>
    <x v="2"/>
    <x v="0"/>
    <n v="533255.14"/>
  </r>
  <r>
    <s v="ORD00119"/>
    <d v="2026-01-22T00:00:00"/>
    <x v="16"/>
    <x v="0"/>
    <x v="0"/>
    <s v="Bangalore"/>
    <x v="1"/>
    <n v="205"/>
    <n v="130"/>
    <n v="26"/>
    <n v="309"/>
    <n v="84"/>
    <n v="1222.58"/>
    <n v="5"/>
    <n v="0"/>
    <x v="1"/>
    <x v="2"/>
    <x v="0"/>
    <n v="377777.22"/>
  </r>
  <r>
    <s v="ORD00120"/>
    <d v="2026-09-16T00:00:00"/>
    <x v="11"/>
    <x v="3"/>
    <x v="0"/>
    <s v="Kolkata"/>
    <x v="3"/>
    <n v="168"/>
    <n v="39"/>
    <n v="22"/>
    <n v="185"/>
    <n v="73"/>
    <n v="2025.54"/>
    <n v="8"/>
    <n v="0"/>
    <x v="1"/>
    <x v="2"/>
    <x v="2"/>
    <n v="374724.89999999997"/>
  </r>
  <r>
    <s v="ORD00121"/>
    <d v="2026-06-23T00:00:00"/>
    <x v="9"/>
    <x v="1"/>
    <x v="2"/>
    <s v="Kolkata"/>
    <x v="3"/>
    <n v="152"/>
    <n v="87"/>
    <n v="81"/>
    <n v="158"/>
    <n v="84"/>
    <n v="652.22"/>
    <n v="4"/>
    <n v="0"/>
    <x v="1"/>
    <x v="1"/>
    <x v="0"/>
    <n v="103050.76000000001"/>
  </r>
  <r>
    <s v="ORD00122"/>
    <d v="2026-10-26T00:00:00"/>
    <x v="12"/>
    <x v="4"/>
    <x v="0"/>
    <s v="Bangalore"/>
    <x v="1"/>
    <n v="124"/>
    <n v="32"/>
    <n v="86"/>
    <n v="70"/>
    <n v="88"/>
    <n v="488.66"/>
    <n v="4"/>
    <n v="3"/>
    <x v="1"/>
    <x v="1"/>
    <x v="0"/>
    <n v="34206.200000000004"/>
  </r>
  <r>
    <s v="ORD00123"/>
    <d v="2026-03-07T00:00:00"/>
    <x v="14"/>
    <x v="1"/>
    <x v="0"/>
    <s v="Kolkata"/>
    <x v="3"/>
    <n v="73"/>
    <n v="96"/>
    <n v="105"/>
    <n v="64"/>
    <n v="50"/>
    <n v="1539.07"/>
    <n v="5"/>
    <n v="0"/>
    <x v="1"/>
    <x v="1"/>
    <x v="0"/>
    <n v="98500.479999999996"/>
  </r>
  <r>
    <s v="ORD00124"/>
    <d v="2026-03-12T00:00:00"/>
    <x v="12"/>
    <x v="4"/>
    <x v="3"/>
    <s v="Delhi"/>
    <x v="2"/>
    <n v="44"/>
    <n v="66"/>
    <n v="54"/>
    <n v="56"/>
    <n v="56"/>
    <n v="545.12"/>
    <n v="4"/>
    <n v="8"/>
    <x v="1"/>
    <x v="1"/>
    <x v="0"/>
    <n v="30526.720000000001"/>
  </r>
  <r>
    <s v="ORD00125"/>
    <d v="2026-11-13T00:00:00"/>
    <x v="9"/>
    <x v="1"/>
    <x v="0"/>
    <s v="Bangalore"/>
    <x v="1"/>
    <n v="169"/>
    <n v="118"/>
    <n v="84"/>
    <n v="203"/>
    <n v="98"/>
    <n v="733.41"/>
    <n v="6"/>
    <n v="0"/>
    <x v="0"/>
    <x v="1"/>
    <x v="0"/>
    <n v="148882.22999999998"/>
  </r>
  <r>
    <s v="ORD00126"/>
    <d v="2026-07-06T00:00:00"/>
    <x v="2"/>
    <x v="1"/>
    <x v="2"/>
    <s v="Mumbai"/>
    <x v="0"/>
    <n v="86"/>
    <n v="126"/>
    <n v="103"/>
    <n v="109"/>
    <n v="94"/>
    <n v="2459.88"/>
    <n v="3"/>
    <n v="0"/>
    <x v="1"/>
    <x v="1"/>
    <x v="0"/>
    <n v="268126.92"/>
  </r>
  <r>
    <s v="ORD00127"/>
    <d v="2026-04-10T00:00:00"/>
    <x v="2"/>
    <x v="1"/>
    <x v="1"/>
    <s v="Delhi"/>
    <x v="2"/>
    <n v="154"/>
    <n v="49"/>
    <n v="83"/>
    <n v="120"/>
    <n v="60"/>
    <n v="2308.54"/>
    <n v="8"/>
    <n v="0"/>
    <x v="1"/>
    <x v="1"/>
    <x v="1"/>
    <n v="277024.8"/>
  </r>
  <r>
    <s v="ORD00128"/>
    <d v="2026-05-09T00:00:00"/>
    <x v="19"/>
    <x v="2"/>
    <x v="3"/>
    <s v="Delhi"/>
    <x v="2"/>
    <n v="137"/>
    <n v="84"/>
    <n v="82"/>
    <n v="139"/>
    <n v="71"/>
    <n v="1639.88"/>
    <n v="8"/>
    <n v="0"/>
    <x v="1"/>
    <x v="1"/>
    <x v="0"/>
    <n v="227943.32"/>
  </r>
  <r>
    <s v="ORD00129"/>
    <d v="2026-03-17T00:00:00"/>
    <x v="3"/>
    <x v="0"/>
    <x v="0"/>
    <s v="Bangalore"/>
    <x v="1"/>
    <n v="172"/>
    <n v="128"/>
    <n v="30"/>
    <n v="270"/>
    <n v="63"/>
    <n v="825.1"/>
    <n v="3"/>
    <n v="0"/>
    <x v="1"/>
    <x v="2"/>
    <x v="1"/>
    <n v="222777"/>
  </r>
  <r>
    <s v="ORD00130"/>
    <d v="2026-07-11T00:00:00"/>
    <x v="8"/>
    <x v="3"/>
    <x v="2"/>
    <s v="Kolkata"/>
    <x v="3"/>
    <n v="129"/>
    <n v="23"/>
    <n v="68"/>
    <n v="84"/>
    <n v="48"/>
    <n v="2742.01"/>
    <n v="4"/>
    <n v="0"/>
    <x v="1"/>
    <x v="1"/>
    <x v="3"/>
    <n v="230328.84000000003"/>
  </r>
  <r>
    <s v="ORD00131"/>
    <d v="2026-12-28T00:00:00"/>
    <x v="9"/>
    <x v="1"/>
    <x v="0"/>
    <s v="Bangalore"/>
    <x v="1"/>
    <n v="206"/>
    <n v="62"/>
    <n v="33"/>
    <n v="235"/>
    <n v="53"/>
    <n v="635.36"/>
    <n v="8"/>
    <n v="0"/>
    <x v="1"/>
    <x v="2"/>
    <x v="1"/>
    <n v="149309.6"/>
  </r>
  <r>
    <s v="ORD00132"/>
    <d v="2026-05-28T00:00:00"/>
    <x v="7"/>
    <x v="3"/>
    <x v="1"/>
    <s v="Bangalore"/>
    <x v="1"/>
    <n v="60"/>
    <n v="22"/>
    <n v="47"/>
    <n v="35"/>
    <n v="58"/>
    <n v="1066.99"/>
    <n v="6"/>
    <n v="7"/>
    <x v="1"/>
    <x v="0"/>
    <x v="0"/>
    <n v="37344.65"/>
  </r>
  <r>
    <s v="ORD00133"/>
    <d v="2026-01-09T00:00:00"/>
    <x v="14"/>
    <x v="1"/>
    <x v="4"/>
    <s v="Bangalore"/>
    <x v="1"/>
    <n v="101"/>
    <n v="73"/>
    <n v="96"/>
    <n v="78"/>
    <n v="95"/>
    <n v="1639.3"/>
    <n v="2"/>
    <n v="8"/>
    <x v="0"/>
    <x v="1"/>
    <x v="0"/>
    <n v="127865.4"/>
  </r>
  <r>
    <s v="ORD00134"/>
    <d v="2026-09-26T00:00:00"/>
    <x v="15"/>
    <x v="4"/>
    <x v="2"/>
    <s v="Delhi"/>
    <x v="2"/>
    <n v="149"/>
    <n v="20"/>
    <n v="93"/>
    <n v="76"/>
    <n v="67"/>
    <n v="426.65"/>
    <n v="5"/>
    <n v="0"/>
    <x v="1"/>
    <x v="1"/>
    <x v="0"/>
    <n v="32425.399999999998"/>
  </r>
  <r>
    <s v="ORD00135"/>
    <d v="2026-02-04T00:00:00"/>
    <x v="18"/>
    <x v="2"/>
    <x v="1"/>
    <s v="Bangalore"/>
    <x v="1"/>
    <n v="139"/>
    <n v="80"/>
    <n v="20"/>
    <n v="199"/>
    <n v="85"/>
    <n v="3127.6"/>
    <n v="4"/>
    <n v="0"/>
    <x v="1"/>
    <x v="2"/>
    <x v="0"/>
    <n v="622392.4"/>
  </r>
  <r>
    <s v="ORD00136"/>
    <d v="2026-09-03T00:00:00"/>
    <x v="13"/>
    <x v="2"/>
    <x v="4"/>
    <s v="Delhi"/>
    <x v="2"/>
    <n v="74"/>
    <n v="25"/>
    <n v="60"/>
    <n v="39"/>
    <n v="79"/>
    <n v="1064.48"/>
    <n v="7"/>
    <n v="8"/>
    <x v="1"/>
    <x v="0"/>
    <x v="3"/>
    <n v="41514.720000000001"/>
  </r>
  <r>
    <s v="ORD00137"/>
    <d v="2026-07-23T00:00:00"/>
    <x v="1"/>
    <x v="1"/>
    <x v="4"/>
    <s v="Kolkata"/>
    <x v="3"/>
    <n v="49"/>
    <n v="57"/>
    <n v="40"/>
    <n v="66"/>
    <n v="47"/>
    <n v="1375.69"/>
    <n v="2"/>
    <n v="0"/>
    <x v="1"/>
    <x v="1"/>
    <x v="0"/>
    <n v="90795.540000000008"/>
  </r>
  <r>
    <s v="ORD00138"/>
    <d v="2026-03-05T00:00:00"/>
    <x v="10"/>
    <x v="4"/>
    <x v="0"/>
    <s v="Bangalore"/>
    <x v="1"/>
    <n v="205"/>
    <n v="44"/>
    <n v="51"/>
    <n v="198"/>
    <n v="67"/>
    <n v="643.46"/>
    <n v="2"/>
    <n v="0"/>
    <x v="1"/>
    <x v="2"/>
    <x v="0"/>
    <n v="127405.08"/>
  </r>
  <r>
    <s v="ORD00139"/>
    <d v="2026-02-12T00:00:00"/>
    <x v="19"/>
    <x v="2"/>
    <x v="3"/>
    <s v="Kolkata"/>
    <x v="3"/>
    <n v="138"/>
    <n v="63"/>
    <n v="38"/>
    <n v="163"/>
    <n v="76"/>
    <n v="1557.62"/>
    <n v="4"/>
    <n v="0"/>
    <x v="1"/>
    <x v="1"/>
    <x v="0"/>
    <n v="253892.05999999997"/>
  </r>
  <r>
    <s v="ORD00140"/>
    <d v="2026-08-07T00:00:00"/>
    <x v="8"/>
    <x v="3"/>
    <x v="3"/>
    <s v="Mumbai"/>
    <x v="0"/>
    <n v="179"/>
    <n v="57"/>
    <n v="56"/>
    <n v="180"/>
    <n v="51"/>
    <n v="2564.84"/>
    <n v="7"/>
    <n v="0"/>
    <x v="1"/>
    <x v="2"/>
    <x v="0"/>
    <n v="461671.2"/>
  </r>
  <r>
    <s v="ORD00141"/>
    <d v="2026-01-30T00:00:00"/>
    <x v="2"/>
    <x v="1"/>
    <x v="0"/>
    <s v="Kolkata"/>
    <x v="3"/>
    <n v="50"/>
    <n v="113"/>
    <n v="60"/>
    <n v="103"/>
    <n v="84"/>
    <n v="2639.11"/>
    <n v="4"/>
    <n v="0"/>
    <x v="1"/>
    <x v="1"/>
    <x v="2"/>
    <n v="271828.33"/>
  </r>
  <r>
    <s v="ORD00142"/>
    <d v="2026-07-07T00:00:00"/>
    <x v="3"/>
    <x v="0"/>
    <x v="0"/>
    <s v="Mumbai"/>
    <x v="0"/>
    <n v="47"/>
    <n v="38"/>
    <n v="92"/>
    <n v="0"/>
    <n v="88"/>
    <n v="950.64"/>
    <n v="2"/>
    <n v="4"/>
    <x v="0"/>
    <x v="0"/>
    <x v="2"/>
    <n v="0"/>
  </r>
  <r>
    <s v="ORD00143"/>
    <d v="2026-03-12T00:00:00"/>
    <x v="19"/>
    <x v="2"/>
    <x v="1"/>
    <s v="Bangalore"/>
    <x v="1"/>
    <n v="194"/>
    <n v="39"/>
    <n v="101"/>
    <n v="132"/>
    <n v="73"/>
    <n v="1634.65"/>
    <n v="4"/>
    <n v="0"/>
    <x v="1"/>
    <x v="1"/>
    <x v="0"/>
    <n v="215773.80000000002"/>
  </r>
  <r>
    <s v="ORD00144"/>
    <d v="2026-10-15T00:00:00"/>
    <x v="6"/>
    <x v="4"/>
    <x v="3"/>
    <s v="Delhi"/>
    <x v="2"/>
    <n v="206"/>
    <n v="55"/>
    <n v="46"/>
    <n v="215"/>
    <n v="52"/>
    <n v="588.37"/>
    <n v="3"/>
    <n v="0"/>
    <x v="1"/>
    <x v="2"/>
    <x v="0"/>
    <n v="126499.55"/>
  </r>
  <r>
    <s v="ORD00145"/>
    <d v="2026-02-07T00:00:00"/>
    <x v="16"/>
    <x v="0"/>
    <x v="0"/>
    <s v="Kolkata"/>
    <x v="3"/>
    <n v="94"/>
    <n v="98"/>
    <n v="51"/>
    <n v="141"/>
    <n v="89"/>
    <n v="1299.95"/>
    <n v="5"/>
    <n v="0"/>
    <x v="1"/>
    <x v="1"/>
    <x v="0"/>
    <n v="183292.95"/>
  </r>
  <r>
    <s v="ORD00146"/>
    <d v="2026-06-03T00:00:00"/>
    <x v="11"/>
    <x v="3"/>
    <x v="3"/>
    <s v="Bangalore"/>
    <x v="1"/>
    <n v="214"/>
    <n v="128"/>
    <n v="55"/>
    <n v="287"/>
    <n v="87"/>
    <n v="2132.87"/>
    <n v="2"/>
    <n v="0"/>
    <x v="1"/>
    <x v="2"/>
    <x v="0"/>
    <n v="612133.68999999994"/>
  </r>
  <r>
    <s v="ORD00147"/>
    <d v="2026-10-10T00:00:00"/>
    <x v="1"/>
    <x v="1"/>
    <x v="0"/>
    <s v="Mumbai"/>
    <x v="0"/>
    <n v="71"/>
    <n v="45"/>
    <n v="32"/>
    <n v="84"/>
    <n v="60"/>
    <n v="1375.5"/>
    <n v="5"/>
    <n v="0"/>
    <x v="0"/>
    <x v="1"/>
    <x v="1"/>
    <n v="115542"/>
  </r>
  <r>
    <s v="ORD00148"/>
    <d v="2026-03-06T00:00:00"/>
    <x v="9"/>
    <x v="1"/>
    <x v="4"/>
    <s v="Delhi"/>
    <x v="2"/>
    <n v="141"/>
    <n v="111"/>
    <n v="107"/>
    <n v="145"/>
    <n v="75"/>
    <n v="703.6"/>
    <n v="8"/>
    <n v="0"/>
    <x v="1"/>
    <x v="1"/>
    <x v="0"/>
    <n v="102022"/>
  </r>
  <r>
    <s v="ORD00149"/>
    <d v="2026-01-29T00:00:00"/>
    <x v="18"/>
    <x v="2"/>
    <x v="3"/>
    <s v="Kolkata"/>
    <x v="3"/>
    <n v="214"/>
    <n v="86"/>
    <n v="59"/>
    <n v="241"/>
    <n v="53"/>
    <n v="3441.89"/>
    <n v="12"/>
    <n v="1"/>
    <x v="1"/>
    <x v="2"/>
    <x v="0"/>
    <n v="829495.49"/>
  </r>
  <r>
    <s v="ORD00150"/>
    <d v="2026-11-22T00:00:00"/>
    <x v="17"/>
    <x v="0"/>
    <x v="0"/>
    <s v="Mumbai"/>
    <x v="0"/>
    <n v="81"/>
    <n v="61"/>
    <n v="105"/>
    <n v="37"/>
    <n v="59"/>
    <n v="1356.89"/>
    <n v="6"/>
    <n v="2"/>
    <x v="1"/>
    <x v="0"/>
    <x v="0"/>
    <n v="50204.93"/>
  </r>
  <r>
    <s v="ORD00151"/>
    <d v="2026-12-04T00:00:00"/>
    <x v="6"/>
    <x v="4"/>
    <x v="2"/>
    <s v="Delhi"/>
    <x v="2"/>
    <n v="197"/>
    <n v="88"/>
    <n v="26"/>
    <n v="259"/>
    <n v="77"/>
    <n v="668.33"/>
    <n v="6"/>
    <n v="0"/>
    <x v="1"/>
    <x v="2"/>
    <x v="0"/>
    <n v="173097.47"/>
  </r>
  <r>
    <s v="ORD00152"/>
    <d v="2026-01-16T00:00:00"/>
    <x v="6"/>
    <x v="4"/>
    <x v="1"/>
    <s v="Bangalore"/>
    <x v="1"/>
    <n v="47"/>
    <n v="30"/>
    <n v="20"/>
    <n v="57"/>
    <n v="86"/>
    <n v="685.23"/>
    <n v="4"/>
    <n v="7"/>
    <x v="1"/>
    <x v="1"/>
    <x v="0"/>
    <n v="39058.11"/>
  </r>
  <r>
    <s v="ORD00153"/>
    <d v="2026-08-01T00:00:00"/>
    <x v="5"/>
    <x v="3"/>
    <x v="0"/>
    <s v="Kolkata"/>
    <x v="3"/>
    <n v="102"/>
    <n v="123"/>
    <n v="102"/>
    <n v="123"/>
    <n v="70"/>
    <n v="1247.33"/>
    <n v="2"/>
    <n v="0"/>
    <x v="1"/>
    <x v="1"/>
    <x v="0"/>
    <n v="153421.59"/>
  </r>
  <r>
    <s v="ORD00154"/>
    <d v="2026-07-24T00:00:00"/>
    <x v="7"/>
    <x v="3"/>
    <x v="2"/>
    <s v="Delhi"/>
    <x v="2"/>
    <n v="195"/>
    <n v="38"/>
    <n v="55"/>
    <n v="178"/>
    <n v="100"/>
    <n v="1043.67"/>
    <n v="7"/>
    <n v="0"/>
    <x v="1"/>
    <x v="1"/>
    <x v="0"/>
    <n v="185773.26"/>
  </r>
  <r>
    <s v="ORD00155"/>
    <d v="2026-07-16T00:00:00"/>
    <x v="14"/>
    <x v="1"/>
    <x v="1"/>
    <s v="Bangalore"/>
    <x v="1"/>
    <n v="121"/>
    <n v="50"/>
    <n v="74"/>
    <n v="97"/>
    <n v="52"/>
    <n v="1525.59"/>
    <n v="3"/>
    <n v="0"/>
    <x v="0"/>
    <x v="1"/>
    <x v="0"/>
    <n v="147982.22999999998"/>
  </r>
  <r>
    <s v="ORD00156"/>
    <d v="2026-09-13T00:00:00"/>
    <x v="10"/>
    <x v="4"/>
    <x v="2"/>
    <s v="Mumbai"/>
    <x v="0"/>
    <n v="123"/>
    <n v="93"/>
    <n v="107"/>
    <n v="109"/>
    <n v="65"/>
    <n v="562.78"/>
    <n v="3"/>
    <n v="0"/>
    <x v="1"/>
    <x v="1"/>
    <x v="0"/>
    <n v="61343.02"/>
  </r>
  <r>
    <s v="ORD00157"/>
    <d v="2026-11-02T00:00:00"/>
    <x v="19"/>
    <x v="2"/>
    <x v="4"/>
    <s v="Bangalore"/>
    <x v="1"/>
    <n v="140"/>
    <n v="84"/>
    <n v="73"/>
    <n v="151"/>
    <n v="60"/>
    <n v="1414.54"/>
    <n v="4"/>
    <n v="0"/>
    <x v="0"/>
    <x v="2"/>
    <x v="0"/>
    <n v="213595.54"/>
  </r>
  <r>
    <s v="ORD00158"/>
    <d v="2026-01-27T00:00:00"/>
    <x v="5"/>
    <x v="3"/>
    <x v="1"/>
    <s v="Bangalore"/>
    <x v="1"/>
    <n v="67"/>
    <n v="75"/>
    <n v="32"/>
    <n v="110"/>
    <n v="61"/>
    <n v="1359.15"/>
    <n v="8"/>
    <n v="0"/>
    <x v="1"/>
    <x v="1"/>
    <x v="0"/>
    <n v="149506.5"/>
  </r>
  <r>
    <s v="ORD00159"/>
    <d v="2026-02-19T00:00:00"/>
    <x v="15"/>
    <x v="4"/>
    <x v="0"/>
    <s v="Delhi"/>
    <x v="2"/>
    <n v="58"/>
    <n v="69"/>
    <n v="79"/>
    <n v="48"/>
    <n v="73"/>
    <n v="473.8"/>
    <n v="4"/>
    <n v="2"/>
    <x v="1"/>
    <x v="1"/>
    <x v="0"/>
    <n v="22742.400000000001"/>
  </r>
  <r>
    <s v="ORD00160"/>
    <d v="2026-08-31T00:00:00"/>
    <x v="5"/>
    <x v="3"/>
    <x v="0"/>
    <s v="Delhi"/>
    <x v="2"/>
    <n v="76"/>
    <n v="45"/>
    <n v="92"/>
    <n v="29"/>
    <n v="77"/>
    <n v="1274.3599999999999"/>
    <n v="2"/>
    <n v="3"/>
    <x v="0"/>
    <x v="0"/>
    <x v="2"/>
    <n v="36956.439999999995"/>
  </r>
  <r>
    <s v="ORD00161"/>
    <d v="2026-06-22T00:00:00"/>
    <x v="10"/>
    <x v="4"/>
    <x v="2"/>
    <s v="Mumbai"/>
    <x v="0"/>
    <n v="123"/>
    <n v="98"/>
    <n v="55"/>
    <n v="166"/>
    <n v="55"/>
    <n v="587.15"/>
    <n v="6"/>
    <n v="0"/>
    <x v="1"/>
    <x v="2"/>
    <x v="0"/>
    <n v="97466.9"/>
  </r>
  <r>
    <s v="ORD00162"/>
    <d v="2026-12-19T00:00:00"/>
    <x v="10"/>
    <x v="4"/>
    <x v="1"/>
    <s v="Delhi"/>
    <x v="2"/>
    <n v="161"/>
    <n v="124"/>
    <n v="17"/>
    <n v="268"/>
    <n v="68"/>
    <n v="579.75"/>
    <n v="2"/>
    <n v="0"/>
    <x v="1"/>
    <x v="2"/>
    <x v="0"/>
    <n v="155373"/>
  </r>
  <r>
    <s v="ORD00163"/>
    <d v="2026-03-17T00:00:00"/>
    <x v="3"/>
    <x v="0"/>
    <x v="0"/>
    <s v="Mumbai"/>
    <x v="0"/>
    <n v="53"/>
    <n v="94"/>
    <n v="76"/>
    <n v="71"/>
    <n v="55"/>
    <n v="904.36"/>
    <n v="7"/>
    <n v="0"/>
    <x v="1"/>
    <x v="1"/>
    <x v="1"/>
    <n v="64209.56"/>
  </r>
  <r>
    <s v="ORD00164"/>
    <d v="2026-11-10T00:00:00"/>
    <x v="9"/>
    <x v="1"/>
    <x v="1"/>
    <s v="Bangalore"/>
    <x v="1"/>
    <n v="88"/>
    <n v="22"/>
    <n v="71"/>
    <n v="39"/>
    <n v="65"/>
    <n v="688.63"/>
    <n v="5"/>
    <n v="7"/>
    <x v="1"/>
    <x v="0"/>
    <x v="0"/>
    <n v="26856.57"/>
  </r>
  <r>
    <s v="ORD00165"/>
    <d v="2026-09-30T00:00:00"/>
    <x v="8"/>
    <x v="3"/>
    <x v="2"/>
    <s v="Mumbai"/>
    <x v="0"/>
    <n v="183"/>
    <n v="61"/>
    <n v="99"/>
    <n v="145"/>
    <n v="75"/>
    <n v="2814.27"/>
    <n v="4"/>
    <n v="0"/>
    <x v="1"/>
    <x v="1"/>
    <x v="0"/>
    <n v="408069.15"/>
  </r>
  <r>
    <s v="ORD00166"/>
    <d v="2026-12-20T00:00:00"/>
    <x v="4"/>
    <x v="2"/>
    <x v="0"/>
    <s v="Kolkata"/>
    <x v="3"/>
    <n v="89"/>
    <n v="51"/>
    <n v="50"/>
    <n v="90"/>
    <n v="80"/>
    <n v="767.76"/>
    <n v="4"/>
    <n v="0"/>
    <x v="1"/>
    <x v="1"/>
    <x v="2"/>
    <n v="69098.399999999994"/>
  </r>
  <r>
    <s v="ORD00167"/>
    <d v="2026-07-22T00:00:00"/>
    <x v="5"/>
    <x v="3"/>
    <x v="3"/>
    <s v="Delhi"/>
    <x v="2"/>
    <n v="183"/>
    <n v="121"/>
    <n v="107"/>
    <n v="197"/>
    <n v="62"/>
    <n v="1244.83"/>
    <n v="6"/>
    <n v="0"/>
    <x v="1"/>
    <x v="2"/>
    <x v="0"/>
    <n v="245231.50999999998"/>
  </r>
  <r>
    <s v="ORD00168"/>
    <d v="2026-04-14T00:00:00"/>
    <x v="13"/>
    <x v="2"/>
    <x v="0"/>
    <s v="Bangalore"/>
    <x v="1"/>
    <n v="113"/>
    <n v="111"/>
    <n v="25"/>
    <n v="199"/>
    <n v="67"/>
    <n v="1193.28"/>
    <n v="7"/>
    <n v="0"/>
    <x v="1"/>
    <x v="2"/>
    <x v="0"/>
    <n v="237462.72"/>
  </r>
  <r>
    <s v="ORD00169"/>
    <d v="2026-01-27T00:00:00"/>
    <x v="6"/>
    <x v="4"/>
    <x v="1"/>
    <s v="Delhi"/>
    <x v="2"/>
    <n v="75"/>
    <n v="33"/>
    <n v="93"/>
    <n v="15"/>
    <n v="92"/>
    <n v="661.29"/>
    <n v="3"/>
    <n v="4"/>
    <x v="0"/>
    <x v="0"/>
    <x v="0"/>
    <n v="9919.3499999999985"/>
  </r>
  <r>
    <s v="ORD00170"/>
    <d v="2026-09-01T00:00:00"/>
    <x v="3"/>
    <x v="0"/>
    <x v="0"/>
    <s v="Kolkata"/>
    <x v="3"/>
    <n v="65"/>
    <n v="107"/>
    <n v="32"/>
    <n v="140"/>
    <n v="45"/>
    <n v="983.61"/>
    <n v="3"/>
    <n v="0"/>
    <x v="1"/>
    <x v="2"/>
    <x v="3"/>
    <n v="137705.4"/>
  </r>
  <r>
    <s v="ORD00171"/>
    <d v="2026-01-20T00:00:00"/>
    <x v="11"/>
    <x v="3"/>
    <x v="0"/>
    <s v="Delhi"/>
    <x v="2"/>
    <n v="113"/>
    <n v="102"/>
    <n v="22"/>
    <n v="193"/>
    <n v="94"/>
    <n v="2019.36"/>
    <n v="6"/>
    <n v="0"/>
    <x v="1"/>
    <x v="1"/>
    <x v="2"/>
    <n v="389736.48"/>
  </r>
  <r>
    <s v="ORD00172"/>
    <d v="2026-01-05T00:00:00"/>
    <x v="2"/>
    <x v="1"/>
    <x v="2"/>
    <s v="Bangalore"/>
    <x v="1"/>
    <n v="141"/>
    <n v="120"/>
    <n v="78"/>
    <n v="183"/>
    <n v="56"/>
    <n v="2609.5700000000002"/>
    <n v="8"/>
    <n v="0"/>
    <x v="1"/>
    <x v="2"/>
    <x v="1"/>
    <n v="477551.31000000006"/>
  </r>
  <r>
    <s v="ORD00173"/>
    <d v="2026-04-09T00:00:00"/>
    <x v="18"/>
    <x v="2"/>
    <x v="0"/>
    <s v="Delhi"/>
    <x v="2"/>
    <n v="156"/>
    <n v="102"/>
    <n v="84"/>
    <n v="174"/>
    <n v="78"/>
    <n v="3196.1"/>
    <n v="3"/>
    <n v="0"/>
    <x v="1"/>
    <x v="2"/>
    <x v="0"/>
    <n v="556121.4"/>
  </r>
  <r>
    <s v="ORD00174"/>
    <d v="2026-04-09T00:00:00"/>
    <x v="16"/>
    <x v="0"/>
    <x v="2"/>
    <s v="Kolkata"/>
    <x v="3"/>
    <n v="205"/>
    <n v="52"/>
    <n v="106"/>
    <n v="151"/>
    <n v="56"/>
    <n v="1083.3800000000001"/>
    <n v="4"/>
    <n v="0"/>
    <x v="1"/>
    <x v="2"/>
    <x v="0"/>
    <n v="163590.38"/>
  </r>
  <r>
    <s v="ORD00175"/>
    <d v="2026-05-01T00:00:00"/>
    <x v="2"/>
    <x v="1"/>
    <x v="3"/>
    <s v="Delhi"/>
    <x v="2"/>
    <n v="62"/>
    <n v="71"/>
    <n v="100"/>
    <n v="33"/>
    <n v="51"/>
    <n v="2248.69"/>
    <n v="6"/>
    <n v="5"/>
    <x v="0"/>
    <x v="0"/>
    <x v="0"/>
    <n v="74206.77"/>
  </r>
  <r>
    <s v="ORD00176"/>
    <d v="2026-03-02T00:00:00"/>
    <x v="5"/>
    <x v="3"/>
    <x v="0"/>
    <s v="Delhi"/>
    <x v="2"/>
    <n v="189"/>
    <n v="112"/>
    <n v="88"/>
    <n v="213"/>
    <n v="45"/>
    <n v="1238"/>
    <n v="4"/>
    <n v="0"/>
    <x v="1"/>
    <x v="2"/>
    <x v="0"/>
    <n v="263694"/>
  </r>
  <r>
    <s v="ORD00177"/>
    <d v="2026-07-08T00:00:00"/>
    <x v="5"/>
    <x v="3"/>
    <x v="2"/>
    <s v="Kolkata"/>
    <x v="3"/>
    <n v="215"/>
    <n v="84"/>
    <n v="105"/>
    <n v="194"/>
    <n v="94"/>
    <n v="1250.8499999999999"/>
    <n v="2"/>
    <n v="0"/>
    <x v="1"/>
    <x v="1"/>
    <x v="3"/>
    <n v="242664.9"/>
  </r>
  <r>
    <s v="ORD00178"/>
    <d v="2026-08-30T00:00:00"/>
    <x v="15"/>
    <x v="4"/>
    <x v="2"/>
    <s v="Mumbai"/>
    <x v="0"/>
    <n v="162"/>
    <n v="39"/>
    <n v="73"/>
    <n v="128"/>
    <n v="92"/>
    <n v="494"/>
    <n v="4"/>
    <n v="0"/>
    <x v="1"/>
    <x v="1"/>
    <x v="0"/>
    <n v="63232"/>
  </r>
  <r>
    <s v="ORD00179"/>
    <d v="2026-09-16T00:00:00"/>
    <x v="15"/>
    <x v="4"/>
    <x v="2"/>
    <s v="Bangalore"/>
    <x v="1"/>
    <n v="174"/>
    <n v="77"/>
    <n v="82"/>
    <n v="169"/>
    <n v="90"/>
    <n v="437.56"/>
    <n v="6"/>
    <n v="0"/>
    <x v="0"/>
    <x v="1"/>
    <x v="1"/>
    <n v="73947.64"/>
  </r>
  <r>
    <s v="ORD00180"/>
    <d v="2026-08-17T00:00:00"/>
    <x v="1"/>
    <x v="1"/>
    <x v="2"/>
    <s v="Delhi"/>
    <x v="2"/>
    <n v="173"/>
    <n v="76"/>
    <n v="29"/>
    <n v="220"/>
    <n v="88"/>
    <n v="1223.4000000000001"/>
    <n v="6"/>
    <n v="0"/>
    <x v="1"/>
    <x v="2"/>
    <x v="1"/>
    <n v="269148"/>
  </r>
  <r>
    <s v="ORD00181"/>
    <d v="2026-05-11T00:00:00"/>
    <x v="3"/>
    <x v="0"/>
    <x v="2"/>
    <s v="Kolkata"/>
    <x v="3"/>
    <n v="156"/>
    <n v="92"/>
    <n v="22"/>
    <n v="226"/>
    <n v="80"/>
    <n v="893.23"/>
    <n v="8"/>
    <n v="0"/>
    <x v="1"/>
    <x v="2"/>
    <x v="0"/>
    <n v="201869.98"/>
  </r>
  <r>
    <s v="ORD00182"/>
    <d v="2026-08-30T00:00:00"/>
    <x v="17"/>
    <x v="0"/>
    <x v="1"/>
    <s v="Bangalore"/>
    <x v="1"/>
    <n v="51"/>
    <n v="74"/>
    <n v="59"/>
    <n v="66"/>
    <n v="89"/>
    <n v="1277.8499999999999"/>
    <n v="2"/>
    <n v="2"/>
    <x v="1"/>
    <x v="1"/>
    <x v="3"/>
    <n v="84338.099999999991"/>
  </r>
  <r>
    <s v="ORD00183"/>
    <d v="2026-08-18T00:00:00"/>
    <x v="16"/>
    <x v="0"/>
    <x v="3"/>
    <s v="Mumbai"/>
    <x v="0"/>
    <n v="74"/>
    <n v="118"/>
    <n v="97"/>
    <n v="95"/>
    <n v="91"/>
    <n v="1235.01"/>
    <n v="5"/>
    <n v="0"/>
    <x v="1"/>
    <x v="1"/>
    <x v="1"/>
    <n v="117325.95"/>
  </r>
  <r>
    <s v="ORD00184"/>
    <d v="2026-04-25T00:00:00"/>
    <x v="7"/>
    <x v="3"/>
    <x v="4"/>
    <s v="Mumbai"/>
    <x v="0"/>
    <n v="207"/>
    <n v="130"/>
    <n v="59"/>
    <n v="278"/>
    <n v="52"/>
    <n v="935.69"/>
    <n v="6"/>
    <n v="0"/>
    <x v="1"/>
    <x v="2"/>
    <x v="0"/>
    <n v="260121.82"/>
  </r>
  <r>
    <s v="ORD00185"/>
    <d v="2026-03-21T00:00:00"/>
    <x v="0"/>
    <x v="0"/>
    <x v="0"/>
    <s v="Kolkata"/>
    <x v="3"/>
    <n v="212"/>
    <n v="112"/>
    <n v="84"/>
    <n v="240"/>
    <n v="72"/>
    <n v="1811.5"/>
    <n v="8"/>
    <n v="0"/>
    <x v="1"/>
    <x v="2"/>
    <x v="0"/>
    <n v="434760"/>
  </r>
  <r>
    <s v="ORD00186"/>
    <d v="2026-11-01T00:00:00"/>
    <x v="13"/>
    <x v="2"/>
    <x v="4"/>
    <s v="Bangalore"/>
    <x v="1"/>
    <n v="209"/>
    <n v="73"/>
    <n v="93"/>
    <n v="189"/>
    <n v="94"/>
    <n v="1195.97"/>
    <n v="2"/>
    <n v="0"/>
    <x v="1"/>
    <x v="1"/>
    <x v="0"/>
    <n v="226038.33000000002"/>
  </r>
  <r>
    <s v="ORD00187"/>
    <d v="2026-01-29T00:00:00"/>
    <x v="3"/>
    <x v="0"/>
    <x v="1"/>
    <s v="Bangalore"/>
    <x v="1"/>
    <n v="102"/>
    <n v="114"/>
    <n v="20"/>
    <n v="196"/>
    <n v="70"/>
    <n v="889.01"/>
    <n v="6"/>
    <n v="0"/>
    <x v="1"/>
    <x v="2"/>
    <x v="1"/>
    <n v="174245.96"/>
  </r>
  <r>
    <s v="ORD00188"/>
    <d v="2026-09-24T00:00:00"/>
    <x v="14"/>
    <x v="1"/>
    <x v="2"/>
    <s v="Delhi"/>
    <x v="2"/>
    <n v="187"/>
    <n v="96"/>
    <n v="101"/>
    <n v="182"/>
    <n v="97"/>
    <n v="1542.61"/>
    <n v="4"/>
    <n v="0"/>
    <x v="1"/>
    <x v="1"/>
    <x v="3"/>
    <n v="280755.01999999996"/>
  </r>
  <r>
    <s v="ORD00189"/>
    <d v="2026-06-26T00:00:00"/>
    <x v="2"/>
    <x v="1"/>
    <x v="0"/>
    <s v="Delhi"/>
    <x v="2"/>
    <n v="55"/>
    <n v="91"/>
    <n v="90"/>
    <n v="56"/>
    <n v="92"/>
    <n v="2597.56"/>
    <n v="7"/>
    <n v="8"/>
    <x v="1"/>
    <x v="0"/>
    <x v="0"/>
    <n v="145463.35999999999"/>
  </r>
  <r>
    <s v="ORD00190"/>
    <d v="2026-12-29T00:00:00"/>
    <x v="5"/>
    <x v="3"/>
    <x v="3"/>
    <s v="Kolkata"/>
    <x v="3"/>
    <n v="78"/>
    <n v="58"/>
    <n v="63"/>
    <n v="73"/>
    <n v="56"/>
    <n v="1366.15"/>
    <n v="5"/>
    <n v="0"/>
    <x v="1"/>
    <x v="1"/>
    <x v="0"/>
    <n v="99728.950000000012"/>
  </r>
  <r>
    <s v="ORD00191"/>
    <d v="2026-08-19T00:00:00"/>
    <x v="2"/>
    <x v="1"/>
    <x v="4"/>
    <s v="Kolkata"/>
    <x v="3"/>
    <n v="146"/>
    <n v="91"/>
    <n v="82"/>
    <n v="155"/>
    <n v="53"/>
    <n v="2346.44"/>
    <n v="4"/>
    <n v="0"/>
    <x v="1"/>
    <x v="2"/>
    <x v="0"/>
    <n v="363698.2"/>
  </r>
  <r>
    <s v="ORD00192"/>
    <d v="2026-10-28T00:00:00"/>
    <x v="18"/>
    <x v="2"/>
    <x v="1"/>
    <s v="Mumbai"/>
    <x v="0"/>
    <n v="53"/>
    <n v="54"/>
    <n v="63"/>
    <n v="44"/>
    <n v="88"/>
    <n v="3267.18"/>
    <n v="2"/>
    <n v="4"/>
    <x v="1"/>
    <x v="0"/>
    <x v="1"/>
    <n v="143755.91999999998"/>
  </r>
  <r>
    <s v="ORD00193"/>
    <d v="2026-09-03T00:00:00"/>
    <x v="15"/>
    <x v="4"/>
    <x v="3"/>
    <s v="Mumbai"/>
    <x v="0"/>
    <n v="125"/>
    <n v="58"/>
    <n v="16"/>
    <n v="167"/>
    <n v="58"/>
    <n v="489.34"/>
    <n v="7"/>
    <n v="0"/>
    <x v="0"/>
    <x v="2"/>
    <x v="3"/>
    <n v="81719.78"/>
  </r>
  <r>
    <s v="ORD00194"/>
    <d v="2026-09-20T00:00:00"/>
    <x v="1"/>
    <x v="1"/>
    <x v="3"/>
    <s v="Mumbai"/>
    <x v="0"/>
    <n v="181"/>
    <n v="61"/>
    <n v="51"/>
    <n v="191"/>
    <n v="69"/>
    <n v="1291.23"/>
    <n v="7"/>
    <n v="0"/>
    <x v="1"/>
    <x v="2"/>
    <x v="0"/>
    <n v="246624.93"/>
  </r>
  <r>
    <s v="ORD00195"/>
    <d v="2026-01-09T00:00:00"/>
    <x v="7"/>
    <x v="3"/>
    <x v="4"/>
    <s v="Kolkata"/>
    <x v="3"/>
    <n v="121"/>
    <n v="46"/>
    <n v="62"/>
    <n v="105"/>
    <n v="65"/>
    <n v="982.79"/>
    <n v="6"/>
    <n v="0"/>
    <x v="1"/>
    <x v="1"/>
    <x v="2"/>
    <n v="103192.95"/>
  </r>
  <r>
    <s v="ORD00196"/>
    <d v="2026-12-17T00:00:00"/>
    <x v="19"/>
    <x v="2"/>
    <x v="0"/>
    <s v="Mumbai"/>
    <x v="0"/>
    <n v="90"/>
    <n v="62"/>
    <n v="44"/>
    <n v="108"/>
    <n v="69"/>
    <n v="1520.94"/>
    <n v="3"/>
    <n v="0"/>
    <x v="1"/>
    <x v="1"/>
    <x v="0"/>
    <n v="164261.52000000002"/>
  </r>
  <r>
    <s v="ORD00197"/>
    <d v="2026-10-05T00:00:00"/>
    <x v="4"/>
    <x v="2"/>
    <x v="3"/>
    <s v="Kolkata"/>
    <x v="3"/>
    <n v="157"/>
    <n v="41"/>
    <n v="108"/>
    <n v="90"/>
    <n v="95"/>
    <n v="776.35"/>
    <n v="3"/>
    <n v="8"/>
    <x v="1"/>
    <x v="1"/>
    <x v="0"/>
    <n v="69871.5"/>
  </r>
  <r>
    <s v="ORD00198"/>
    <d v="2026-11-13T00:00:00"/>
    <x v="0"/>
    <x v="0"/>
    <x v="4"/>
    <s v="Bangalore"/>
    <x v="1"/>
    <n v="41"/>
    <n v="72"/>
    <n v="32"/>
    <n v="81"/>
    <n v="98"/>
    <n v="1847.05"/>
    <n v="6"/>
    <n v="8"/>
    <x v="0"/>
    <x v="1"/>
    <x v="0"/>
    <n v="149611.04999999999"/>
  </r>
  <r>
    <s v="ORD00199"/>
    <d v="2026-12-24T00:00:00"/>
    <x v="10"/>
    <x v="4"/>
    <x v="3"/>
    <s v="Bangalore"/>
    <x v="1"/>
    <n v="41"/>
    <n v="88"/>
    <n v="85"/>
    <n v="44"/>
    <n v="71"/>
    <n v="541.41999999999996"/>
    <n v="6"/>
    <n v="5"/>
    <x v="1"/>
    <x v="0"/>
    <x v="0"/>
    <n v="23822.48"/>
  </r>
  <r>
    <s v="ORD00200"/>
    <d v="2026-07-23T00:00:00"/>
    <x v="11"/>
    <x v="3"/>
    <x v="4"/>
    <s v="Bangalore"/>
    <x v="1"/>
    <n v="174"/>
    <n v="39"/>
    <n v="45"/>
    <n v="168"/>
    <n v="57"/>
    <n v="2252.6999999999998"/>
    <n v="4"/>
    <n v="0"/>
    <x v="1"/>
    <x v="2"/>
    <x v="0"/>
    <n v="378453.6"/>
  </r>
  <r>
    <s v="ORD00201"/>
    <d v="2026-11-29T00:00:00"/>
    <x v="16"/>
    <x v="0"/>
    <x v="3"/>
    <s v="Kolkata"/>
    <x v="3"/>
    <n v="184"/>
    <n v="51"/>
    <n v="104"/>
    <n v="131"/>
    <n v="59"/>
    <n v="1151.99"/>
    <n v="8"/>
    <n v="0"/>
    <x v="1"/>
    <x v="2"/>
    <x v="0"/>
    <n v="150910.69"/>
  </r>
  <r>
    <s v="ORD00202"/>
    <d v="2026-08-11T00:00:00"/>
    <x v="0"/>
    <x v="0"/>
    <x v="3"/>
    <s v="Kolkata"/>
    <x v="3"/>
    <n v="136"/>
    <n v="90"/>
    <n v="75"/>
    <n v="151"/>
    <n v="48"/>
    <n v="1849.23"/>
    <n v="7"/>
    <n v="0"/>
    <x v="1"/>
    <x v="2"/>
    <x v="0"/>
    <n v="279233.73"/>
  </r>
  <r>
    <s v="ORD00203"/>
    <d v="2026-10-16T00:00:00"/>
    <x v="18"/>
    <x v="2"/>
    <x v="1"/>
    <s v="Bangalore"/>
    <x v="1"/>
    <n v="98"/>
    <n v="47"/>
    <n v="103"/>
    <n v="42"/>
    <n v="81"/>
    <n v="3184.32"/>
    <n v="2"/>
    <n v="5"/>
    <x v="1"/>
    <x v="0"/>
    <x v="1"/>
    <n v="133741.44"/>
  </r>
  <r>
    <s v="ORD00204"/>
    <d v="2026-03-25T00:00:00"/>
    <x v="17"/>
    <x v="0"/>
    <x v="0"/>
    <s v="Bangalore"/>
    <x v="1"/>
    <n v="93"/>
    <n v="95"/>
    <n v="33"/>
    <n v="155"/>
    <n v="93"/>
    <n v="1489.79"/>
    <n v="8"/>
    <n v="0"/>
    <x v="1"/>
    <x v="1"/>
    <x v="0"/>
    <n v="230917.44999999998"/>
  </r>
  <r>
    <s v="ORD00205"/>
    <d v="2026-02-10T00:00:00"/>
    <x v="15"/>
    <x v="4"/>
    <x v="1"/>
    <s v="Kolkata"/>
    <x v="3"/>
    <n v="213"/>
    <n v="89"/>
    <n v="57"/>
    <n v="245"/>
    <n v="69"/>
    <n v="473"/>
    <n v="3"/>
    <n v="0"/>
    <x v="1"/>
    <x v="2"/>
    <x v="2"/>
    <n v="115885"/>
  </r>
  <r>
    <s v="ORD00206"/>
    <d v="2026-06-17T00:00:00"/>
    <x v="6"/>
    <x v="4"/>
    <x v="4"/>
    <s v="Bangalore"/>
    <x v="1"/>
    <n v="151"/>
    <n v="49"/>
    <n v="24"/>
    <n v="176"/>
    <n v="66"/>
    <n v="663.67"/>
    <n v="6"/>
    <n v="0"/>
    <x v="1"/>
    <x v="2"/>
    <x v="0"/>
    <n v="116805.92"/>
  </r>
  <r>
    <s v="ORD00207"/>
    <d v="2026-11-13T00:00:00"/>
    <x v="16"/>
    <x v="0"/>
    <x v="3"/>
    <s v="Kolkata"/>
    <x v="3"/>
    <n v="98"/>
    <n v="65"/>
    <n v="85"/>
    <n v="78"/>
    <n v="69"/>
    <n v="1183.6400000000001"/>
    <n v="7"/>
    <n v="0"/>
    <x v="1"/>
    <x v="1"/>
    <x v="0"/>
    <n v="92323.920000000013"/>
  </r>
  <r>
    <s v="ORD00208"/>
    <d v="2026-02-16T00:00:00"/>
    <x v="13"/>
    <x v="2"/>
    <x v="4"/>
    <s v="Bangalore"/>
    <x v="1"/>
    <n v="108"/>
    <n v="39"/>
    <n v="63"/>
    <n v="84"/>
    <n v="90"/>
    <n v="1162.46"/>
    <n v="3"/>
    <n v="6"/>
    <x v="1"/>
    <x v="1"/>
    <x v="0"/>
    <n v="97646.64"/>
  </r>
  <r>
    <s v="ORD00209"/>
    <d v="2026-02-22T00:00:00"/>
    <x v="16"/>
    <x v="0"/>
    <x v="3"/>
    <s v="Delhi"/>
    <x v="2"/>
    <n v="109"/>
    <n v="33"/>
    <n v="31"/>
    <n v="111"/>
    <n v="50"/>
    <n v="1124.97"/>
    <n v="5"/>
    <n v="0"/>
    <x v="1"/>
    <x v="2"/>
    <x v="0"/>
    <n v="124871.67"/>
  </r>
  <r>
    <s v="ORD00210"/>
    <d v="2026-10-14T00:00:00"/>
    <x v="0"/>
    <x v="0"/>
    <x v="0"/>
    <s v="Bangalore"/>
    <x v="1"/>
    <n v="192"/>
    <n v="96"/>
    <n v="56"/>
    <n v="232"/>
    <n v="100"/>
    <n v="1758.69"/>
    <n v="4"/>
    <n v="0"/>
    <x v="1"/>
    <x v="2"/>
    <x v="2"/>
    <n v="408016.08"/>
  </r>
  <r>
    <s v="ORD00211"/>
    <d v="2026-06-03T00:00:00"/>
    <x v="1"/>
    <x v="1"/>
    <x v="3"/>
    <s v="Mumbai"/>
    <x v="0"/>
    <n v="75"/>
    <n v="54"/>
    <n v="53"/>
    <n v="76"/>
    <n v="62"/>
    <n v="1298.21"/>
    <n v="2"/>
    <n v="0"/>
    <x v="0"/>
    <x v="1"/>
    <x v="0"/>
    <n v="98663.96"/>
  </r>
  <r>
    <s v="ORD00212"/>
    <d v="2026-01-04T00:00:00"/>
    <x v="8"/>
    <x v="3"/>
    <x v="0"/>
    <s v="Delhi"/>
    <x v="2"/>
    <n v="103"/>
    <n v="112"/>
    <n v="95"/>
    <n v="120"/>
    <n v="76"/>
    <n v="2852.53"/>
    <n v="3"/>
    <n v="0"/>
    <x v="1"/>
    <x v="1"/>
    <x v="0"/>
    <n v="342303.60000000003"/>
  </r>
  <r>
    <s v="ORD00213"/>
    <d v="2026-06-03T00:00:00"/>
    <x v="5"/>
    <x v="3"/>
    <x v="1"/>
    <s v="Kolkata"/>
    <x v="3"/>
    <n v="124"/>
    <n v="76"/>
    <n v="57"/>
    <n v="143"/>
    <n v="72"/>
    <n v="1382.02"/>
    <n v="8"/>
    <n v="0"/>
    <x v="1"/>
    <x v="1"/>
    <x v="0"/>
    <n v="197628.86"/>
  </r>
  <r>
    <s v="ORD00214"/>
    <d v="2026-05-05T00:00:00"/>
    <x v="13"/>
    <x v="2"/>
    <x v="3"/>
    <s v="Delhi"/>
    <x v="2"/>
    <n v="85"/>
    <n v="70"/>
    <n v="55"/>
    <n v="100"/>
    <n v="63"/>
    <n v="1151.67"/>
    <n v="7"/>
    <n v="0"/>
    <x v="1"/>
    <x v="1"/>
    <x v="0"/>
    <n v="115167"/>
  </r>
  <r>
    <s v="ORD00215"/>
    <d v="2026-01-14T00:00:00"/>
    <x v="19"/>
    <x v="2"/>
    <x v="0"/>
    <s v="Kolkata"/>
    <x v="3"/>
    <n v="133"/>
    <n v="34"/>
    <n v="87"/>
    <n v="80"/>
    <n v="57"/>
    <n v="1527.67"/>
    <n v="6"/>
    <n v="0"/>
    <x v="1"/>
    <x v="1"/>
    <x v="2"/>
    <n v="122213.6"/>
  </r>
  <r>
    <s v="ORD00216"/>
    <d v="2026-03-20T00:00:00"/>
    <x v="11"/>
    <x v="3"/>
    <x v="3"/>
    <s v="Delhi"/>
    <x v="2"/>
    <n v="217"/>
    <n v="28"/>
    <n v="67"/>
    <n v="178"/>
    <n v="88"/>
    <n v="2199.69"/>
    <n v="7"/>
    <n v="0"/>
    <x v="1"/>
    <x v="1"/>
    <x v="0"/>
    <n v="391544.82"/>
  </r>
  <r>
    <s v="ORD00217"/>
    <d v="2026-07-04T00:00:00"/>
    <x v="7"/>
    <x v="3"/>
    <x v="4"/>
    <s v="Kolkata"/>
    <x v="3"/>
    <n v="193"/>
    <n v="81"/>
    <n v="89"/>
    <n v="185"/>
    <n v="70"/>
    <n v="1006.87"/>
    <n v="8"/>
    <n v="0"/>
    <x v="1"/>
    <x v="2"/>
    <x v="0"/>
    <n v="186270.95"/>
  </r>
  <r>
    <s v="ORD00218"/>
    <d v="2026-11-28T00:00:00"/>
    <x v="12"/>
    <x v="4"/>
    <x v="4"/>
    <s v="Mumbai"/>
    <x v="0"/>
    <n v="208"/>
    <n v="105"/>
    <n v="60"/>
    <n v="253"/>
    <n v="55"/>
    <n v="514.70000000000005"/>
    <n v="2"/>
    <n v="0"/>
    <x v="1"/>
    <x v="2"/>
    <x v="0"/>
    <n v="130219.1"/>
  </r>
  <r>
    <s v="ORD00219"/>
    <d v="2026-07-20T00:00:00"/>
    <x v="5"/>
    <x v="3"/>
    <x v="3"/>
    <s v="Bangalore"/>
    <x v="1"/>
    <n v="42"/>
    <n v="32"/>
    <n v="48"/>
    <n v="26"/>
    <n v="59"/>
    <n v="1302.78"/>
    <n v="6"/>
    <n v="4"/>
    <x v="1"/>
    <x v="0"/>
    <x v="0"/>
    <n v="33872.28"/>
  </r>
  <r>
    <s v="ORD00220"/>
    <d v="2026-03-14T00:00:00"/>
    <x v="11"/>
    <x v="3"/>
    <x v="0"/>
    <s v="Bangalore"/>
    <x v="1"/>
    <n v="163"/>
    <n v="33"/>
    <n v="52"/>
    <n v="144"/>
    <n v="71"/>
    <n v="2385.04"/>
    <n v="2"/>
    <n v="0"/>
    <x v="0"/>
    <x v="1"/>
    <x v="3"/>
    <n v="343445.76000000001"/>
  </r>
  <r>
    <s v="ORD00221"/>
    <d v="2026-02-04T00:00:00"/>
    <x v="4"/>
    <x v="2"/>
    <x v="0"/>
    <s v="Kolkata"/>
    <x v="3"/>
    <n v="92"/>
    <n v="86"/>
    <n v="76"/>
    <n v="102"/>
    <n v="67"/>
    <n v="796.19"/>
    <n v="5"/>
    <n v="0"/>
    <x v="1"/>
    <x v="1"/>
    <x v="0"/>
    <n v="81211.38"/>
  </r>
  <r>
    <s v="ORD00222"/>
    <d v="2026-03-23T00:00:00"/>
    <x v="18"/>
    <x v="2"/>
    <x v="4"/>
    <s v="Bangalore"/>
    <x v="1"/>
    <n v="127"/>
    <n v="102"/>
    <n v="28"/>
    <n v="201"/>
    <n v="88"/>
    <n v="3392.03"/>
    <n v="7"/>
    <n v="0"/>
    <x v="1"/>
    <x v="2"/>
    <x v="0"/>
    <n v="681798.03"/>
  </r>
  <r>
    <s v="ORD00223"/>
    <d v="2026-04-12T00:00:00"/>
    <x v="19"/>
    <x v="2"/>
    <x v="3"/>
    <s v="Mumbai"/>
    <x v="0"/>
    <n v="143"/>
    <n v="100"/>
    <n v="38"/>
    <n v="205"/>
    <n v="56"/>
    <n v="1542.14"/>
    <n v="5"/>
    <n v="0"/>
    <x v="1"/>
    <x v="2"/>
    <x v="2"/>
    <n v="316138.7"/>
  </r>
  <r>
    <s v="ORD00224"/>
    <d v="2026-10-02T00:00:00"/>
    <x v="7"/>
    <x v="3"/>
    <x v="3"/>
    <s v="Bangalore"/>
    <x v="1"/>
    <n v="220"/>
    <n v="47"/>
    <n v="41"/>
    <n v="226"/>
    <n v="62"/>
    <n v="1050.47"/>
    <n v="8"/>
    <n v="0"/>
    <x v="1"/>
    <x v="2"/>
    <x v="0"/>
    <n v="237406.22"/>
  </r>
  <r>
    <s v="ORD00225"/>
    <d v="2026-07-18T00:00:00"/>
    <x v="14"/>
    <x v="1"/>
    <x v="0"/>
    <s v="Mumbai"/>
    <x v="0"/>
    <n v="157"/>
    <n v="34"/>
    <n v="48"/>
    <n v="143"/>
    <n v="87"/>
    <n v="1716.04"/>
    <n v="6"/>
    <n v="0"/>
    <x v="1"/>
    <x v="1"/>
    <x v="0"/>
    <n v="245393.72"/>
  </r>
  <r>
    <s v="ORD00226"/>
    <d v="2026-11-11T00:00:00"/>
    <x v="10"/>
    <x v="4"/>
    <x v="1"/>
    <s v="Bangalore"/>
    <x v="1"/>
    <n v="129"/>
    <n v="65"/>
    <n v="73"/>
    <n v="121"/>
    <n v="84"/>
    <n v="560.70000000000005"/>
    <n v="7"/>
    <n v="0"/>
    <x v="1"/>
    <x v="1"/>
    <x v="0"/>
    <n v="67844.700000000012"/>
  </r>
  <r>
    <s v="ORD00227"/>
    <d v="2026-11-02T00:00:00"/>
    <x v="12"/>
    <x v="4"/>
    <x v="2"/>
    <s v="Delhi"/>
    <x v="2"/>
    <n v="70"/>
    <n v="50"/>
    <n v="54"/>
    <n v="66"/>
    <n v="52"/>
    <n v="468.3"/>
    <n v="7"/>
    <n v="0"/>
    <x v="0"/>
    <x v="1"/>
    <x v="0"/>
    <n v="30907.8"/>
  </r>
  <r>
    <s v="ORD00228"/>
    <d v="2026-08-19T00:00:00"/>
    <x v="2"/>
    <x v="1"/>
    <x v="3"/>
    <s v="Mumbai"/>
    <x v="0"/>
    <n v="164"/>
    <n v="101"/>
    <n v="83"/>
    <n v="182"/>
    <n v="89"/>
    <n v="2601.1999999999998"/>
    <n v="7"/>
    <n v="0"/>
    <x v="0"/>
    <x v="1"/>
    <x v="0"/>
    <n v="473418.39999999997"/>
  </r>
  <r>
    <s v="ORD00229"/>
    <d v="2026-12-17T00:00:00"/>
    <x v="12"/>
    <x v="4"/>
    <x v="0"/>
    <s v="Bangalore"/>
    <x v="1"/>
    <n v="164"/>
    <n v="37"/>
    <n v="39"/>
    <n v="162"/>
    <n v="97"/>
    <n v="488.39"/>
    <n v="6"/>
    <n v="0"/>
    <x v="1"/>
    <x v="1"/>
    <x v="0"/>
    <n v="79119.179999999993"/>
  </r>
  <r>
    <s v="ORD00230"/>
    <d v="2026-05-28T00:00:00"/>
    <x v="7"/>
    <x v="3"/>
    <x v="3"/>
    <s v="Kolkata"/>
    <x v="3"/>
    <n v="82"/>
    <n v="30"/>
    <n v="87"/>
    <n v="25"/>
    <n v="46"/>
    <n v="1059.18"/>
    <n v="3"/>
    <n v="5"/>
    <x v="1"/>
    <x v="0"/>
    <x v="0"/>
    <n v="26479.5"/>
  </r>
  <r>
    <s v="ORD00231"/>
    <d v="2026-10-05T00:00:00"/>
    <x v="2"/>
    <x v="1"/>
    <x v="1"/>
    <s v="Kolkata"/>
    <x v="3"/>
    <n v="180"/>
    <n v="85"/>
    <n v="29"/>
    <n v="236"/>
    <n v="81"/>
    <n v="2214.8200000000002"/>
    <n v="8"/>
    <n v="0"/>
    <x v="1"/>
    <x v="2"/>
    <x v="3"/>
    <n v="522697.52"/>
  </r>
  <r>
    <s v="ORD00232"/>
    <d v="2026-06-28T00:00:00"/>
    <x v="3"/>
    <x v="0"/>
    <x v="1"/>
    <s v="Mumbai"/>
    <x v="0"/>
    <n v="148"/>
    <n v="33"/>
    <n v="109"/>
    <n v="72"/>
    <n v="98"/>
    <n v="927.66"/>
    <n v="3"/>
    <n v="1"/>
    <x v="1"/>
    <x v="1"/>
    <x v="0"/>
    <n v="66791.520000000004"/>
  </r>
  <r>
    <s v="ORD00233"/>
    <d v="2026-03-26T00:00:00"/>
    <x v="3"/>
    <x v="0"/>
    <x v="4"/>
    <s v="Mumbai"/>
    <x v="0"/>
    <n v="93"/>
    <n v="123"/>
    <n v="109"/>
    <n v="107"/>
    <n v="82"/>
    <n v="934.04"/>
    <n v="8"/>
    <n v="0"/>
    <x v="1"/>
    <x v="1"/>
    <x v="0"/>
    <n v="99942.28"/>
  </r>
  <r>
    <s v="ORD00234"/>
    <d v="2026-05-30T00:00:00"/>
    <x v="15"/>
    <x v="4"/>
    <x v="2"/>
    <s v="Mumbai"/>
    <x v="0"/>
    <n v="55"/>
    <n v="92"/>
    <n v="59"/>
    <n v="88"/>
    <n v="79"/>
    <n v="430.3"/>
    <n v="6"/>
    <n v="0"/>
    <x v="0"/>
    <x v="1"/>
    <x v="3"/>
    <n v="37866.400000000001"/>
  </r>
  <r>
    <s v="ORD00235"/>
    <d v="2026-03-09T00:00:00"/>
    <x v="4"/>
    <x v="2"/>
    <x v="1"/>
    <s v="Bangalore"/>
    <x v="1"/>
    <n v="74"/>
    <n v="116"/>
    <n v="67"/>
    <n v="123"/>
    <n v="48"/>
    <n v="878.8"/>
    <n v="8"/>
    <n v="0"/>
    <x v="1"/>
    <x v="2"/>
    <x v="2"/>
    <n v="108092.4"/>
  </r>
  <r>
    <s v="ORD00236"/>
    <d v="2026-02-17T00:00:00"/>
    <x v="1"/>
    <x v="1"/>
    <x v="0"/>
    <s v="Mumbai"/>
    <x v="0"/>
    <n v="213"/>
    <n v="70"/>
    <n v="77"/>
    <n v="206"/>
    <n v="54"/>
    <n v="1320.13"/>
    <n v="8"/>
    <n v="0"/>
    <x v="0"/>
    <x v="2"/>
    <x v="0"/>
    <n v="271946.78000000003"/>
  </r>
  <r>
    <s v="ORD00237"/>
    <d v="2026-08-23T00:00:00"/>
    <x v="5"/>
    <x v="3"/>
    <x v="0"/>
    <s v="Kolkata"/>
    <x v="3"/>
    <n v="164"/>
    <n v="61"/>
    <n v="89"/>
    <n v="136"/>
    <n v="45"/>
    <n v="1395.92"/>
    <n v="8"/>
    <n v="0"/>
    <x v="1"/>
    <x v="2"/>
    <x v="2"/>
    <n v="189845.12"/>
  </r>
  <r>
    <s v="ORD00238"/>
    <d v="2026-03-08T00:00:00"/>
    <x v="18"/>
    <x v="2"/>
    <x v="1"/>
    <s v="Kolkata"/>
    <x v="3"/>
    <n v="95"/>
    <n v="74"/>
    <n v="42"/>
    <n v="127"/>
    <n v="76"/>
    <n v="3051.86"/>
    <n v="8"/>
    <n v="0"/>
    <x v="1"/>
    <x v="1"/>
    <x v="0"/>
    <n v="387586.22000000003"/>
  </r>
  <r>
    <s v="ORD00239"/>
    <d v="2026-01-01T00:00:00"/>
    <x v="10"/>
    <x v="4"/>
    <x v="0"/>
    <s v="Bangalore"/>
    <x v="1"/>
    <n v="51"/>
    <n v="32"/>
    <n v="95"/>
    <n v="0"/>
    <n v="95"/>
    <n v="640.4"/>
    <n v="2"/>
    <n v="3"/>
    <x v="0"/>
    <x v="0"/>
    <x v="0"/>
    <n v="0"/>
  </r>
  <r>
    <s v="ORD00240"/>
    <d v="2026-11-17T00:00:00"/>
    <x v="11"/>
    <x v="3"/>
    <x v="2"/>
    <s v="Delhi"/>
    <x v="2"/>
    <n v="80"/>
    <n v="55"/>
    <n v="26"/>
    <n v="109"/>
    <n v="86"/>
    <n v="2138.59"/>
    <n v="5"/>
    <n v="0"/>
    <x v="1"/>
    <x v="1"/>
    <x v="0"/>
    <n v="233106.31000000003"/>
  </r>
  <r>
    <s v="ORD00241"/>
    <d v="2026-08-16T00:00:00"/>
    <x v="13"/>
    <x v="2"/>
    <x v="3"/>
    <s v="Bangalore"/>
    <x v="1"/>
    <n v="220"/>
    <n v="32"/>
    <n v="15"/>
    <n v="237"/>
    <n v="58"/>
    <n v="1094.9000000000001"/>
    <n v="3"/>
    <n v="0"/>
    <x v="1"/>
    <x v="2"/>
    <x v="0"/>
    <n v="259491.30000000002"/>
  </r>
  <r>
    <s v="ORD00242"/>
    <d v="2026-02-22T00:00:00"/>
    <x v="0"/>
    <x v="0"/>
    <x v="0"/>
    <s v="Bangalore"/>
    <x v="1"/>
    <n v="148"/>
    <n v="108"/>
    <n v="31"/>
    <n v="225"/>
    <n v="75"/>
    <n v="1645.5"/>
    <n v="5"/>
    <n v="0"/>
    <x v="0"/>
    <x v="2"/>
    <x v="1"/>
    <n v="370237.5"/>
  </r>
  <r>
    <s v="ORD00243"/>
    <d v="2026-11-09T00:00:00"/>
    <x v="4"/>
    <x v="2"/>
    <x v="0"/>
    <s v="Mumbai"/>
    <x v="0"/>
    <n v="137"/>
    <n v="119"/>
    <n v="32"/>
    <n v="224"/>
    <n v="86"/>
    <n v="878.87"/>
    <n v="3"/>
    <n v="0"/>
    <x v="0"/>
    <x v="2"/>
    <x v="0"/>
    <n v="196866.88"/>
  </r>
  <r>
    <s v="ORD00244"/>
    <d v="2026-02-21T00:00:00"/>
    <x v="2"/>
    <x v="1"/>
    <x v="0"/>
    <s v="Mumbai"/>
    <x v="0"/>
    <n v="200"/>
    <n v="115"/>
    <n v="34"/>
    <n v="281"/>
    <n v="71"/>
    <n v="2455.7199999999998"/>
    <n v="5"/>
    <n v="0"/>
    <x v="1"/>
    <x v="2"/>
    <x v="0"/>
    <n v="690057.32"/>
  </r>
  <r>
    <s v="ORD00245"/>
    <d v="2026-11-04T00:00:00"/>
    <x v="9"/>
    <x v="1"/>
    <x v="1"/>
    <s v="Kolkata"/>
    <x v="3"/>
    <n v="129"/>
    <n v="74"/>
    <n v="55"/>
    <n v="148"/>
    <n v="95"/>
    <n v="649.58000000000004"/>
    <n v="4"/>
    <n v="0"/>
    <x v="1"/>
    <x v="1"/>
    <x v="0"/>
    <n v="96137.840000000011"/>
  </r>
  <r>
    <s v="ORD00246"/>
    <d v="2026-05-03T00:00:00"/>
    <x v="6"/>
    <x v="4"/>
    <x v="4"/>
    <s v="Delhi"/>
    <x v="2"/>
    <n v="92"/>
    <n v="86"/>
    <n v="92"/>
    <n v="86"/>
    <n v="77"/>
    <n v="609.52"/>
    <n v="5"/>
    <n v="0"/>
    <x v="1"/>
    <x v="1"/>
    <x v="0"/>
    <n v="52418.720000000001"/>
  </r>
  <r>
    <s v="ORD00247"/>
    <d v="2026-03-09T00:00:00"/>
    <x v="7"/>
    <x v="3"/>
    <x v="4"/>
    <s v="Mumbai"/>
    <x v="0"/>
    <n v="167"/>
    <n v="101"/>
    <n v="91"/>
    <n v="177"/>
    <n v="49"/>
    <n v="1005.66"/>
    <n v="2"/>
    <n v="0"/>
    <x v="1"/>
    <x v="2"/>
    <x v="3"/>
    <n v="178001.82"/>
  </r>
  <r>
    <s v="ORD00248"/>
    <d v="2026-01-31T00:00:00"/>
    <x v="7"/>
    <x v="3"/>
    <x v="0"/>
    <s v="Mumbai"/>
    <x v="0"/>
    <n v="160"/>
    <n v="118"/>
    <n v="24"/>
    <n v="254"/>
    <n v="46"/>
    <n v="1017.47"/>
    <n v="2"/>
    <n v="0"/>
    <x v="1"/>
    <x v="2"/>
    <x v="0"/>
    <n v="258437.38"/>
  </r>
  <r>
    <s v="ORD00249"/>
    <d v="2026-06-08T00:00:00"/>
    <x v="5"/>
    <x v="3"/>
    <x v="1"/>
    <s v="Kolkata"/>
    <x v="3"/>
    <n v="148"/>
    <n v="109"/>
    <n v="66"/>
    <n v="191"/>
    <n v="50"/>
    <n v="1336.54"/>
    <n v="6"/>
    <n v="0"/>
    <x v="1"/>
    <x v="2"/>
    <x v="0"/>
    <n v="255279.13999999998"/>
  </r>
  <r>
    <s v="ORD00250"/>
    <d v="2026-08-12T00:00:00"/>
    <x v="17"/>
    <x v="0"/>
    <x v="2"/>
    <s v="Delhi"/>
    <x v="2"/>
    <n v="140"/>
    <n v="95"/>
    <n v="96"/>
    <n v="139"/>
    <n v="93"/>
    <n v="1493.67"/>
    <n v="7"/>
    <n v="0"/>
    <x v="1"/>
    <x v="1"/>
    <x v="0"/>
    <n v="207620.13"/>
  </r>
  <r>
    <s v="ORD00251"/>
    <d v="2026-03-31T00:00:00"/>
    <x v="9"/>
    <x v="1"/>
    <x v="2"/>
    <s v="Bangalore"/>
    <x v="1"/>
    <n v="151"/>
    <n v="34"/>
    <n v="73"/>
    <n v="112"/>
    <n v="84"/>
    <n v="715.24"/>
    <n v="4"/>
    <n v="0"/>
    <x v="1"/>
    <x v="1"/>
    <x v="0"/>
    <n v="80106.880000000005"/>
  </r>
  <r>
    <s v="ORD00252"/>
    <d v="2026-03-06T00:00:00"/>
    <x v="0"/>
    <x v="0"/>
    <x v="2"/>
    <s v="Bangalore"/>
    <x v="1"/>
    <n v="81"/>
    <n v="83"/>
    <n v="59"/>
    <n v="105"/>
    <n v="78"/>
    <n v="1806.2"/>
    <n v="8"/>
    <n v="0"/>
    <x v="1"/>
    <x v="1"/>
    <x v="0"/>
    <n v="189651"/>
  </r>
  <r>
    <s v="ORD00253"/>
    <d v="2026-09-19T00:00:00"/>
    <x v="18"/>
    <x v="2"/>
    <x v="4"/>
    <s v="Delhi"/>
    <x v="2"/>
    <n v="149"/>
    <n v="54"/>
    <n v="82"/>
    <n v="121"/>
    <n v="49"/>
    <n v="3048.29"/>
    <n v="6"/>
    <n v="0"/>
    <x v="1"/>
    <x v="2"/>
    <x v="0"/>
    <n v="368843.08999999997"/>
  </r>
  <r>
    <s v="ORD00254"/>
    <d v="2026-01-07T00:00:00"/>
    <x v="18"/>
    <x v="2"/>
    <x v="3"/>
    <s v="Mumbai"/>
    <x v="0"/>
    <n v="134"/>
    <n v="40"/>
    <n v="47"/>
    <n v="127"/>
    <n v="94"/>
    <n v="2945.86"/>
    <n v="10"/>
    <n v="3"/>
    <x v="1"/>
    <x v="1"/>
    <x v="0"/>
    <n v="374124.22000000003"/>
  </r>
  <r>
    <s v="ORD00255"/>
    <d v="2026-08-03T00:00:00"/>
    <x v="9"/>
    <x v="1"/>
    <x v="3"/>
    <s v="Delhi"/>
    <x v="2"/>
    <n v="138"/>
    <n v="39"/>
    <n v="37"/>
    <n v="140"/>
    <n v="99"/>
    <n v="634.95000000000005"/>
    <n v="8"/>
    <n v="0"/>
    <x v="1"/>
    <x v="1"/>
    <x v="2"/>
    <n v="88893"/>
  </r>
  <r>
    <s v="ORD00256"/>
    <d v="2026-04-25T00:00:00"/>
    <x v="14"/>
    <x v="1"/>
    <x v="2"/>
    <s v="Kolkata"/>
    <x v="3"/>
    <n v="121"/>
    <n v="54"/>
    <n v="24"/>
    <n v="151"/>
    <n v="81"/>
    <n v="1559.3"/>
    <n v="6"/>
    <n v="0"/>
    <x v="1"/>
    <x v="1"/>
    <x v="0"/>
    <n v="235454.3"/>
  </r>
  <r>
    <s v="ORD00257"/>
    <d v="2026-07-08T00:00:00"/>
    <x v="12"/>
    <x v="4"/>
    <x v="3"/>
    <s v="Bangalore"/>
    <x v="1"/>
    <n v="159"/>
    <n v="130"/>
    <n v="51"/>
    <n v="238"/>
    <n v="94"/>
    <n v="534.48"/>
    <n v="4"/>
    <n v="0"/>
    <x v="0"/>
    <x v="2"/>
    <x v="0"/>
    <n v="127206.24"/>
  </r>
  <r>
    <s v="ORD00258"/>
    <d v="2026-10-07T00:00:00"/>
    <x v="14"/>
    <x v="1"/>
    <x v="1"/>
    <s v="Delhi"/>
    <x v="2"/>
    <n v="199"/>
    <n v="51"/>
    <n v="74"/>
    <n v="176"/>
    <n v="68"/>
    <n v="1629.34"/>
    <n v="5"/>
    <n v="0"/>
    <x v="1"/>
    <x v="2"/>
    <x v="2"/>
    <n v="286763.83999999997"/>
  </r>
  <r>
    <s v="ORD00259"/>
    <d v="2026-12-03T00:00:00"/>
    <x v="1"/>
    <x v="1"/>
    <x v="4"/>
    <s v="Kolkata"/>
    <x v="3"/>
    <n v="46"/>
    <n v="49"/>
    <n v="84"/>
    <n v="11"/>
    <n v="67"/>
    <n v="1335.34"/>
    <n v="7"/>
    <n v="6"/>
    <x v="1"/>
    <x v="0"/>
    <x v="0"/>
    <n v="14688.74"/>
  </r>
  <r>
    <s v="ORD00260"/>
    <d v="2026-04-29T00:00:00"/>
    <x v="5"/>
    <x v="3"/>
    <x v="4"/>
    <s v="Mumbai"/>
    <x v="0"/>
    <n v="175"/>
    <n v="50"/>
    <n v="68"/>
    <n v="157"/>
    <n v="76"/>
    <n v="1419.91"/>
    <n v="3"/>
    <n v="0"/>
    <x v="1"/>
    <x v="1"/>
    <x v="0"/>
    <n v="222925.87000000002"/>
  </r>
  <r>
    <s v="ORD00261"/>
    <d v="2026-02-01T00:00:00"/>
    <x v="10"/>
    <x v="4"/>
    <x v="0"/>
    <s v="Kolkata"/>
    <x v="3"/>
    <n v="61"/>
    <n v="94"/>
    <n v="27"/>
    <n v="128"/>
    <n v="77"/>
    <n v="556.02"/>
    <n v="8"/>
    <n v="0"/>
    <x v="1"/>
    <x v="1"/>
    <x v="0"/>
    <n v="71170.559999999998"/>
  </r>
  <r>
    <s v="ORD00262"/>
    <d v="2026-04-14T00:00:00"/>
    <x v="11"/>
    <x v="3"/>
    <x v="2"/>
    <s v="Delhi"/>
    <x v="2"/>
    <n v="106"/>
    <n v="128"/>
    <n v="55"/>
    <n v="179"/>
    <n v="96"/>
    <n v="2152.9"/>
    <n v="12"/>
    <n v="0"/>
    <x v="0"/>
    <x v="1"/>
    <x v="0"/>
    <n v="385369.10000000003"/>
  </r>
  <r>
    <s v="ORD00263"/>
    <d v="2026-08-20T00:00:00"/>
    <x v="9"/>
    <x v="1"/>
    <x v="2"/>
    <s v="Bangalore"/>
    <x v="1"/>
    <n v="82"/>
    <n v="77"/>
    <n v="74"/>
    <n v="85"/>
    <n v="65"/>
    <n v="686.91"/>
    <n v="6"/>
    <n v="0"/>
    <x v="1"/>
    <x v="1"/>
    <x v="2"/>
    <n v="58387.35"/>
  </r>
  <r>
    <s v="ORD00264"/>
    <d v="2026-06-17T00:00:00"/>
    <x v="19"/>
    <x v="2"/>
    <x v="0"/>
    <s v="Bangalore"/>
    <x v="1"/>
    <n v="63"/>
    <n v="40"/>
    <n v="102"/>
    <n v="1"/>
    <n v="64"/>
    <n v="1597.92"/>
    <n v="7"/>
    <n v="4"/>
    <x v="1"/>
    <x v="0"/>
    <x v="1"/>
    <n v="1597.92"/>
  </r>
  <r>
    <s v="ORD00265"/>
    <d v="2026-07-27T00:00:00"/>
    <x v="9"/>
    <x v="1"/>
    <x v="2"/>
    <s v="Delhi"/>
    <x v="2"/>
    <n v="141"/>
    <n v="85"/>
    <n v="21"/>
    <n v="205"/>
    <n v="88"/>
    <n v="671.84"/>
    <n v="8"/>
    <n v="0"/>
    <x v="1"/>
    <x v="2"/>
    <x v="0"/>
    <n v="137727.20000000001"/>
  </r>
  <r>
    <s v="ORD00266"/>
    <d v="2026-04-12T00:00:00"/>
    <x v="11"/>
    <x v="3"/>
    <x v="4"/>
    <s v="Kolkata"/>
    <x v="3"/>
    <n v="66"/>
    <n v="122"/>
    <n v="32"/>
    <n v="156"/>
    <n v="52"/>
    <n v="1985.26"/>
    <n v="8"/>
    <n v="0"/>
    <x v="1"/>
    <x v="2"/>
    <x v="0"/>
    <n v="309700.56"/>
  </r>
  <r>
    <s v="ORD00267"/>
    <d v="2026-06-19T00:00:00"/>
    <x v="5"/>
    <x v="3"/>
    <x v="4"/>
    <s v="Delhi"/>
    <x v="2"/>
    <n v="59"/>
    <n v="22"/>
    <n v="23"/>
    <n v="58"/>
    <n v="57"/>
    <n v="1404.65"/>
    <n v="5"/>
    <n v="0"/>
    <x v="1"/>
    <x v="1"/>
    <x v="0"/>
    <n v="81469.700000000012"/>
  </r>
  <r>
    <s v="ORD00268"/>
    <d v="2026-03-30T00:00:00"/>
    <x v="0"/>
    <x v="0"/>
    <x v="3"/>
    <s v="Bangalore"/>
    <x v="1"/>
    <n v="83"/>
    <n v="93"/>
    <n v="70"/>
    <n v="106"/>
    <n v="97"/>
    <n v="1880.8"/>
    <n v="5"/>
    <n v="0"/>
    <x v="0"/>
    <x v="1"/>
    <x v="2"/>
    <n v="199364.8"/>
  </r>
  <r>
    <s v="ORD00269"/>
    <d v="2026-07-30T00:00:00"/>
    <x v="13"/>
    <x v="2"/>
    <x v="2"/>
    <s v="Delhi"/>
    <x v="2"/>
    <n v="111"/>
    <n v="77"/>
    <n v="34"/>
    <n v="154"/>
    <n v="47"/>
    <n v="1125.0999999999999"/>
    <n v="6"/>
    <n v="0"/>
    <x v="1"/>
    <x v="2"/>
    <x v="0"/>
    <n v="173265.4"/>
  </r>
  <r>
    <s v="ORD00270"/>
    <d v="2026-10-06T00:00:00"/>
    <x v="10"/>
    <x v="4"/>
    <x v="4"/>
    <s v="Bangalore"/>
    <x v="1"/>
    <n v="111"/>
    <n v="69"/>
    <n v="32"/>
    <n v="148"/>
    <n v="71"/>
    <n v="563.92999999999995"/>
    <n v="8"/>
    <n v="0"/>
    <x v="1"/>
    <x v="1"/>
    <x v="0"/>
    <n v="83461.64"/>
  </r>
  <r>
    <s v="ORD00271"/>
    <d v="2026-01-14T00:00:00"/>
    <x v="3"/>
    <x v="0"/>
    <x v="0"/>
    <s v="Kolkata"/>
    <x v="3"/>
    <n v="179"/>
    <n v="120"/>
    <n v="77"/>
    <n v="222"/>
    <n v="67"/>
    <n v="974.28"/>
    <n v="6"/>
    <n v="0"/>
    <x v="1"/>
    <x v="2"/>
    <x v="0"/>
    <n v="216290.16"/>
  </r>
  <r>
    <s v="ORD00272"/>
    <d v="2026-02-21T00:00:00"/>
    <x v="13"/>
    <x v="2"/>
    <x v="4"/>
    <s v="Delhi"/>
    <x v="2"/>
    <n v="54"/>
    <n v="123"/>
    <n v="75"/>
    <n v="102"/>
    <n v="78"/>
    <n v="1068.6400000000001"/>
    <n v="6"/>
    <n v="0"/>
    <x v="1"/>
    <x v="1"/>
    <x v="3"/>
    <n v="109001.28000000001"/>
  </r>
  <r>
    <s v="ORD00273"/>
    <d v="2026-12-24T00:00:00"/>
    <x v="1"/>
    <x v="1"/>
    <x v="0"/>
    <s v="Bangalore"/>
    <x v="1"/>
    <n v="96"/>
    <n v="93"/>
    <n v="64"/>
    <n v="125"/>
    <n v="67"/>
    <n v="1413.15"/>
    <n v="10"/>
    <n v="0"/>
    <x v="0"/>
    <x v="1"/>
    <x v="1"/>
    <n v="176643.75"/>
  </r>
  <r>
    <s v="ORD00274"/>
    <d v="2026-11-05T00:00:00"/>
    <x v="18"/>
    <x v="2"/>
    <x v="0"/>
    <s v="Mumbai"/>
    <x v="0"/>
    <n v="184"/>
    <n v="44"/>
    <n v="78"/>
    <n v="150"/>
    <n v="79"/>
    <n v="3077.79"/>
    <n v="5"/>
    <n v="0"/>
    <x v="0"/>
    <x v="1"/>
    <x v="0"/>
    <n v="461668.5"/>
  </r>
  <r>
    <s v="ORD00275"/>
    <d v="2026-03-17T00:00:00"/>
    <x v="9"/>
    <x v="1"/>
    <x v="1"/>
    <s v="Kolkata"/>
    <x v="3"/>
    <n v="40"/>
    <n v="62"/>
    <n v="93"/>
    <n v="9"/>
    <n v="57"/>
    <n v="742.9"/>
    <n v="4"/>
    <n v="6"/>
    <x v="1"/>
    <x v="0"/>
    <x v="0"/>
    <n v="6686.0999999999995"/>
  </r>
  <r>
    <s v="ORD00276"/>
    <d v="2026-03-22T00:00:00"/>
    <x v="15"/>
    <x v="4"/>
    <x v="4"/>
    <s v="Delhi"/>
    <x v="2"/>
    <n v="58"/>
    <n v="67"/>
    <n v="105"/>
    <n v="20"/>
    <n v="87"/>
    <n v="440.6"/>
    <n v="2"/>
    <n v="6"/>
    <x v="1"/>
    <x v="0"/>
    <x v="0"/>
    <n v="8812"/>
  </r>
  <r>
    <s v="ORD00277"/>
    <d v="2026-06-07T00:00:00"/>
    <x v="7"/>
    <x v="3"/>
    <x v="0"/>
    <s v="Mumbai"/>
    <x v="0"/>
    <n v="183"/>
    <n v="108"/>
    <n v="93"/>
    <n v="198"/>
    <n v="95"/>
    <n v="971.37"/>
    <n v="7"/>
    <n v="0"/>
    <x v="1"/>
    <x v="1"/>
    <x v="0"/>
    <n v="192331.26"/>
  </r>
  <r>
    <s v="ORD00278"/>
    <d v="2026-11-10T00:00:00"/>
    <x v="13"/>
    <x v="2"/>
    <x v="2"/>
    <s v="Bangalore"/>
    <x v="1"/>
    <n v="219"/>
    <n v="93"/>
    <n v="65"/>
    <n v="247"/>
    <n v="99"/>
    <n v="1208.74"/>
    <n v="6"/>
    <n v="0"/>
    <x v="0"/>
    <x v="2"/>
    <x v="0"/>
    <n v="298558.78000000003"/>
  </r>
  <r>
    <s v="ORD00279"/>
    <d v="2026-02-15T00:00:00"/>
    <x v="9"/>
    <x v="1"/>
    <x v="3"/>
    <s v="Mumbai"/>
    <x v="0"/>
    <n v="124"/>
    <n v="115"/>
    <n v="24"/>
    <n v="215"/>
    <n v="60"/>
    <n v="678.55"/>
    <n v="4"/>
    <n v="0"/>
    <x v="0"/>
    <x v="2"/>
    <x v="1"/>
    <n v="145888.25"/>
  </r>
  <r>
    <s v="ORD00280"/>
    <d v="2026-08-13T00:00:00"/>
    <x v="19"/>
    <x v="2"/>
    <x v="4"/>
    <s v="Delhi"/>
    <x v="2"/>
    <n v="93"/>
    <n v="51"/>
    <n v="103"/>
    <n v="41"/>
    <n v="49"/>
    <n v="1455.14"/>
    <n v="8"/>
    <n v="1"/>
    <x v="0"/>
    <x v="1"/>
    <x v="0"/>
    <n v="59660.740000000005"/>
  </r>
  <r>
    <s v="ORD00281"/>
    <d v="2026-12-18T00:00:00"/>
    <x v="11"/>
    <x v="3"/>
    <x v="3"/>
    <s v="Kolkata"/>
    <x v="3"/>
    <n v="136"/>
    <n v="64"/>
    <n v="84"/>
    <n v="116"/>
    <n v="69"/>
    <n v="2024.63"/>
    <n v="5"/>
    <n v="0"/>
    <x v="1"/>
    <x v="1"/>
    <x v="0"/>
    <n v="234857.08000000002"/>
  </r>
  <r>
    <s v="ORD00282"/>
    <d v="2026-07-12T00:00:00"/>
    <x v="1"/>
    <x v="1"/>
    <x v="3"/>
    <s v="Bangalore"/>
    <x v="1"/>
    <n v="48"/>
    <n v="57"/>
    <n v="17"/>
    <n v="88"/>
    <n v="65"/>
    <n v="1237.8900000000001"/>
    <n v="2"/>
    <n v="0"/>
    <x v="0"/>
    <x v="1"/>
    <x v="0"/>
    <n v="108934.32"/>
  </r>
  <r>
    <s v="ORD00283"/>
    <d v="2026-08-11T00:00:00"/>
    <x v="9"/>
    <x v="1"/>
    <x v="1"/>
    <s v="Bangalore"/>
    <x v="1"/>
    <n v="126"/>
    <n v="96"/>
    <n v="93"/>
    <n v="129"/>
    <n v="75"/>
    <n v="728.63"/>
    <n v="5"/>
    <n v="0"/>
    <x v="1"/>
    <x v="1"/>
    <x v="0"/>
    <n v="93993.27"/>
  </r>
  <r>
    <s v="ORD00284"/>
    <d v="2026-02-19T00:00:00"/>
    <x v="9"/>
    <x v="1"/>
    <x v="4"/>
    <s v="Delhi"/>
    <x v="2"/>
    <n v="92"/>
    <n v="44"/>
    <n v="67"/>
    <n v="69"/>
    <n v="89"/>
    <n v="707.58"/>
    <n v="7"/>
    <n v="5"/>
    <x v="1"/>
    <x v="1"/>
    <x v="0"/>
    <n v="48823.020000000004"/>
  </r>
  <r>
    <s v="ORD00285"/>
    <d v="2026-01-14T00:00:00"/>
    <x v="3"/>
    <x v="0"/>
    <x v="1"/>
    <s v="Kolkata"/>
    <x v="3"/>
    <n v="79"/>
    <n v="26"/>
    <n v="61"/>
    <n v="44"/>
    <n v="45"/>
    <n v="886.97"/>
    <n v="4"/>
    <n v="8"/>
    <x v="1"/>
    <x v="1"/>
    <x v="0"/>
    <n v="39026.68"/>
  </r>
  <r>
    <s v="ORD00286"/>
    <d v="2026-07-18T00:00:00"/>
    <x v="1"/>
    <x v="1"/>
    <x v="0"/>
    <s v="Bangalore"/>
    <x v="1"/>
    <n v="161"/>
    <n v="128"/>
    <n v="29"/>
    <n v="260"/>
    <n v="64"/>
    <n v="1374.07"/>
    <n v="8"/>
    <n v="0"/>
    <x v="1"/>
    <x v="2"/>
    <x v="0"/>
    <n v="357258.2"/>
  </r>
  <r>
    <s v="ORD00287"/>
    <d v="2026-02-01T00:00:00"/>
    <x v="14"/>
    <x v="1"/>
    <x v="3"/>
    <s v="Delhi"/>
    <x v="2"/>
    <n v="87"/>
    <n v="77"/>
    <n v="20"/>
    <n v="144"/>
    <n v="61"/>
    <n v="1580.72"/>
    <n v="4"/>
    <n v="0"/>
    <x v="1"/>
    <x v="2"/>
    <x v="0"/>
    <n v="227623.67999999999"/>
  </r>
  <r>
    <s v="ORD00288"/>
    <d v="2026-10-02T00:00:00"/>
    <x v="9"/>
    <x v="1"/>
    <x v="4"/>
    <s v="Delhi"/>
    <x v="2"/>
    <n v="178"/>
    <n v="72"/>
    <n v="90"/>
    <n v="160"/>
    <n v="59"/>
    <n v="707.5"/>
    <n v="8"/>
    <n v="0"/>
    <x v="1"/>
    <x v="2"/>
    <x v="0"/>
    <n v="113200"/>
  </r>
  <r>
    <s v="ORD00289"/>
    <d v="2026-08-18T00:00:00"/>
    <x v="11"/>
    <x v="3"/>
    <x v="3"/>
    <s v="Delhi"/>
    <x v="2"/>
    <n v="60"/>
    <n v="70"/>
    <n v="106"/>
    <n v="24"/>
    <n v="47"/>
    <n v="2200.92"/>
    <n v="6"/>
    <n v="3"/>
    <x v="1"/>
    <x v="0"/>
    <x v="0"/>
    <n v="52822.080000000002"/>
  </r>
  <r>
    <s v="ORD00290"/>
    <d v="2026-05-13T00:00:00"/>
    <x v="1"/>
    <x v="1"/>
    <x v="2"/>
    <s v="Mumbai"/>
    <x v="0"/>
    <n v="72"/>
    <n v="25"/>
    <n v="69"/>
    <n v="28"/>
    <n v="50"/>
    <n v="1426.95"/>
    <n v="5"/>
    <n v="3"/>
    <x v="1"/>
    <x v="0"/>
    <x v="1"/>
    <n v="39954.6"/>
  </r>
  <r>
    <s v="ORD00291"/>
    <d v="2026-12-25T00:00:00"/>
    <x v="18"/>
    <x v="2"/>
    <x v="4"/>
    <s v="Kolkata"/>
    <x v="3"/>
    <n v="182"/>
    <n v="70"/>
    <n v="85"/>
    <n v="167"/>
    <n v="65"/>
    <n v="3428.24"/>
    <n v="6"/>
    <n v="0"/>
    <x v="1"/>
    <x v="2"/>
    <x v="1"/>
    <n v="572516.07999999996"/>
  </r>
  <r>
    <s v="ORD00292"/>
    <d v="2026-10-02T00:00:00"/>
    <x v="10"/>
    <x v="4"/>
    <x v="4"/>
    <s v="Kolkata"/>
    <x v="3"/>
    <n v="78"/>
    <n v="38"/>
    <n v="87"/>
    <n v="29"/>
    <n v="82"/>
    <n v="609.91999999999996"/>
    <n v="2"/>
    <n v="2"/>
    <x v="1"/>
    <x v="0"/>
    <x v="2"/>
    <n v="17687.68"/>
  </r>
  <r>
    <s v="ORD00293"/>
    <d v="2026-11-08T00:00:00"/>
    <x v="19"/>
    <x v="2"/>
    <x v="0"/>
    <s v="Kolkata"/>
    <x v="3"/>
    <n v="207"/>
    <n v="82"/>
    <n v="88"/>
    <n v="201"/>
    <n v="83"/>
    <n v="1491.91"/>
    <n v="3"/>
    <n v="0"/>
    <x v="1"/>
    <x v="2"/>
    <x v="0"/>
    <n v="299873.91000000003"/>
  </r>
  <r>
    <s v="ORD00294"/>
    <d v="2026-06-05T00:00:00"/>
    <x v="8"/>
    <x v="3"/>
    <x v="3"/>
    <s v="Delhi"/>
    <x v="2"/>
    <n v="216"/>
    <n v="50"/>
    <n v="21"/>
    <n v="245"/>
    <n v="92"/>
    <n v="2786.12"/>
    <n v="4"/>
    <n v="0"/>
    <x v="1"/>
    <x v="2"/>
    <x v="0"/>
    <n v="682599.4"/>
  </r>
  <r>
    <s v="ORD00295"/>
    <d v="2026-02-15T00:00:00"/>
    <x v="4"/>
    <x v="2"/>
    <x v="3"/>
    <s v="Bangalore"/>
    <x v="1"/>
    <n v="98"/>
    <n v="37"/>
    <n v="53"/>
    <n v="82"/>
    <n v="92"/>
    <n v="790.9"/>
    <n v="8"/>
    <n v="7"/>
    <x v="1"/>
    <x v="1"/>
    <x v="0"/>
    <n v="64853.799999999996"/>
  </r>
  <r>
    <s v="ORD00296"/>
    <d v="2026-06-09T00:00:00"/>
    <x v="2"/>
    <x v="1"/>
    <x v="2"/>
    <s v="Kolkata"/>
    <x v="3"/>
    <n v="164"/>
    <n v="117"/>
    <n v="81"/>
    <n v="200"/>
    <n v="100"/>
    <n v="2339.48"/>
    <n v="2"/>
    <n v="0"/>
    <x v="1"/>
    <x v="1"/>
    <x v="0"/>
    <n v="467896"/>
  </r>
  <r>
    <s v="ORD00297"/>
    <d v="2026-05-21T00:00:00"/>
    <x v="10"/>
    <x v="4"/>
    <x v="2"/>
    <s v="Bangalore"/>
    <x v="1"/>
    <n v="84"/>
    <n v="44"/>
    <n v="40"/>
    <n v="88"/>
    <n v="98"/>
    <n v="546.91999999999996"/>
    <n v="2"/>
    <n v="6"/>
    <x v="1"/>
    <x v="1"/>
    <x v="2"/>
    <n v="48128.959999999999"/>
  </r>
  <r>
    <s v="ORD00298"/>
    <d v="2026-08-31T00:00:00"/>
    <x v="19"/>
    <x v="2"/>
    <x v="1"/>
    <s v="Kolkata"/>
    <x v="3"/>
    <n v="202"/>
    <n v="35"/>
    <n v="102"/>
    <n v="135"/>
    <n v="46"/>
    <n v="1422.58"/>
    <n v="5"/>
    <n v="0"/>
    <x v="1"/>
    <x v="2"/>
    <x v="0"/>
    <n v="192048.3"/>
  </r>
  <r>
    <s v="ORD00299"/>
    <d v="2026-04-20T00:00:00"/>
    <x v="6"/>
    <x v="4"/>
    <x v="0"/>
    <s v="Mumbai"/>
    <x v="0"/>
    <n v="106"/>
    <n v="115"/>
    <n v="103"/>
    <n v="118"/>
    <n v="50"/>
    <n v="622.05999999999995"/>
    <n v="5"/>
    <n v="0"/>
    <x v="0"/>
    <x v="2"/>
    <x v="1"/>
    <n v="73403.079999999987"/>
  </r>
  <r>
    <s v="ORD00300"/>
    <d v="2026-03-09T00:00:00"/>
    <x v="1"/>
    <x v="1"/>
    <x v="2"/>
    <s v="Delhi"/>
    <x v="2"/>
    <n v="206"/>
    <n v="72"/>
    <n v="80"/>
    <n v="198"/>
    <n v="46"/>
    <n v="1394.8"/>
    <n v="8"/>
    <n v="0"/>
    <x v="1"/>
    <x v="2"/>
    <x v="0"/>
    <n v="276170.39999999997"/>
  </r>
  <r>
    <s v="ORD00301"/>
    <d v="2026-06-28T00:00:00"/>
    <x v="9"/>
    <x v="1"/>
    <x v="2"/>
    <s v="Delhi"/>
    <x v="2"/>
    <n v="195"/>
    <n v="123"/>
    <n v="54"/>
    <n v="264"/>
    <n v="90"/>
    <n v="765.38"/>
    <n v="7"/>
    <n v="0"/>
    <x v="1"/>
    <x v="2"/>
    <x v="1"/>
    <n v="202060.32"/>
  </r>
  <r>
    <s v="ORD00302"/>
    <d v="2026-12-06T00:00:00"/>
    <x v="5"/>
    <x v="3"/>
    <x v="2"/>
    <s v="Kolkata"/>
    <x v="3"/>
    <n v="117"/>
    <n v="106"/>
    <n v="81"/>
    <n v="142"/>
    <n v="97"/>
    <n v="1332.14"/>
    <n v="6"/>
    <n v="0"/>
    <x v="0"/>
    <x v="1"/>
    <x v="0"/>
    <n v="189163.88"/>
  </r>
  <r>
    <s v="ORD00303"/>
    <d v="2026-11-30T00:00:00"/>
    <x v="4"/>
    <x v="2"/>
    <x v="0"/>
    <s v="Bangalore"/>
    <x v="1"/>
    <n v="163"/>
    <n v="28"/>
    <n v="58"/>
    <n v="133"/>
    <n v="62"/>
    <n v="822.5"/>
    <n v="8"/>
    <n v="0"/>
    <x v="1"/>
    <x v="1"/>
    <x v="0"/>
    <n v="109392.5"/>
  </r>
  <r>
    <s v="ORD00304"/>
    <d v="2026-09-12T00:00:00"/>
    <x v="13"/>
    <x v="2"/>
    <x v="2"/>
    <s v="Mumbai"/>
    <x v="0"/>
    <n v="54"/>
    <n v="123"/>
    <n v="91"/>
    <n v="86"/>
    <n v="70"/>
    <n v="1135.32"/>
    <n v="7"/>
    <n v="0"/>
    <x v="0"/>
    <x v="1"/>
    <x v="0"/>
    <n v="97637.51999999999"/>
  </r>
  <r>
    <s v="ORD00305"/>
    <d v="2026-04-24T00:00:00"/>
    <x v="4"/>
    <x v="2"/>
    <x v="3"/>
    <s v="Kolkata"/>
    <x v="3"/>
    <n v="139"/>
    <n v="114"/>
    <n v="19"/>
    <n v="234"/>
    <n v="82"/>
    <n v="833.29"/>
    <n v="6"/>
    <n v="0"/>
    <x v="1"/>
    <x v="2"/>
    <x v="0"/>
    <n v="194989.86"/>
  </r>
  <r>
    <s v="ORD00306"/>
    <d v="2026-10-14T00:00:00"/>
    <x v="10"/>
    <x v="4"/>
    <x v="0"/>
    <s v="Delhi"/>
    <x v="2"/>
    <n v="83"/>
    <n v="127"/>
    <n v="99"/>
    <n v="111"/>
    <n v="80"/>
    <n v="561.74"/>
    <n v="2"/>
    <n v="0"/>
    <x v="1"/>
    <x v="1"/>
    <x v="2"/>
    <n v="62353.14"/>
  </r>
  <r>
    <s v="ORD00307"/>
    <d v="2026-05-31T00:00:00"/>
    <x v="14"/>
    <x v="1"/>
    <x v="4"/>
    <s v="Mumbai"/>
    <x v="0"/>
    <n v="130"/>
    <n v="48"/>
    <n v="110"/>
    <n v="68"/>
    <n v="100"/>
    <n v="1538.27"/>
    <n v="8"/>
    <n v="6"/>
    <x v="1"/>
    <x v="1"/>
    <x v="0"/>
    <n v="104602.36"/>
  </r>
  <r>
    <s v="ORD00308"/>
    <d v="2026-07-15T00:00:00"/>
    <x v="8"/>
    <x v="3"/>
    <x v="3"/>
    <s v="Bangalore"/>
    <x v="1"/>
    <n v="202"/>
    <n v="94"/>
    <n v="89"/>
    <n v="207"/>
    <n v="84"/>
    <n v="2559.88"/>
    <n v="3"/>
    <n v="0"/>
    <x v="1"/>
    <x v="2"/>
    <x v="1"/>
    <n v="529895.16"/>
  </r>
  <r>
    <s v="ORD00309"/>
    <d v="2026-03-15T00:00:00"/>
    <x v="6"/>
    <x v="4"/>
    <x v="3"/>
    <s v="Bangalore"/>
    <x v="1"/>
    <n v="78"/>
    <n v="37"/>
    <n v="40"/>
    <n v="75"/>
    <n v="66"/>
    <n v="638.19000000000005"/>
    <n v="6"/>
    <n v="0"/>
    <x v="1"/>
    <x v="1"/>
    <x v="3"/>
    <n v="47864.250000000007"/>
  </r>
  <r>
    <s v="ORD00310"/>
    <d v="2026-03-28T00:00:00"/>
    <x v="13"/>
    <x v="2"/>
    <x v="4"/>
    <s v="Kolkata"/>
    <x v="3"/>
    <n v="125"/>
    <n v="100"/>
    <n v="37"/>
    <n v="188"/>
    <n v="65"/>
    <n v="1129.5899999999999"/>
    <n v="2"/>
    <n v="0"/>
    <x v="1"/>
    <x v="2"/>
    <x v="0"/>
    <n v="212362.91999999998"/>
  </r>
  <r>
    <s v="ORD00311"/>
    <d v="2026-01-20T00:00:00"/>
    <x v="15"/>
    <x v="4"/>
    <x v="3"/>
    <s v="Bangalore"/>
    <x v="1"/>
    <n v="73"/>
    <n v="98"/>
    <n v="70"/>
    <n v="101"/>
    <n v="85"/>
    <n v="443.65"/>
    <n v="5"/>
    <n v="0"/>
    <x v="1"/>
    <x v="1"/>
    <x v="0"/>
    <n v="44808.649999999994"/>
  </r>
  <r>
    <s v="ORD00312"/>
    <d v="2026-12-22T00:00:00"/>
    <x v="15"/>
    <x v="4"/>
    <x v="0"/>
    <s v="Bangalore"/>
    <x v="1"/>
    <n v="122"/>
    <n v="116"/>
    <n v="82"/>
    <n v="156"/>
    <n v="57"/>
    <n v="406.61"/>
    <n v="2"/>
    <n v="0"/>
    <x v="1"/>
    <x v="2"/>
    <x v="0"/>
    <n v="63431.16"/>
  </r>
  <r>
    <s v="ORD00313"/>
    <d v="2026-08-22T00:00:00"/>
    <x v="4"/>
    <x v="2"/>
    <x v="2"/>
    <s v="Bangalore"/>
    <x v="1"/>
    <n v="138"/>
    <n v="84"/>
    <n v="90"/>
    <n v="132"/>
    <n v="64"/>
    <n v="746.72"/>
    <n v="8"/>
    <n v="0"/>
    <x v="0"/>
    <x v="1"/>
    <x v="3"/>
    <n v="98567.040000000008"/>
  </r>
  <r>
    <s v="ORD00314"/>
    <d v="2026-03-09T00:00:00"/>
    <x v="6"/>
    <x v="4"/>
    <x v="3"/>
    <s v="Mumbai"/>
    <x v="0"/>
    <n v="127"/>
    <n v="82"/>
    <n v="60"/>
    <n v="149"/>
    <n v="93"/>
    <n v="609.5"/>
    <n v="8"/>
    <n v="0"/>
    <x v="1"/>
    <x v="1"/>
    <x v="0"/>
    <n v="90815.5"/>
  </r>
  <r>
    <s v="ORD00315"/>
    <d v="2026-11-16T00:00:00"/>
    <x v="9"/>
    <x v="1"/>
    <x v="1"/>
    <s v="Mumbai"/>
    <x v="0"/>
    <n v="71"/>
    <n v="66"/>
    <n v="106"/>
    <n v="31"/>
    <n v="86"/>
    <n v="740.9"/>
    <n v="5"/>
    <n v="5"/>
    <x v="1"/>
    <x v="0"/>
    <x v="2"/>
    <n v="22967.899999999998"/>
  </r>
  <r>
    <s v="ORD00316"/>
    <d v="2026-12-18T00:00:00"/>
    <x v="0"/>
    <x v="0"/>
    <x v="4"/>
    <s v="Bangalore"/>
    <x v="1"/>
    <n v="52"/>
    <n v="108"/>
    <n v="29"/>
    <n v="131"/>
    <n v="71"/>
    <n v="1779.95"/>
    <n v="6"/>
    <n v="0"/>
    <x v="0"/>
    <x v="1"/>
    <x v="0"/>
    <n v="233173.45"/>
  </r>
  <r>
    <s v="ORD00317"/>
    <d v="2026-09-19T00:00:00"/>
    <x v="16"/>
    <x v="0"/>
    <x v="3"/>
    <s v="Bangalore"/>
    <x v="1"/>
    <n v="209"/>
    <n v="86"/>
    <n v="49"/>
    <n v="246"/>
    <n v="84"/>
    <n v="1225.3499999999999"/>
    <n v="3"/>
    <n v="0"/>
    <x v="1"/>
    <x v="2"/>
    <x v="1"/>
    <n v="301436.09999999998"/>
  </r>
  <r>
    <s v="ORD00318"/>
    <d v="2026-07-03T00:00:00"/>
    <x v="12"/>
    <x v="4"/>
    <x v="0"/>
    <s v="Bangalore"/>
    <x v="1"/>
    <n v="67"/>
    <n v="83"/>
    <n v="40"/>
    <n v="110"/>
    <n v="83"/>
    <n v="469.97"/>
    <n v="4"/>
    <n v="0"/>
    <x v="1"/>
    <x v="1"/>
    <x v="3"/>
    <n v="51696.700000000004"/>
  </r>
  <r>
    <s v="ORD00319"/>
    <d v="2026-02-15T00:00:00"/>
    <x v="5"/>
    <x v="3"/>
    <x v="2"/>
    <s v="Bangalore"/>
    <x v="1"/>
    <n v="180"/>
    <n v="83"/>
    <n v="41"/>
    <n v="222"/>
    <n v="89"/>
    <n v="1412.61"/>
    <n v="4"/>
    <n v="0"/>
    <x v="1"/>
    <x v="2"/>
    <x v="0"/>
    <n v="313599.42"/>
  </r>
  <r>
    <s v="ORD00320"/>
    <d v="2026-06-01T00:00:00"/>
    <x v="3"/>
    <x v="0"/>
    <x v="2"/>
    <s v="Bangalore"/>
    <x v="1"/>
    <n v="170"/>
    <n v="29"/>
    <n v="107"/>
    <n v="92"/>
    <n v="91"/>
    <n v="828.23"/>
    <n v="4"/>
    <n v="0"/>
    <x v="1"/>
    <x v="1"/>
    <x v="0"/>
    <n v="76197.16"/>
  </r>
  <r>
    <s v="ORD00321"/>
    <d v="2026-01-24T00:00:00"/>
    <x v="19"/>
    <x v="2"/>
    <x v="4"/>
    <s v="Bangalore"/>
    <x v="1"/>
    <n v="84"/>
    <n v="25"/>
    <n v="52"/>
    <n v="57"/>
    <n v="68"/>
    <n v="1590.48"/>
    <n v="4"/>
    <n v="2"/>
    <x v="1"/>
    <x v="1"/>
    <x v="0"/>
    <n v="90657.36"/>
  </r>
  <r>
    <s v="ORD00322"/>
    <d v="2026-02-28T00:00:00"/>
    <x v="17"/>
    <x v="0"/>
    <x v="2"/>
    <s v="Delhi"/>
    <x v="2"/>
    <n v="131"/>
    <n v="76"/>
    <n v="94"/>
    <n v="113"/>
    <n v="62"/>
    <n v="1505.97"/>
    <n v="2"/>
    <n v="0"/>
    <x v="1"/>
    <x v="1"/>
    <x v="0"/>
    <n v="170174.61000000002"/>
  </r>
  <r>
    <s v="ORD00323"/>
    <d v="2026-01-31T00:00:00"/>
    <x v="7"/>
    <x v="3"/>
    <x v="3"/>
    <s v="Delhi"/>
    <x v="2"/>
    <n v="138"/>
    <n v="108"/>
    <n v="76"/>
    <n v="170"/>
    <n v="96"/>
    <n v="984.35"/>
    <n v="8"/>
    <n v="0"/>
    <x v="0"/>
    <x v="1"/>
    <x v="0"/>
    <n v="167339.5"/>
  </r>
  <r>
    <s v="ORD00324"/>
    <d v="2026-12-17T00:00:00"/>
    <x v="9"/>
    <x v="1"/>
    <x v="3"/>
    <s v="Kolkata"/>
    <x v="3"/>
    <n v="185"/>
    <n v="106"/>
    <n v="71"/>
    <n v="220"/>
    <n v="56"/>
    <n v="715.59"/>
    <n v="8"/>
    <n v="0"/>
    <x v="1"/>
    <x v="2"/>
    <x v="0"/>
    <n v="157429.80000000002"/>
  </r>
  <r>
    <s v="ORD00325"/>
    <d v="2026-10-23T00:00:00"/>
    <x v="2"/>
    <x v="1"/>
    <x v="3"/>
    <s v="Bangalore"/>
    <x v="1"/>
    <n v="145"/>
    <n v="76"/>
    <n v="20"/>
    <n v="201"/>
    <n v="49"/>
    <n v="2285.5700000000002"/>
    <n v="6"/>
    <n v="0"/>
    <x v="1"/>
    <x v="2"/>
    <x v="2"/>
    <n v="459399.57"/>
  </r>
  <r>
    <s v="ORD00326"/>
    <d v="2026-10-13T00:00:00"/>
    <x v="15"/>
    <x v="4"/>
    <x v="0"/>
    <s v="Bangalore"/>
    <x v="1"/>
    <n v="150"/>
    <n v="104"/>
    <n v="108"/>
    <n v="146"/>
    <n v="60"/>
    <n v="448.37"/>
    <n v="7"/>
    <n v="0"/>
    <x v="1"/>
    <x v="2"/>
    <x v="0"/>
    <n v="65462.020000000004"/>
  </r>
  <r>
    <s v="ORD00327"/>
    <d v="2026-05-04T00:00:00"/>
    <x v="12"/>
    <x v="4"/>
    <x v="4"/>
    <s v="Mumbai"/>
    <x v="0"/>
    <n v="169"/>
    <n v="128"/>
    <n v="75"/>
    <n v="222"/>
    <n v="99"/>
    <n v="499.58"/>
    <n v="3"/>
    <n v="0"/>
    <x v="0"/>
    <x v="2"/>
    <x v="0"/>
    <n v="110906.76"/>
  </r>
  <r>
    <s v="ORD00328"/>
    <d v="2026-08-18T00:00:00"/>
    <x v="4"/>
    <x v="2"/>
    <x v="4"/>
    <s v="Mumbai"/>
    <x v="0"/>
    <n v="180"/>
    <n v="102"/>
    <n v="63"/>
    <n v="219"/>
    <n v="70"/>
    <n v="850.74"/>
    <n v="2"/>
    <n v="0"/>
    <x v="1"/>
    <x v="2"/>
    <x v="1"/>
    <n v="186312.06"/>
  </r>
  <r>
    <s v="ORD00329"/>
    <d v="2026-11-06T00:00:00"/>
    <x v="3"/>
    <x v="0"/>
    <x v="3"/>
    <s v="Delhi"/>
    <x v="2"/>
    <n v="70"/>
    <n v="83"/>
    <n v="110"/>
    <n v="43"/>
    <n v="86"/>
    <n v="813.2"/>
    <n v="5"/>
    <n v="1"/>
    <x v="1"/>
    <x v="0"/>
    <x v="1"/>
    <n v="34967.599999999999"/>
  </r>
  <r>
    <s v="ORD00330"/>
    <d v="2026-06-19T00:00:00"/>
    <x v="6"/>
    <x v="4"/>
    <x v="1"/>
    <s v="Mumbai"/>
    <x v="0"/>
    <n v="207"/>
    <n v="105"/>
    <n v="73"/>
    <n v="239"/>
    <n v="66"/>
    <n v="632.23"/>
    <n v="2"/>
    <n v="0"/>
    <x v="1"/>
    <x v="2"/>
    <x v="1"/>
    <n v="151102.97"/>
  </r>
  <r>
    <s v="ORD00331"/>
    <d v="2026-07-11T00:00:00"/>
    <x v="10"/>
    <x v="4"/>
    <x v="0"/>
    <s v="Kolkata"/>
    <x v="3"/>
    <n v="69"/>
    <n v="32"/>
    <n v="99"/>
    <n v="2"/>
    <n v="59"/>
    <n v="540.26"/>
    <n v="4"/>
    <n v="5"/>
    <x v="1"/>
    <x v="0"/>
    <x v="0"/>
    <n v="1080.52"/>
  </r>
  <r>
    <s v="ORD00332"/>
    <d v="2026-03-03T00:00:00"/>
    <x v="0"/>
    <x v="0"/>
    <x v="2"/>
    <s v="Kolkata"/>
    <x v="3"/>
    <n v="75"/>
    <n v="125"/>
    <n v="106"/>
    <n v="94"/>
    <n v="92"/>
    <n v="1879.76"/>
    <n v="2"/>
    <n v="0"/>
    <x v="1"/>
    <x v="1"/>
    <x v="0"/>
    <n v="176697.44"/>
  </r>
  <r>
    <s v="ORD00333"/>
    <d v="2026-08-19T00:00:00"/>
    <x v="11"/>
    <x v="3"/>
    <x v="3"/>
    <s v="Mumbai"/>
    <x v="0"/>
    <n v="126"/>
    <n v="33"/>
    <n v="68"/>
    <n v="91"/>
    <n v="47"/>
    <n v="2387.7199999999998"/>
    <n v="8"/>
    <n v="0"/>
    <x v="1"/>
    <x v="1"/>
    <x v="0"/>
    <n v="217282.52"/>
  </r>
  <r>
    <s v="ORD00334"/>
    <d v="2026-04-01T00:00:00"/>
    <x v="11"/>
    <x v="3"/>
    <x v="3"/>
    <s v="Bangalore"/>
    <x v="1"/>
    <n v="175"/>
    <n v="114"/>
    <n v="21"/>
    <n v="268"/>
    <n v="80"/>
    <n v="2391.54"/>
    <n v="8"/>
    <n v="0"/>
    <x v="1"/>
    <x v="2"/>
    <x v="3"/>
    <n v="640932.72"/>
  </r>
  <r>
    <s v="ORD00335"/>
    <d v="2026-11-08T00:00:00"/>
    <x v="15"/>
    <x v="4"/>
    <x v="2"/>
    <s v="Bangalore"/>
    <x v="1"/>
    <n v="139"/>
    <n v="104"/>
    <n v="91"/>
    <n v="152"/>
    <n v="83"/>
    <n v="484.44"/>
    <n v="6"/>
    <n v="0"/>
    <x v="1"/>
    <x v="1"/>
    <x v="0"/>
    <n v="73634.880000000005"/>
  </r>
  <r>
    <s v="ORD00336"/>
    <d v="2026-12-26T00:00:00"/>
    <x v="14"/>
    <x v="1"/>
    <x v="3"/>
    <s v="Delhi"/>
    <x v="2"/>
    <n v="115"/>
    <n v="77"/>
    <n v="32"/>
    <n v="160"/>
    <n v="53"/>
    <n v="1572.08"/>
    <n v="7"/>
    <n v="0"/>
    <x v="1"/>
    <x v="2"/>
    <x v="0"/>
    <n v="251532.79999999999"/>
  </r>
  <r>
    <s v="ORD00337"/>
    <d v="2026-11-29T00:00:00"/>
    <x v="6"/>
    <x v="4"/>
    <x v="1"/>
    <s v="Mumbai"/>
    <x v="0"/>
    <n v="91"/>
    <n v="46"/>
    <n v="94"/>
    <n v="43"/>
    <n v="90"/>
    <n v="622.78"/>
    <n v="4"/>
    <n v="3"/>
    <x v="1"/>
    <x v="0"/>
    <x v="3"/>
    <n v="26779.539999999997"/>
  </r>
  <r>
    <s v="ORD00338"/>
    <d v="2026-10-01T00:00:00"/>
    <x v="14"/>
    <x v="1"/>
    <x v="4"/>
    <s v="Delhi"/>
    <x v="2"/>
    <n v="183"/>
    <n v="81"/>
    <n v="89"/>
    <n v="175"/>
    <n v="81"/>
    <n v="1741.66"/>
    <n v="7"/>
    <n v="0"/>
    <x v="1"/>
    <x v="1"/>
    <x v="2"/>
    <n v="304790.5"/>
  </r>
  <r>
    <s v="ORD00339"/>
    <d v="2026-05-27T00:00:00"/>
    <x v="19"/>
    <x v="2"/>
    <x v="4"/>
    <s v="Bangalore"/>
    <x v="1"/>
    <n v="46"/>
    <n v="68"/>
    <n v="33"/>
    <n v="81"/>
    <n v="48"/>
    <n v="1551.08"/>
    <n v="3"/>
    <n v="0"/>
    <x v="1"/>
    <x v="1"/>
    <x v="2"/>
    <n v="125637.48"/>
  </r>
  <r>
    <s v="ORD00340"/>
    <d v="2026-10-15T00:00:00"/>
    <x v="13"/>
    <x v="2"/>
    <x v="4"/>
    <s v="Delhi"/>
    <x v="2"/>
    <n v="92"/>
    <n v="116"/>
    <n v="84"/>
    <n v="124"/>
    <n v="47"/>
    <n v="1068.9100000000001"/>
    <n v="5"/>
    <n v="0"/>
    <x v="0"/>
    <x v="2"/>
    <x v="1"/>
    <n v="132544.84"/>
  </r>
  <r>
    <s v="ORD00341"/>
    <d v="2026-10-10T00:00:00"/>
    <x v="2"/>
    <x v="1"/>
    <x v="2"/>
    <s v="Delhi"/>
    <x v="2"/>
    <n v="217"/>
    <n v="105"/>
    <n v="21"/>
    <n v="301"/>
    <n v="69"/>
    <n v="2346.0300000000002"/>
    <n v="8"/>
    <n v="0"/>
    <x v="1"/>
    <x v="2"/>
    <x v="0"/>
    <n v="706155.03"/>
  </r>
  <r>
    <s v="ORD00342"/>
    <d v="2026-10-29T00:00:00"/>
    <x v="0"/>
    <x v="0"/>
    <x v="0"/>
    <s v="Mumbai"/>
    <x v="0"/>
    <n v="198"/>
    <n v="119"/>
    <n v="71"/>
    <n v="246"/>
    <n v="98"/>
    <n v="1701.2"/>
    <n v="7"/>
    <n v="0"/>
    <x v="1"/>
    <x v="2"/>
    <x v="0"/>
    <n v="418495.2"/>
  </r>
  <r>
    <s v="ORD00343"/>
    <d v="2026-01-21T00:00:00"/>
    <x v="15"/>
    <x v="4"/>
    <x v="2"/>
    <s v="Delhi"/>
    <x v="2"/>
    <n v="154"/>
    <n v="42"/>
    <n v="102"/>
    <n v="94"/>
    <n v="49"/>
    <n v="421.83"/>
    <n v="3"/>
    <n v="0"/>
    <x v="1"/>
    <x v="1"/>
    <x v="0"/>
    <n v="39652.019999999997"/>
  </r>
  <r>
    <s v="ORD00344"/>
    <d v="2026-06-15T00:00:00"/>
    <x v="5"/>
    <x v="3"/>
    <x v="1"/>
    <s v="Delhi"/>
    <x v="2"/>
    <n v="73"/>
    <n v="40"/>
    <n v="89"/>
    <n v="24"/>
    <n v="99"/>
    <n v="1236.3"/>
    <n v="4"/>
    <n v="3"/>
    <x v="1"/>
    <x v="0"/>
    <x v="0"/>
    <n v="29671.199999999997"/>
  </r>
  <r>
    <s v="ORD00345"/>
    <d v="2026-04-05T00:00:00"/>
    <x v="12"/>
    <x v="4"/>
    <x v="1"/>
    <s v="Delhi"/>
    <x v="2"/>
    <n v="165"/>
    <n v="121"/>
    <n v="88"/>
    <n v="198"/>
    <n v="80"/>
    <n v="485.81"/>
    <n v="8"/>
    <n v="0"/>
    <x v="1"/>
    <x v="2"/>
    <x v="0"/>
    <n v="96190.38"/>
  </r>
  <r>
    <s v="ORD00346"/>
    <d v="2026-06-19T00:00:00"/>
    <x v="12"/>
    <x v="4"/>
    <x v="1"/>
    <s v="Mumbai"/>
    <x v="0"/>
    <n v="146"/>
    <n v="89"/>
    <n v="83"/>
    <n v="152"/>
    <n v="70"/>
    <n v="459.19"/>
    <n v="3"/>
    <n v="0"/>
    <x v="1"/>
    <x v="1"/>
    <x v="0"/>
    <n v="69796.88"/>
  </r>
  <r>
    <s v="ORD00347"/>
    <d v="2026-11-11T00:00:00"/>
    <x v="4"/>
    <x v="2"/>
    <x v="2"/>
    <s v="Kolkata"/>
    <x v="3"/>
    <n v="183"/>
    <n v="125"/>
    <n v="98"/>
    <n v="210"/>
    <n v="45"/>
    <n v="738.36"/>
    <n v="4"/>
    <n v="0"/>
    <x v="1"/>
    <x v="2"/>
    <x v="1"/>
    <n v="155055.6"/>
  </r>
  <r>
    <s v="ORD00348"/>
    <d v="2026-07-11T00:00:00"/>
    <x v="15"/>
    <x v="4"/>
    <x v="4"/>
    <s v="Delhi"/>
    <x v="2"/>
    <n v="137"/>
    <n v="121"/>
    <n v="29"/>
    <n v="229"/>
    <n v="69"/>
    <n v="428.09"/>
    <n v="7"/>
    <n v="0"/>
    <x v="1"/>
    <x v="2"/>
    <x v="1"/>
    <n v="98032.61"/>
  </r>
  <r>
    <s v="ORD00349"/>
    <d v="2026-10-03T00:00:00"/>
    <x v="10"/>
    <x v="4"/>
    <x v="3"/>
    <s v="Bangalore"/>
    <x v="1"/>
    <n v="115"/>
    <n v="103"/>
    <n v="39"/>
    <n v="179"/>
    <n v="65"/>
    <n v="601.66999999999996"/>
    <n v="2"/>
    <n v="0"/>
    <x v="0"/>
    <x v="2"/>
    <x v="3"/>
    <n v="107698.93"/>
  </r>
  <r>
    <s v="ORD00350"/>
    <d v="2026-12-26T00:00:00"/>
    <x v="12"/>
    <x v="4"/>
    <x v="4"/>
    <s v="Mumbai"/>
    <x v="0"/>
    <n v="211"/>
    <n v="100"/>
    <n v="42"/>
    <n v="269"/>
    <n v="100"/>
    <n v="518.54"/>
    <n v="8"/>
    <n v="0"/>
    <x v="0"/>
    <x v="2"/>
    <x v="0"/>
    <n v="139487.25999999998"/>
  </r>
  <r>
    <s v="ORD00351"/>
    <d v="2026-02-06T00:00:00"/>
    <x v="8"/>
    <x v="3"/>
    <x v="2"/>
    <s v="Bangalore"/>
    <x v="1"/>
    <n v="157"/>
    <n v="111"/>
    <n v="57"/>
    <n v="211"/>
    <n v="47"/>
    <n v="2569.0100000000002"/>
    <n v="2"/>
    <n v="0"/>
    <x v="1"/>
    <x v="2"/>
    <x v="0"/>
    <n v="542061.1100000001"/>
  </r>
  <r>
    <s v="ORD00352"/>
    <d v="2026-01-04T00:00:00"/>
    <x v="15"/>
    <x v="4"/>
    <x v="0"/>
    <s v="Kolkata"/>
    <x v="3"/>
    <n v="139"/>
    <n v="77"/>
    <n v="95"/>
    <n v="121"/>
    <n v="70"/>
    <n v="443.97"/>
    <n v="2"/>
    <n v="0"/>
    <x v="1"/>
    <x v="1"/>
    <x v="0"/>
    <n v="53720.37"/>
  </r>
  <r>
    <s v="ORD00353"/>
    <d v="2026-11-07T00:00:00"/>
    <x v="12"/>
    <x v="4"/>
    <x v="1"/>
    <s v="Bangalore"/>
    <x v="1"/>
    <n v="219"/>
    <n v="128"/>
    <n v="24"/>
    <n v="323"/>
    <n v="67"/>
    <n v="542.79999999999995"/>
    <n v="2"/>
    <n v="0"/>
    <x v="1"/>
    <x v="2"/>
    <x v="2"/>
    <n v="175324.4"/>
  </r>
  <r>
    <s v="ORD00354"/>
    <d v="2026-10-07T00:00:00"/>
    <x v="16"/>
    <x v="0"/>
    <x v="3"/>
    <s v="Kolkata"/>
    <x v="3"/>
    <n v="141"/>
    <n v="125"/>
    <n v="99"/>
    <n v="167"/>
    <n v="46"/>
    <n v="1193.76"/>
    <n v="6"/>
    <n v="0"/>
    <x v="1"/>
    <x v="2"/>
    <x v="2"/>
    <n v="199357.92"/>
  </r>
  <r>
    <s v="ORD00355"/>
    <d v="2026-02-13T00:00:00"/>
    <x v="13"/>
    <x v="2"/>
    <x v="0"/>
    <s v="Delhi"/>
    <x v="2"/>
    <n v="42"/>
    <n v="90"/>
    <n v="86"/>
    <n v="46"/>
    <n v="54"/>
    <n v="1017.11"/>
    <n v="2"/>
    <n v="7"/>
    <x v="1"/>
    <x v="1"/>
    <x v="0"/>
    <n v="46787.06"/>
  </r>
  <r>
    <s v="ORD00356"/>
    <d v="2026-02-28T00:00:00"/>
    <x v="13"/>
    <x v="2"/>
    <x v="0"/>
    <s v="Mumbai"/>
    <x v="0"/>
    <n v="145"/>
    <n v="102"/>
    <n v="80"/>
    <n v="167"/>
    <n v="54"/>
    <n v="1025.4100000000001"/>
    <n v="3"/>
    <n v="0"/>
    <x v="1"/>
    <x v="2"/>
    <x v="0"/>
    <n v="171243.47"/>
  </r>
  <r>
    <s v="ORD00357"/>
    <d v="2026-09-07T00:00:00"/>
    <x v="9"/>
    <x v="1"/>
    <x v="1"/>
    <s v="Kolkata"/>
    <x v="3"/>
    <n v="205"/>
    <n v="90"/>
    <n v="24"/>
    <n v="271"/>
    <n v="63"/>
    <n v="724.04"/>
    <n v="4"/>
    <n v="0"/>
    <x v="0"/>
    <x v="2"/>
    <x v="2"/>
    <n v="196214.84"/>
  </r>
  <r>
    <s v="ORD00358"/>
    <d v="2026-06-06T00:00:00"/>
    <x v="4"/>
    <x v="2"/>
    <x v="2"/>
    <s v="Mumbai"/>
    <x v="0"/>
    <n v="65"/>
    <n v="56"/>
    <n v="94"/>
    <n v="27"/>
    <n v="49"/>
    <n v="864.02"/>
    <n v="4"/>
    <n v="6"/>
    <x v="1"/>
    <x v="0"/>
    <x v="0"/>
    <n v="23328.54"/>
  </r>
  <r>
    <s v="ORD00359"/>
    <d v="2026-08-12T00:00:00"/>
    <x v="15"/>
    <x v="4"/>
    <x v="1"/>
    <s v="Delhi"/>
    <x v="2"/>
    <n v="120"/>
    <n v="74"/>
    <n v="36"/>
    <n v="158"/>
    <n v="45"/>
    <n v="433.19"/>
    <n v="8"/>
    <n v="0"/>
    <x v="1"/>
    <x v="2"/>
    <x v="2"/>
    <n v="68444.02"/>
  </r>
  <r>
    <s v="ORD00360"/>
    <d v="2026-11-07T00:00:00"/>
    <x v="4"/>
    <x v="2"/>
    <x v="2"/>
    <s v="Delhi"/>
    <x v="2"/>
    <n v="162"/>
    <n v="79"/>
    <n v="72"/>
    <n v="169"/>
    <n v="67"/>
    <n v="843.96"/>
    <n v="5"/>
    <n v="0"/>
    <x v="1"/>
    <x v="2"/>
    <x v="0"/>
    <n v="142629.24000000002"/>
  </r>
  <r>
    <s v="ORD00361"/>
    <d v="2026-10-25T00:00:00"/>
    <x v="16"/>
    <x v="0"/>
    <x v="2"/>
    <s v="Mumbai"/>
    <x v="0"/>
    <n v="107"/>
    <n v="113"/>
    <n v="95"/>
    <n v="125"/>
    <n v="49"/>
    <n v="1254.58"/>
    <n v="2"/>
    <n v="0"/>
    <x v="1"/>
    <x v="2"/>
    <x v="0"/>
    <n v="156822.5"/>
  </r>
  <r>
    <s v="ORD00362"/>
    <d v="2026-07-07T00:00:00"/>
    <x v="10"/>
    <x v="4"/>
    <x v="1"/>
    <s v="Mumbai"/>
    <x v="0"/>
    <n v="49"/>
    <n v="90"/>
    <n v="48"/>
    <n v="91"/>
    <n v="79"/>
    <n v="647.28"/>
    <n v="6"/>
    <n v="0"/>
    <x v="1"/>
    <x v="1"/>
    <x v="2"/>
    <n v="58902.479999999996"/>
  </r>
  <r>
    <s v="ORD00363"/>
    <d v="2026-11-11T00:00:00"/>
    <x v="11"/>
    <x v="3"/>
    <x v="1"/>
    <s v="Delhi"/>
    <x v="2"/>
    <n v="74"/>
    <n v="79"/>
    <n v="79"/>
    <n v="74"/>
    <n v="77"/>
    <n v="2019.84"/>
    <n v="4"/>
    <n v="4"/>
    <x v="1"/>
    <x v="1"/>
    <x v="1"/>
    <n v="149468.16"/>
  </r>
  <r>
    <s v="ORD00364"/>
    <d v="2026-07-03T00:00:00"/>
    <x v="1"/>
    <x v="1"/>
    <x v="3"/>
    <s v="Mumbai"/>
    <x v="0"/>
    <n v="85"/>
    <n v="92"/>
    <n v="87"/>
    <n v="90"/>
    <n v="87"/>
    <n v="1396.77"/>
    <n v="3"/>
    <n v="0"/>
    <x v="1"/>
    <x v="1"/>
    <x v="0"/>
    <n v="125709.3"/>
  </r>
  <r>
    <s v="ORD00365"/>
    <d v="2026-08-21T00:00:00"/>
    <x v="17"/>
    <x v="0"/>
    <x v="3"/>
    <s v="Mumbai"/>
    <x v="0"/>
    <n v="56"/>
    <n v="53"/>
    <n v="62"/>
    <n v="47"/>
    <n v="59"/>
    <n v="1271.99"/>
    <n v="3"/>
    <n v="6"/>
    <x v="1"/>
    <x v="1"/>
    <x v="0"/>
    <n v="59783.53"/>
  </r>
  <r>
    <s v="ORD00366"/>
    <d v="2026-03-31T00:00:00"/>
    <x v="0"/>
    <x v="0"/>
    <x v="0"/>
    <s v="Bangalore"/>
    <x v="1"/>
    <n v="220"/>
    <n v="86"/>
    <n v="96"/>
    <n v="210"/>
    <n v="98"/>
    <n v="1718.46"/>
    <n v="7"/>
    <n v="0"/>
    <x v="1"/>
    <x v="1"/>
    <x v="0"/>
    <n v="360876.60000000003"/>
  </r>
  <r>
    <s v="ORD00367"/>
    <d v="2026-09-04T00:00:00"/>
    <x v="7"/>
    <x v="3"/>
    <x v="0"/>
    <s v="Bangalore"/>
    <x v="1"/>
    <n v="172"/>
    <n v="52"/>
    <n v="63"/>
    <n v="161"/>
    <n v="59"/>
    <n v="1003.27"/>
    <n v="4"/>
    <n v="0"/>
    <x v="1"/>
    <x v="2"/>
    <x v="0"/>
    <n v="161526.47"/>
  </r>
  <r>
    <s v="ORD00368"/>
    <d v="2026-07-05T00:00:00"/>
    <x v="12"/>
    <x v="4"/>
    <x v="1"/>
    <s v="Mumbai"/>
    <x v="0"/>
    <n v="152"/>
    <n v="41"/>
    <n v="44"/>
    <n v="149"/>
    <n v="49"/>
    <n v="501.45"/>
    <n v="4"/>
    <n v="0"/>
    <x v="1"/>
    <x v="2"/>
    <x v="0"/>
    <n v="74716.05"/>
  </r>
  <r>
    <s v="ORD00369"/>
    <d v="2026-07-30T00:00:00"/>
    <x v="12"/>
    <x v="4"/>
    <x v="2"/>
    <s v="Kolkata"/>
    <x v="3"/>
    <n v="124"/>
    <n v="112"/>
    <n v="29"/>
    <n v="207"/>
    <n v="75"/>
    <n v="517.52"/>
    <n v="5"/>
    <n v="0"/>
    <x v="1"/>
    <x v="2"/>
    <x v="0"/>
    <n v="107126.64"/>
  </r>
  <r>
    <s v="ORD00370"/>
    <d v="2026-03-27T00:00:00"/>
    <x v="17"/>
    <x v="0"/>
    <x v="4"/>
    <s v="Mumbai"/>
    <x v="0"/>
    <n v="186"/>
    <n v="95"/>
    <n v="35"/>
    <n v="246"/>
    <n v="53"/>
    <n v="1436.27"/>
    <n v="2"/>
    <n v="0"/>
    <x v="1"/>
    <x v="2"/>
    <x v="0"/>
    <n v="353322.42"/>
  </r>
  <r>
    <s v="ORD00371"/>
    <d v="2026-02-13T00:00:00"/>
    <x v="13"/>
    <x v="2"/>
    <x v="1"/>
    <s v="Kolkata"/>
    <x v="3"/>
    <n v="193"/>
    <n v="92"/>
    <n v="96"/>
    <n v="189"/>
    <n v="46"/>
    <n v="1183.27"/>
    <n v="7"/>
    <n v="0"/>
    <x v="1"/>
    <x v="2"/>
    <x v="0"/>
    <n v="223638.03"/>
  </r>
  <r>
    <s v="ORD00372"/>
    <d v="2026-04-04T00:00:00"/>
    <x v="2"/>
    <x v="1"/>
    <x v="1"/>
    <s v="Kolkata"/>
    <x v="3"/>
    <n v="163"/>
    <n v="41"/>
    <n v="43"/>
    <n v="161"/>
    <n v="98"/>
    <n v="2357.17"/>
    <n v="3"/>
    <n v="0"/>
    <x v="1"/>
    <x v="1"/>
    <x v="1"/>
    <n v="379504.37"/>
  </r>
  <r>
    <s v="ORD00373"/>
    <d v="2026-09-25T00:00:00"/>
    <x v="6"/>
    <x v="4"/>
    <x v="2"/>
    <s v="Delhi"/>
    <x v="2"/>
    <n v="156"/>
    <n v="96"/>
    <n v="90"/>
    <n v="162"/>
    <n v="49"/>
    <n v="614.88"/>
    <n v="5"/>
    <n v="0"/>
    <x v="0"/>
    <x v="2"/>
    <x v="0"/>
    <n v="99610.559999999998"/>
  </r>
  <r>
    <s v="ORD00374"/>
    <d v="2026-12-04T00:00:00"/>
    <x v="10"/>
    <x v="4"/>
    <x v="2"/>
    <s v="Bangalore"/>
    <x v="1"/>
    <n v="85"/>
    <n v="80"/>
    <n v="93"/>
    <n v="72"/>
    <n v="83"/>
    <n v="544.67999999999995"/>
    <n v="8"/>
    <n v="2"/>
    <x v="1"/>
    <x v="1"/>
    <x v="0"/>
    <n v="39216.959999999999"/>
  </r>
  <r>
    <s v="ORD00375"/>
    <d v="2026-12-23T00:00:00"/>
    <x v="9"/>
    <x v="1"/>
    <x v="3"/>
    <s v="Kolkata"/>
    <x v="3"/>
    <n v="134"/>
    <n v="25"/>
    <n v="104"/>
    <n v="55"/>
    <n v="78"/>
    <n v="690.05"/>
    <n v="8"/>
    <n v="7"/>
    <x v="1"/>
    <x v="1"/>
    <x v="0"/>
    <n v="37952.75"/>
  </r>
  <r>
    <s v="ORD00376"/>
    <d v="2026-04-07T00:00:00"/>
    <x v="12"/>
    <x v="4"/>
    <x v="3"/>
    <s v="Mumbai"/>
    <x v="0"/>
    <n v="105"/>
    <n v="81"/>
    <n v="44"/>
    <n v="142"/>
    <n v="99"/>
    <n v="458.38"/>
    <n v="6"/>
    <n v="0"/>
    <x v="1"/>
    <x v="1"/>
    <x v="0"/>
    <n v="65089.96"/>
  </r>
  <r>
    <s v="ORD00377"/>
    <d v="2026-03-21T00:00:00"/>
    <x v="0"/>
    <x v="0"/>
    <x v="1"/>
    <s v="Bangalore"/>
    <x v="1"/>
    <n v="173"/>
    <n v="20"/>
    <n v="63"/>
    <n v="130"/>
    <n v="86"/>
    <n v="1693.95"/>
    <n v="8"/>
    <n v="0"/>
    <x v="1"/>
    <x v="1"/>
    <x v="0"/>
    <n v="220213.5"/>
  </r>
  <r>
    <s v="ORD00378"/>
    <d v="2026-10-13T00:00:00"/>
    <x v="5"/>
    <x v="3"/>
    <x v="0"/>
    <s v="Kolkata"/>
    <x v="3"/>
    <n v="184"/>
    <n v="66"/>
    <n v="93"/>
    <n v="157"/>
    <n v="62"/>
    <n v="1427.87"/>
    <n v="5"/>
    <n v="0"/>
    <x v="1"/>
    <x v="2"/>
    <x v="0"/>
    <n v="224175.59"/>
  </r>
  <r>
    <s v="ORD00379"/>
    <d v="2026-12-04T00:00:00"/>
    <x v="11"/>
    <x v="3"/>
    <x v="0"/>
    <s v="Kolkata"/>
    <x v="3"/>
    <n v="104"/>
    <n v="59"/>
    <n v="88"/>
    <n v="75"/>
    <n v="67"/>
    <n v="2320.65"/>
    <n v="5"/>
    <n v="0"/>
    <x v="1"/>
    <x v="1"/>
    <x v="1"/>
    <n v="174048.75"/>
  </r>
  <r>
    <s v="ORD00380"/>
    <d v="2026-11-22T00:00:00"/>
    <x v="17"/>
    <x v="0"/>
    <x v="3"/>
    <s v="Mumbai"/>
    <x v="0"/>
    <n v="65"/>
    <n v="47"/>
    <n v="80"/>
    <n v="32"/>
    <n v="70"/>
    <n v="1480.1"/>
    <n v="8"/>
    <n v="1"/>
    <x v="1"/>
    <x v="0"/>
    <x v="0"/>
    <n v="47363.199999999997"/>
  </r>
  <r>
    <s v="ORD00381"/>
    <d v="2026-07-16T00:00:00"/>
    <x v="0"/>
    <x v="0"/>
    <x v="2"/>
    <s v="Kolkata"/>
    <x v="3"/>
    <n v="193"/>
    <n v="75"/>
    <n v="26"/>
    <n v="242"/>
    <n v="49"/>
    <n v="1714.71"/>
    <n v="4"/>
    <n v="0"/>
    <x v="0"/>
    <x v="2"/>
    <x v="0"/>
    <n v="414959.82"/>
  </r>
  <r>
    <s v="ORD00382"/>
    <d v="2026-05-27T00:00:00"/>
    <x v="5"/>
    <x v="3"/>
    <x v="1"/>
    <s v="Bangalore"/>
    <x v="1"/>
    <n v="84"/>
    <n v="101"/>
    <n v="78"/>
    <n v="107"/>
    <n v="73"/>
    <n v="1172.78"/>
    <n v="8"/>
    <n v="0"/>
    <x v="1"/>
    <x v="1"/>
    <x v="1"/>
    <n v="125487.45999999999"/>
  </r>
  <r>
    <s v="ORD00383"/>
    <d v="2026-05-22T00:00:00"/>
    <x v="9"/>
    <x v="1"/>
    <x v="1"/>
    <s v="Mumbai"/>
    <x v="0"/>
    <n v="197"/>
    <n v="41"/>
    <n v="101"/>
    <n v="137"/>
    <n v="47"/>
    <n v="680.36"/>
    <n v="7"/>
    <n v="0"/>
    <x v="0"/>
    <x v="2"/>
    <x v="0"/>
    <n v="93209.32"/>
  </r>
  <r>
    <s v="ORD00384"/>
    <d v="2026-10-14T00:00:00"/>
    <x v="5"/>
    <x v="3"/>
    <x v="3"/>
    <s v="Kolkata"/>
    <x v="3"/>
    <n v="190"/>
    <n v="45"/>
    <n v="81"/>
    <n v="154"/>
    <n v="45"/>
    <n v="1361.6"/>
    <n v="2"/>
    <n v="0"/>
    <x v="1"/>
    <x v="2"/>
    <x v="0"/>
    <n v="209686.39999999999"/>
  </r>
  <r>
    <s v="ORD00385"/>
    <d v="2026-09-17T00:00:00"/>
    <x v="6"/>
    <x v="4"/>
    <x v="0"/>
    <s v="Delhi"/>
    <x v="2"/>
    <n v="97"/>
    <n v="97"/>
    <n v="39"/>
    <n v="155"/>
    <n v="74"/>
    <n v="705.86"/>
    <n v="6"/>
    <n v="0"/>
    <x v="0"/>
    <x v="1"/>
    <x v="0"/>
    <n v="109408.3"/>
  </r>
  <r>
    <s v="ORD00386"/>
    <d v="2026-08-15T00:00:00"/>
    <x v="0"/>
    <x v="0"/>
    <x v="1"/>
    <s v="Delhi"/>
    <x v="2"/>
    <n v="127"/>
    <n v="34"/>
    <n v="80"/>
    <n v="81"/>
    <n v="61"/>
    <n v="1935.4"/>
    <n v="8"/>
    <n v="0"/>
    <x v="1"/>
    <x v="1"/>
    <x v="0"/>
    <n v="156767.4"/>
  </r>
  <r>
    <s v="ORD00387"/>
    <d v="2026-11-21T00:00:00"/>
    <x v="7"/>
    <x v="3"/>
    <x v="2"/>
    <s v="Delhi"/>
    <x v="2"/>
    <n v="157"/>
    <n v="107"/>
    <n v="73"/>
    <n v="191"/>
    <n v="82"/>
    <n v="1072.4000000000001"/>
    <n v="5"/>
    <n v="0"/>
    <x v="0"/>
    <x v="2"/>
    <x v="0"/>
    <n v="204828.40000000002"/>
  </r>
  <r>
    <s v="ORD00388"/>
    <d v="2026-06-25T00:00:00"/>
    <x v="1"/>
    <x v="1"/>
    <x v="0"/>
    <s v="Kolkata"/>
    <x v="3"/>
    <n v="130"/>
    <n v="86"/>
    <n v="83"/>
    <n v="133"/>
    <n v="45"/>
    <n v="1352.21"/>
    <n v="6"/>
    <n v="0"/>
    <x v="0"/>
    <x v="2"/>
    <x v="2"/>
    <n v="179843.93"/>
  </r>
  <r>
    <s v="ORD00389"/>
    <d v="2026-09-13T00:00:00"/>
    <x v="17"/>
    <x v="0"/>
    <x v="3"/>
    <s v="Delhi"/>
    <x v="2"/>
    <n v="130"/>
    <n v="47"/>
    <n v="88"/>
    <n v="89"/>
    <n v="62"/>
    <n v="1311.18"/>
    <n v="7"/>
    <n v="0"/>
    <x v="1"/>
    <x v="1"/>
    <x v="1"/>
    <n v="116695.02"/>
  </r>
  <r>
    <s v="ORD00390"/>
    <d v="2026-03-03T00:00:00"/>
    <x v="1"/>
    <x v="1"/>
    <x v="2"/>
    <s v="Delhi"/>
    <x v="2"/>
    <n v="92"/>
    <n v="49"/>
    <n v="40"/>
    <n v="101"/>
    <n v="98"/>
    <n v="1234.92"/>
    <n v="6"/>
    <n v="0"/>
    <x v="1"/>
    <x v="1"/>
    <x v="2"/>
    <n v="124726.92000000001"/>
  </r>
  <r>
    <s v="ORD00391"/>
    <d v="2026-10-22T00:00:00"/>
    <x v="3"/>
    <x v="0"/>
    <x v="1"/>
    <s v="Bangalore"/>
    <x v="1"/>
    <n v="178"/>
    <n v="25"/>
    <n v="76"/>
    <n v="127"/>
    <n v="68"/>
    <n v="921.72"/>
    <n v="5"/>
    <n v="0"/>
    <x v="1"/>
    <x v="1"/>
    <x v="1"/>
    <n v="117058.44"/>
  </r>
  <r>
    <s v="ORD00392"/>
    <d v="2026-01-17T00:00:00"/>
    <x v="19"/>
    <x v="2"/>
    <x v="2"/>
    <s v="Delhi"/>
    <x v="2"/>
    <n v="141"/>
    <n v="48"/>
    <n v="88"/>
    <n v="101"/>
    <n v="53"/>
    <n v="1366.24"/>
    <n v="8"/>
    <n v="0"/>
    <x v="1"/>
    <x v="1"/>
    <x v="3"/>
    <n v="137990.24"/>
  </r>
  <r>
    <s v="ORD00393"/>
    <d v="2026-07-14T00:00:00"/>
    <x v="6"/>
    <x v="4"/>
    <x v="3"/>
    <s v="Mumbai"/>
    <x v="0"/>
    <n v="157"/>
    <n v="35"/>
    <n v="104"/>
    <n v="88"/>
    <n v="78"/>
    <n v="644.80999999999995"/>
    <n v="7"/>
    <n v="0"/>
    <x v="0"/>
    <x v="1"/>
    <x v="0"/>
    <n v="56743.28"/>
  </r>
  <r>
    <s v="ORD00394"/>
    <d v="2026-06-25T00:00:00"/>
    <x v="12"/>
    <x v="4"/>
    <x v="0"/>
    <s v="Delhi"/>
    <x v="2"/>
    <n v="196"/>
    <n v="130"/>
    <n v="48"/>
    <n v="278"/>
    <n v="56"/>
    <n v="504.86"/>
    <n v="3"/>
    <n v="0"/>
    <x v="1"/>
    <x v="2"/>
    <x v="3"/>
    <n v="140351.08000000002"/>
  </r>
  <r>
    <s v="ORD00395"/>
    <d v="2026-03-09T00:00:00"/>
    <x v="13"/>
    <x v="2"/>
    <x v="3"/>
    <s v="Kolkata"/>
    <x v="3"/>
    <n v="93"/>
    <n v="73"/>
    <n v="104"/>
    <n v="62"/>
    <n v="93"/>
    <n v="1071.9100000000001"/>
    <n v="8"/>
    <n v="8"/>
    <x v="1"/>
    <x v="1"/>
    <x v="0"/>
    <n v="66458.42"/>
  </r>
  <r>
    <s v="ORD00396"/>
    <d v="2026-08-31T00:00:00"/>
    <x v="15"/>
    <x v="4"/>
    <x v="4"/>
    <s v="Delhi"/>
    <x v="2"/>
    <n v="100"/>
    <n v="91"/>
    <n v="70"/>
    <n v="121"/>
    <n v="99"/>
    <n v="439.28"/>
    <n v="3"/>
    <n v="0"/>
    <x v="1"/>
    <x v="1"/>
    <x v="2"/>
    <n v="53152.88"/>
  </r>
  <r>
    <s v="ORD00397"/>
    <d v="2026-10-15T00:00:00"/>
    <x v="17"/>
    <x v="0"/>
    <x v="3"/>
    <s v="Kolkata"/>
    <x v="3"/>
    <n v="74"/>
    <n v="128"/>
    <n v="95"/>
    <n v="107"/>
    <n v="78"/>
    <n v="1409.52"/>
    <n v="4"/>
    <n v="0"/>
    <x v="1"/>
    <x v="1"/>
    <x v="0"/>
    <n v="150818.63999999998"/>
  </r>
  <r>
    <s v="ORD00398"/>
    <d v="2026-06-21T00:00:00"/>
    <x v="12"/>
    <x v="4"/>
    <x v="3"/>
    <s v="Bangalore"/>
    <x v="1"/>
    <n v="216"/>
    <n v="40"/>
    <n v="22"/>
    <n v="234"/>
    <n v="58"/>
    <n v="531.38"/>
    <n v="5"/>
    <n v="0"/>
    <x v="1"/>
    <x v="2"/>
    <x v="0"/>
    <n v="124342.92"/>
  </r>
  <r>
    <s v="ORD00399"/>
    <d v="2026-10-22T00:00:00"/>
    <x v="4"/>
    <x v="2"/>
    <x v="0"/>
    <s v="Delhi"/>
    <x v="2"/>
    <n v="128"/>
    <n v="22"/>
    <n v="67"/>
    <n v="83"/>
    <n v="52"/>
    <n v="776.17"/>
    <n v="7"/>
    <n v="0"/>
    <x v="1"/>
    <x v="1"/>
    <x v="0"/>
    <n v="64422.109999999993"/>
  </r>
  <r>
    <s v="ORD00400"/>
    <d v="2026-05-27T00:00:00"/>
    <x v="15"/>
    <x v="4"/>
    <x v="0"/>
    <s v="Delhi"/>
    <x v="2"/>
    <n v="123"/>
    <n v="106"/>
    <n v="80"/>
    <n v="149"/>
    <n v="76"/>
    <n v="474.73"/>
    <n v="5"/>
    <n v="0"/>
    <x v="1"/>
    <x v="1"/>
    <x v="0"/>
    <n v="70734.77"/>
  </r>
  <r>
    <s v="ORD00401"/>
    <d v="2026-12-30T00:00:00"/>
    <x v="11"/>
    <x v="3"/>
    <x v="2"/>
    <s v="Delhi"/>
    <x v="2"/>
    <n v="147"/>
    <n v="100"/>
    <n v="93"/>
    <n v="154"/>
    <n v="81"/>
    <n v="2158.1"/>
    <n v="4"/>
    <n v="2"/>
    <x v="0"/>
    <x v="1"/>
    <x v="0"/>
    <n v="332347.39999999997"/>
  </r>
  <r>
    <s v="ORD00402"/>
    <d v="2026-03-06T00:00:00"/>
    <x v="19"/>
    <x v="2"/>
    <x v="0"/>
    <s v="Kolkata"/>
    <x v="3"/>
    <n v="132"/>
    <n v="115"/>
    <n v="90"/>
    <n v="157"/>
    <n v="78"/>
    <n v="1639.66"/>
    <n v="5"/>
    <n v="0"/>
    <x v="0"/>
    <x v="1"/>
    <x v="1"/>
    <n v="257426.62000000002"/>
  </r>
  <r>
    <s v="ORD00403"/>
    <d v="2026-07-23T00:00:00"/>
    <x v="14"/>
    <x v="1"/>
    <x v="4"/>
    <s v="Mumbai"/>
    <x v="0"/>
    <n v="82"/>
    <n v="70"/>
    <n v="28"/>
    <n v="124"/>
    <n v="51"/>
    <n v="1460.41"/>
    <n v="5"/>
    <n v="0"/>
    <x v="1"/>
    <x v="2"/>
    <x v="0"/>
    <n v="181090.84"/>
  </r>
  <r>
    <s v="ORD00404"/>
    <d v="2026-05-26T00:00:00"/>
    <x v="12"/>
    <x v="4"/>
    <x v="4"/>
    <s v="Delhi"/>
    <x v="2"/>
    <n v="198"/>
    <n v="39"/>
    <n v="25"/>
    <n v="212"/>
    <n v="86"/>
    <n v="543.16"/>
    <n v="5"/>
    <n v="0"/>
    <x v="1"/>
    <x v="2"/>
    <x v="0"/>
    <n v="115149.92"/>
  </r>
  <r>
    <s v="ORD00405"/>
    <d v="2026-12-24T00:00:00"/>
    <x v="11"/>
    <x v="3"/>
    <x v="2"/>
    <s v="Mumbai"/>
    <x v="0"/>
    <n v="47"/>
    <n v="24"/>
    <n v="99"/>
    <n v="0"/>
    <n v="67"/>
    <n v="2358.56"/>
    <n v="7"/>
    <n v="9"/>
    <x v="0"/>
    <x v="0"/>
    <x v="0"/>
    <n v="0"/>
  </r>
  <r>
    <s v="ORD00406"/>
    <d v="2026-06-27T00:00:00"/>
    <x v="15"/>
    <x v="4"/>
    <x v="1"/>
    <s v="Kolkata"/>
    <x v="3"/>
    <n v="201"/>
    <n v="115"/>
    <n v="96"/>
    <n v="220"/>
    <n v="81"/>
    <n v="444.15"/>
    <n v="7"/>
    <n v="0"/>
    <x v="1"/>
    <x v="2"/>
    <x v="0"/>
    <n v="97713"/>
  </r>
  <r>
    <s v="ORD00407"/>
    <d v="2026-03-11T00:00:00"/>
    <x v="11"/>
    <x v="3"/>
    <x v="4"/>
    <s v="Kolkata"/>
    <x v="3"/>
    <n v="118"/>
    <n v="66"/>
    <n v="67"/>
    <n v="117"/>
    <n v="61"/>
    <n v="2048.52"/>
    <n v="2"/>
    <n v="0"/>
    <x v="0"/>
    <x v="1"/>
    <x v="1"/>
    <n v="239676.84"/>
  </r>
  <r>
    <s v="ORD00408"/>
    <d v="2026-01-04T00:00:00"/>
    <x v="4"/>
    <x v="2"/>
    <x v="3"/>
    <s v="Bangalore"/>
    <x v="1"/>
    <n v="216"/>
    <n v="82"/>
    <n v="76"/>
    <n v="222"/>
    <n v="64"/>
    <n v="721.46"/>
    <n v="5"/>
    <n v="0"/>
    <x v="1"/>
    <x v="2"/>
    <x v="0"/>
    <n v="160164.12"/>
  </r>
  <r>
    <s v="ORD00409"/>
    <d v="2026-04-23T00:00:00"/>
    <x v="6"/>
    <x v="4"/>
    <x v="2"/>
    <s v="Kolkata"/>
    <x v="3"/>
    <n v="183"/>
    <n v="75"/>
    <n v="65"/>
    <n v="193"/>
    <n v="60"/>
    <n v="606.23"/>
    <n v="7"/>
    <n v="0"/>
    <x v="1"/>
    <x v="2"/>
    <x v="1"/>
    <n v="117002.39"/>
  </r>
  <r>
    <s v="ORD00410"/>
    <d v="2026-04-07T00:00:00"/>
    <x v="18"/>
    <x v="2"/>
    <x v="3"/>
    <s v="Mumbai"/>
    <x v="0"/>
    <n v="172"/>
    <n v="117"/>
    <n v="93"/>
    <n v="196"/>
    <n v="96"/>
    <n v="3324.11"/>
    <n v="7"/>
    <n v="0"/>
    <x v="1"/>
    <x v="1"/>
    <x v="0"/>
    <n v="651525.56000000006"/>
  </r>
  <r>
    <s v="ORD00411"/>
    <d v="2026-01-10T00:00:00"/>
    <x v="17"/>
    <x v="0"/>
    <x v="2"/>
    <s v="Delhi"/>
    <x v="2"/>
    <n v="68"/>
    <n v="101"/>
    <n v="73"/>
    <n v="96"/>
    <n v="84"/>
    <n v="1386.77"/>
    <n v="7"/>
    <n v="0"/>
    <x v="1"/>
    <x v="1"/>
    <x v="0"/>
    <n v="133129.91999999998"/>
  </r>
  <r>
    <s v="ORD00412"/>
    <d v="2026-03-19T00:00:00"/>
    <x v="9"/>
    <x v="1"/>
    <x v="1"/>
    <s v="Bangalore"/>
    <x v="1"/>
    <n v="87"/>
    <n v="33"/>
    <n v="51"/>
    <n v="69"/>
    <n v="62"/>
    <n v="647.51"/>
    <n v="5"/>
    <n v="0"/>
    <x v="1"/>
    <x v="1"/>
    <x v="0"/>
    <n v="44678.19"/>
  </r>
  <r>
    <s v="ORD00413"/>
    <d v="2026-03-16T00:00:00"/>
    <x v="3"/>
    <x v="0"/>
    <x v="2"/>
    <s v="Delhi"/>
    <x v="2"/>
    <n v="147"/>
    <n v="59"/>
    <n v="78"/>
    <n v="128"/>
    <n v="68"/>
    <n v="893.46"/>
    <n v="8"/>
    <n v="0"/>
    <x v="0"/>
    <x v="1"/>
    <x v="0"/>
    <n v="114362.88"/>
  </r>
  <r>
    <s v="ORD00414"/>
    <d v="2026-03-04T00:00:00"/>
    <x v="16"/>
    <x v="0"/>
    <x v="3"/>
    <s v="Bangalore"/>
    <x v="1"/>
    <n v="179"/>
    <n v="80"/>
    <n v="38"/>
    <n v="221"/>
    <n v="57"/>
    <n v="1294.97"/>
    <n v="4"/>
    <n v="0"/>
    <x v="1"/>
    <x v="2"/>
    <x v="1"/>
    <n v="286188.37"/>
  </r>
  <r>
    <s v="ORD00415"/>
    <d v="2026-06-09T00:00:00"/>
    <x v="2"/>
    <x v="1"/>
    <x v="3"/>
    <s v="Mumbai"/>
    <x v="0"/>
    <n v="48"/>
    <n v="45"/>
    <n v="73"/>
    <n v="20"/>
    <n v="92"/>
    <n v="2530.08"/>
    <n v="10"/>
    <n v="12"/>
    <x v="1"/>
    <x v="0"/>
    <x v="2"/>
    <n v="50601.599999999999"/>
  </r>
  <r>
    <s v="ORD00416"/>
    <d v="2026-02-27T00:00:00"/>
    <x v="13"/>
    <x v="2"/>
    <x v="4"/>
    <s v="Bangalore"/>
    <x v="1"/>
    <n v="104"/>
    <n v="81"/>
    <n v="96"/>
    <n v="89"/>
    <n v="64"/>
    <n v="1033.72"/>
    <n v="2"/>
    <n v="0"/>
    <x v="1"/>
    <x v="1"/>
    <x v="0"/>
    <n v="92001.08"/>
  </r>
  <r>
    <s v="ORD00417"/>
    <d v="2026-10-25T00:00:00"/>
    <x v="2"/>
    <x v="1"/>
    <x v="0"/>
    <s v="Bangalore"/>
    <x v="1"/>
    <n v="82"/>
    <n v="121"/>
    <n v="50"/>
    <n v="153"/>
    <n v="82"/>
    <n v="2217.4299999999998"/>
    <n v="8"/>
    <n v="0"/>
    <x v="1"/>
    <x v="1"/>
    <x v="3"/>
    <n v="339266.79"/>
  </r>
  <r>
    <s v="ORD00418"/>
    <d v="2026-11-17T00:00:00"/>
    <x v="11"/>
    <x v="3"/>
    <x v="0"/>
    <s v="Bangalore"/>
    <x v="1"/>
    <n v="103"/>
    <n v="40"/>
    <n v="78"/>
    <n v="65"/>
    <n v="50"/>
    <n v="2281.8200000000002"/>
    <n v="4"/>
    <n v="0"/>
    <x v="1"/>
    <x v="1"/>
    <x v="3"/>
    <n v="148318.30000000002"/>
  </r>
  <r>
    <s v="ORD00419"/>
    <d v="2026-06-27T00:00:00"/>
    <x v="0"/>
    <x v="0"/>
    <x v="0"/>
    <s v="Mumbai"/>
    <x v="0"/>
    <n v="219"/>
    <n v="88"/>
    <n v="28"/>
    <n v="279"/>
    <n v="53"/>
    <n v="1795.62"/>
    <n v="4"/>
    <n v="0"/>
    <x v="1"/>
    <x v="2"/>
    <x v="2"/>
    <n v="500977.98"/>
  </r>
  <r>
    <s v="ORD00420"/>
    <d v="2026-10-05T00:00:00"/>
    <x v="11"/>
    <x v="3"/>
    <x v="4"/>
    <s v="Kolkata"/>
    <x v="3"/>
    <n v="131"/>
    <n v="112"/>
    <n v="32"/>
    <n v="211"/>
    <n v="61"/>
    <n v="2375.41"/>
    <n v="5"/>
    <n v="0"/>
    <x v="1"/>
    <x v="2"/>
    <x v="0"/>
    <n v="501211.50999999995"/>
  </r>
  <r>
    <s v="ORD00421"/>
    <d v="2026-10-11T00:00:00"/>
    <x v="11"/>
    <x v="3"/>
    <x v="1"/>
    <s v="Mumbai"/>
    <x v="0"/>
    <n v="179"/>
    <n v="64"/>
    <n v="56"/>
    <n v="187"/>
    <n v="91"/>
    <n v="2186.09"/>
    <n v="8"/>
    <n v="0"/>
    <x v="1"/>
    <x v="1"/>
    <x v="1"/>
    <n v="408798.83"/>
  </r>
  <r>
    <s v="ORD00422"/>
    <d v="2026-04-05T00:00:00"/>
    <x v="9"/>
    <x v="1"/>
    <x v="1"/>
    <s v="Mumbai"/>
    <x v="0"/>
    <n v="155"/>
    <n v="57"/>
    <n v="48"/>
    <n v="164"/>
    <n v="79"/>
    <n v="681.4"/>
    <n v="2"/>
    <n v="0"/>
    <x v="1"/>
    <x v="1"/>
    <x v="0"/>
    <n v="111749.59999999999"/>
  </r>
  <r>
    <s v="ORD00423"/>
    <d v="2026-09-12T00:00:00"/>
    <x v="16"/>
    <x v="0"/>
    <x v="1"/>
    <s v="Mumbai"/>
    <x v="0"/>
    <n v="122"/>
    <n v="112"/>
    <n v="23"/>
    <n v="211"/>
    <n v="87"/>
    <n v="1312.12"/>
    <n v="8"/>
    <n v="0"/>
    <x v="1"/>
    <x v="2"/>
    <x v="0"/>
    <n v="276857.31999999995"/>
  </r>
  <r>
    <s v="ORD00424"/>
    <d v="2026-03-08T00:00:00"/>
    <x v="15"/>
    <x v="4"/>
    <x v="1"/>
    <s v="Delhi"/>
    <x v="2"/>
    <n v="122"/>
    <n v="72"/>
    <n v="97"/>
    <n v="97"/>
    <n v="65"/>
    <n v="414.94"/>
    <n v="6"/>
    <n v="0"/>
    <x v="1"/>
    <x v="1"/>
    <x v="0"/>
    <n v="40249.18"/>
  </r>
  <r>
    <s v="ORD00425"/>
    <d v="2026-11-16T00:00:00"/>
    <x v="9"/>
    <x v="1"/>
    <x v="2"/>
    <s v="Bangalore"/>
    <x v="1"/>
    <n v="164"/>
    <n v="44"/>
    <n v="27"/>
    <n v="181"/>
    <n v="47"/>
    <n v="709.94"/>
    <n v="8"/>
    <n v="0"/>
    <x v="1"/>
    <x v="2"/>
    <x v="0"/>
    <n v="128499.14000000001"/>
  </r>
  <r>
    <s v="ORD00426"/>
    <d v="2026-02-10T00:00:00"/>
    <x v="6"/>
    <x v="4"/>
    <x v="4"/>
    <s v="Delhi"/>
    <x v="2"/>
    <n v="96"/>
    <n v="97"/>
    <n v="106"/>
    <n v="87"/>
    <n v="49"/>
    <n v="586.70000000000005"/>
    <n v="3"/>
    <n v="0"/>
    <x v="1"/>
    <x v="1"/>
    <x v="3"/>
    <n v="51042.9"/>
  </r>
  <r>
    <s v="ORD00427"/>
    <d v="2026-06-05T00:00:00"/>
    <x v="8"/>
    <x v="3"/>
    <x v="0"/>
    <s v="Kolkata"/>
    <x v="3"/>
    <n v="134"/>
    <n v="121"/>
    <n v="105"/>
    <n v="150"/>
    <n v="48"/>
    <n v="2981.24"/>
    <n v="4"/>
    <n v="0"/>
    <x v="1"/>
    <x v="2"/>
    <x v="2"/>
    <n v="447185.99999999994"/>
  </r>
  <r>
    <s v="ORD00428"/>
    <d v="2026-11-17T00:00:00"/>
    <x v="17"/>
    <x v="0"/>
    <x v="1"/>
    <s v="Bangalore"/>
    <x v="1"/>
    <n v="65"/>
    <n v="112"/>
    <n v="44"/>
    <n v="133"/>
    <n v="79"/>
    <n v="1367.89"/>
    <n v="3"/>
    <n v="0"/>
    <x v="1"/>
    <x v="1"/>
    <x v="0"/>
    <n v="181929.37000000002"/>
  </r>
  <r>
    <s v="ORD00429"/>
    <d v="2026-07-25T00:00:00"/>
    <x v="2"/>
    <x v="1"/>
    <x v="4"/>
    <s v="Delhi"/>
    <x v="2"/>
    <n v="212"/>
    <n v="78"/>
    <n v="104"/>
    <n v="186"/>
    <n v="87"/>
    <n v="2365"/>
    <n v="2"/>
    <n v="0"/>
    <x v="0"/>
    <x v="1"/>
    <x v="0"/>
    <n v="439890"/>
  </r>
  <r>
    <s v="ORD00430"/>
    <d v="2026-06-15T00:00:00"/>
    <x v="6"/>
    <x v="4"/>
    <x v="2"/>
    <s v="Kolkata"/>
    <x v="3"/>
    <n v="130"/>
    <n v="60"/>
    <n v="85"/>
    <n v="105"/>
    <n v="65"/>
    <n v="694.83"/>
    <n v="5"/>
    <n v="0"/>
    <x v="1"/>
    <x v="1"/>
    <x v="0"/>
    <n v="72957.150000000009"/>
  </r>
  <r>
    <s v="ORD00431"/>
    <d v="2026-01-18T00:00:00"/>
    <x v="15"/>
    <x v="4"/>
    <x v="1"/>
    <s v="Mumbai"/>
    <x v="0"/>
    <n v="136"/>
    <n v="118"/>
    <n v="85"/>
    <n v="169"/>
    <n v="92"/>
    <n v="427.87"/>
    <n v="5"/>
    <n v="0"/>
    <x v="1"/>
    <x v="1"/>
    <x v="0"/>
    <n v="72310.03"/>
  </r>
  <r>
    <s v="ORD00432"/>
    <d v="2026-12-20T00:00:00"/>
    <x v="18"/>
    <x v="2"/>
    <x v="1"/>
    <s v="Mumbai"/>
    <x v="0"/>
    <n v="117"/>
    <n v="20"/>
    <n v="53"/>
    <n v="84"/>
    <n v="59"/>
    <n v="3017.49"/>
    <n v="4"/>
    <n v="0"/>
    <x v="0"/>
    <x v="1"/>
    <x v="1"/>
    <n v="253469.15999999997"/>
  </r>
  <r>
    <s v="ORD00433"/>
    <d v="2026-06-03T00:00:00"/>
    <x v="13"/>
    <x v="2"/>
    <x v="4"/>
    <s v="Bangalore"/>
    <x v="1"/>
    <n v="157"/>
    <n v="65"/>
    <n v="34"/>
    <n v="188"/>
    <n v="53"/>
    <n v="1048.3"/>
    <n v="6"/>
    <n v="0"/>
    <x v="1"/>
    <x v="2"/>
    <x v="0"/>
    <n v="197080.4"/>
  </r>
  <r>
    <s v="ORD00434"/>
    <d v="2026-10-23T00:00:00"/>
    <x v="3"/>
    <x v="0"/>
    <x v="1"/>
    <s v="Mumbai"/>
    <x v="0"/>
    <n v="59"/>
    <n v="112"/>
    <n v="56"/>
    <n v="115"/>
    <n v="95"/>
    <n v="896.86"/>
    <n v="5"/>
    <n v="0"/>
    <x v="1"/>
    <x v="1"/>
    <x v="2"/>
    <n v="103138.90000000001"/>
  </r>
  <r>
    <s v="ORD00435"/>
    <d v="2026-03-03T00:00:00"/>
    <x v="16"/>
    <x v="0"/>
    <x v="4"/>
    <s v="Kolkata"/>
    <x v="3"/>
    <n v="60"/>
    <n v="119"/>
    <n v="22"/>
    <n v="157"/>
    <n v="94"/>
    <n v="1160.25"/>
    <n v="8"/>
    <n v="0"/>
    <x v="1"/>
    <x v="1"/>
    <x v="3"/>
    <n v="182159.25"/>
  </r>
  <r>
    <s v="ORD00436"/>
    <d v="2026-03-20T00:00:00"/>
    <x v="9"/>
    <x v="1"/>
    <x v="3"/>
    <s v="Bangalore"/>
    <x v="1"/>
    <n v="118"/>
    <n v="87"/>
    <n v="20"/>
    <n v="185"/>
    <n v="65"/>
    <n v="705.59"/>
    <n v="3"/>
    <n v="0"/>
    <x v="1"/>
    <x v="2"/>
    <x v="2"/>
    <n v="130534.15000000001"/>
  </r>
  <r>
    <s v="ORD00437"/>
    <d v="2026-01-26T00:00:00"/>
    <x v="3"/>
    <x v="0"/>
    <x v="3"/>
    <s v="Bangalore"/>
    <x v="1"/>
    <n v="96"/>
    <n v="75"/>
    <n v="52"/>
    <n v="119"/>
    <n v="95"/>
    <n v="880.98"/>
    <n v="3"/>
    <n v="0"/>
    <x v="1"/>
    <x v="1"/>
    <x v="0"/>
    <n v="104836.62"/>
  </r>
  <r>
    <s v="ORD00438"/>
    <d v="2026-09-07T00:00:00"/>
    <x v="10"/>
    <x v="4"/>
    <x v="0"/>
    <s v="Bangalore"/>
    <x v="1"/>
    <n v="142"/>
    <n v="84"/>
    <n v="70"/>
    <n v="156"/>
    <n v="94"/>
    <n v="623.74"/>
    <n v="8"/>
    <n v="0"/>
    <x v="0"/>
    <x v="1"/>
    <x v="0"/>
    <n v="97303.44"/>
  </r>
  <r>
    <s v="ORD00439"/>
    <d v="2026-07-31T00:00:00"/>
    <x v="11"/>
    <x v="3"/>
    <x v="1"/>
    <s v="Mumbai"/>
    <x v="0"/>
    <n v="102"/>
    <n v="29"/>
    <n v="49"/>
    <n v="82"/>
    <n v="94"/>
    <n v="2169.23"/>
    <n v="7"/>
    <n v="2"/>
    <x v="1"/>
    <x v="1"/>
    <x v="0"/>
    <n v="177876.86000000002"/>
  </r>
  <r>
    <s v="ORD00440"/>
    <d v="2026-08-15T00:00:00"/>
    <x v="5"/>
    <x v="3"/>
    <x v="0"/>
    <s v="Mumbai"/>
    <x v="0"/>
    <n v="122"/>
    <n v="64"/>
    <n v="91"/>
    <n v="95"/>
    <n v="86"/>
    <n v="1176.29"/>
    <n v="4"/>
    <n v="0"/>
    <x v="0"/>
    <x v="1"/>
    <x v="0"/>
    <n v="111747.55"/>
  </r>
  <r>
    <s v="ORD00441"/>
    <d v="2026-05-05T00:00:00"/>
    <x v="15"/>
    <x v="4"/>
    <x v="3"/>
    <s v="Bangalore"/>
    <x v="1"/>
    <n v="99"/>
    <n v="45"/>
    <n v="102"/>
    <n v="42"/>
    <n v="68"/>
    <n v="419.04"/>
    <n v="7"/>
    <n v="2"/>
    <x v="1"/>
    <x v="0"/>
    <x v="2"/>
    <n v="17599.68"/>
  </r>
  <r>
    <s v="ORD00442"/>
    <d v="2026-04-19T00:00:00"/>
    <x v="15"/>
    <x v="4"/>
    <x v="0"/>
    <s v="Bangalore"/>
    <x v="1"/>
    <n v="127"/>
    <n v="108"/>
    <n v="29"/>
    <n v="206"/>
    <n v="64"/>
    <n v="445.51"/>
    <n v="2"/>
    <n v="0"/>
    <x v="1"/>
    <x v="2"/>
    <x v="2"/>
    <n v="91775.06"/>
  </r>
  <r>
    <s v="ORD00443"/>
    <d v="2026-09-27T00:00:00"/>
    <x v="14"/>
    <x v="1"/>
    <x v="1"/>
    <s v="Kolkata"/>
    <x v="3"/>
    <n v="199"/>
    <n v="113"/>
    <n v="33"/>
    <n v="279"/>
    <n v="89"/>
    <n v="1663.6"/>
    <n v="2"/>
    <n v="0"/>
    <x v="1"/>
    <x v="2"/>
    <x v="1"/>
    <n v="464144.39999999997"/>
  </r>
  <r>
    <s v="ORD00444"/>
    <d v="2026-12-05T00:00:00"/>
    <x v="16"/>
    <x v="0"/>
    <x v="2"/>
    <s v="Bangalore"/>
    <x v="1"/>
    <n v="112"/>
    <n v="45"/>
    <n v="104"/>
    <n v="53"/>
    <n v="84"/>
    <n v="1145.1099999999999"/>
    <n v="5"/>
    <n v="1"/>
    <x v="1"/>
    <x v="0"/>
    <x v="0"/>
    <n v="60690.829999999994"/>
  </r>
  <r>
    <s v="ORD00445"/>
    <d v="2026-06-11T00:00:00"/>
    <x v="4"/>
    <x v="2"/>
    <x v="4"/>
    <s v="Bangalore"/>
    <x v="1"/>
    <n v="114"/>
    <n v="103"/>
    <n v="64"/>
    <n v="153"/>
    <n v="59"/>
    <n v="876.77"/>
    <n v="6"/>
    <n v="0"/>
    <x v="1"/>
    <x v="2"/>
    <x v="0"/>
    <n v="134145.81"/>
  </r>
  <r>
    <s v="ORD00446"/>
    <d v="2026-09-08T00:00:00"/>
    <x v="8"/>
    <x v="3"/>
    <x v="2"/>
    <s v="Mumbai"/>
    <x v="0"/>
    <n v="168"/>
    <n v="78"/>
    <n v="86"/>
    <n v="160"/>
    <n v="90"/>
    <n v="2532.0300000000002"/>
    <n v="3"/>
    <n v="0"/>
    <x v="1"/>
    <x v="1"/>
    <x v="0"/>
    <n v="405124.80000000005"/>
  </r>
  <r>
    <s v="ORD00447"/>
    <d v="2026-05-12T00:00:00"/>
    <x v="11"/>
    <x v="3"/>
    <x v="4"/>
    <s v="Delhi"/>
    <x v="2"/>
    <n v="215"/>
    <n v="65"/>
    <n v="60"/>
    <n v="220"/>
    <n v="85"/>
    <n v="2113.02"/>
    <n v="6"/>
    <n v="0"/>
    <x v="1"/>
    <x v="2"/>
    <x v="0"/>
    <n v="464864.4"/>
  </r>
  <r>
    <s v="ORD00448"/>
    <d v="2026-12-14T00:00:00"/>
    <x v="8"/>
    <x v="3"/>
    <x v="1"/>
    <s v="Delhi"/>
    <x v="2"/>
    <n v="97"/>
    <n v="39"/>
    <n v="58"/>
    <n v="78"/>
    <n v="70"/>
    <n v="2887.88"/>
    <n v="2"/>
    <n v="0"/>
    <x v="1"/>
    <x v="1"/>
    <x v="0"/>
    <n v="225254.64"/>
  </r>
  <r>
    <s v="ORD00449"/>
    <d v="2026-12-01T00:00:00"/>
    <x v="15"/>
    <x v="4"/>
    <x v="3"/>
    <s v="Mumbai"/>
    <x v="0"/>
    <n v="186"/>
    <n v="39"/>
    <n v="69"/>
    <n v="156"/>
    <n v="64"/>
    <n v="486.88"/>
    <n v="4"/>
    <n v="0"/>
    <x v="1"/>
    <x v="2"/>
    <x v="0"/>
    <n v="75953.279999999999"/>
  </r>
  <r>
    <s v="ORD00450"/>
    <d v="2026-03-22T00:00:00"/>
    <x v="1"/>
    <x v="1"/>
    <x v="2"/>
    <s v="Delhi"/>
    <x v="2"/>
    <n v="216"/>
    <n v="110"/>
    <n v="82"/>
    <n v="244"/>
    <n v="53"/>
    <n v="1281.82"/>
    <n v="8"/>
    <n v="0"/>
    <x v="0"/>
    <x v="2"/>
    <x v="3"/>
    <n v="312764.07999999996"/>
  </r>
  <r>
    <s v="ORD00451"/>
    <d v="2026-07-30T00:00:00"/>
    <x v="18"/>
    <x v="2"/>
    <x v="1"/>
    <s v="Bangalore"/>
    <x v="1"/>
    <n v="87"/>
    <n v="60"/>
    <n v="33"/>
    <n v="114"/>
    <n v="91"/>
    <n v="2898.87"/>
    <n v="4"/>
    <n v="0"/>
    <x v="1"/>
    <x v="1"/>
    <x v="0"/>
    <n v="330471.18"/>
  </r>
  <r>
    <s v="ORD00452"/>
    <d v="2026-11-10T00:00:00"/>
    <x v="19"/>
    <x v="2"/>
    <x v="0"/>
    <s v="Mumbai"/>
    <x v="0"/>
    <n v="88"/>
    <n v="33"/>
    <n v="31"/>
    <n v="90"/>
    <n v="56"/>
    <n v="1357.86"/>
    <n v="6"/>
    <n v="0"/>
    <x v="1"/>
    <x v="1"/>
    <x v="0"/>
    <n v="122207.4"/>
  </r>
  <r>
    <s v="ORD00453"/>
    <d v="2026-07-11T00:00:00"/>
    <x v="1"/>
    <x v="1"/>
    <x v="2"/>
    <s v="Bangalore"/>
    <x v="1"/>
    <n v="131"/>
    <n v="30"/>
    <n v="103"/>
    <n v="58"/>
    <n v="94"/>
    <n v="1293.92"/>
    <n v="6"/>
    <n v="8"/>
    <x v="1"/>
    <x v="0"/>
    <x v="2"/>
    <n v="75047.360000000001"/>
  </r>
  <r>
    <s v="ORD00454"/>
    <d v="2026-12-10T00:00:00"/>
    <x v="2"/>
    <x v="1"/>
    <x v="3"/>
    <s v="Kolkata"/>
    <x v="3"/>
    <n v="75"/>
    <n v="40"/>
    <n v="39"/>
    <n v="76"/>
    <n v="59"/>
    <n v="2175.4699999999998"/>
    <n v="10"/>
    <n v="0"/>
    <x v="1"/>
    <x v="1"/>
    <x v="0"/>
    <n v="165335.71999999997"/>
  </r>
  <r>
    <s v="ORD00455"/>
    <d v="2026-07-27T00:00:00"/>
    <x v="1"/>
    <x v="1"/>
    <x v="4"/>
    <s v="Mumbai"/>
    <x v="0"/>
    <n v="152"/>
    <n v="130"/>
    <n v="93"/>
    <n v="189"/>
    <n v="76"/>
    <n v="1348.84"/>
    <n v="8"/>
    <n v="0"/>
    <x v="1"/>
    <x v="2"/>
    <x v="0"/>
    <n v="254930.75999999998"/>
  </r>
  <r>
    <s v="ORD00456"/>
    <d v="2026-09-24T00:00:00"/>
    <x v="3"/>
    <x v="0"/>
    <x v="0"/>
    <s v="Kolkata"/>
    <x v="3"/>
    <n v="196"/>
    <n v="115"/>
    <n v="88"/>
    <n v="223"/>
    <n v="83"/>
    <n v="906.51"/>
    <n v="7"/>
    <n v="0"/>
    <x v="1"/>
    <x v="2"/>
    <x v="2"/>
    <n v="202151.73"/>
  </r>
  <r>
    <s v="ORD00457"/>
    <d v="2026-11-19T00:00:00"/>
    <x v="3"/>
    <x v="0"/>
    <x v="3"/>
    <s v="Bangalore"/>
    <x v="1"/>
    <n v="102"/>
    <n v="86"/>
    <n v="83"/>
    <n v="105"/>
    <n v="70"/>
    <n v="987.09"/>
    <n v="2"/>
    <n v="0"/>
    <x v="1"/>
    <x v="1"/>
    <x v="0"/>
    <n v="103644.45"/>
  </r>
  <r>
    <s v="ORD00458"/>
    <d v="2026-09-22T00:00:00"/>
    <x v="17"/>
    <x v="0"/>
    <x v="0"/>
    <s v="Kolkata"/>
    <x v="3"/>
    <n v="141"/>
    <n v="58"/>
    <n v="51"/>
    <n v="148"/>
    <n v="74"/>
    <n v="1306.6199999999999"/>
    <n v="4"/>
    <n v="0"/>
    <x v="1"/>
    <x v="1"/>
    <x v="0"/>
    <n v="193379.75999999998"/>
  </r>
  <r>
    <s v="ORD00459"/>
    <d v="2026-04-02T00:00:00"/>
    <x v="2"/>
    <x v="1"/>
    <x v="3"/>
    <s v="Bangalore"/>
    <x v="1"/>
    <n v="168"/>
    <n v="34"/>
    <n v="38"/>
    <n v="164"/>
    <n v="94"/>
    <n v="2441.0100000000002"/>
    <n v="11"/>
    <n v="0"/>
    <x v="0"/>
    <x v="1"/>
    <x v="0"/>
    <n v="400325.64"/>
  </r>
  <r>
    <s v="ORD00460"/>
    <d v="2026-12-28T00:00:00"/>
    <x v="11"/>
    <x v="3"/>
    <x v="3"/>
    <s v="Bangalore"/>
    <x v="1"/>
    <n v="104"/>
    <n v="61"/>
    <n v="103"/>
    <n v="62"/>
    <n v="86"/>
    <n v="2379.15"/>
    <n v="8"/>
    <n v="2"/>
    <x v="0"/>
    <x v="1"/>
    <x v="0"/>
    <n v="147507.30000000002"/>
  </r>
  <r>
    <s v="ORD00461"/>
    <d v="2026-10-17T00:00:00"/>
    <x v="5"/>
    <x v="3"/>
    <x v="4"/>
    <s v="Kolkata"/>
    <x v="3"/>
    <n v="170"/>
    <n v="98"/>
    <n v="35"/>
    <n v="233"/>
    <n v="69"/>
    <n v="1313.09"/>
    <n v="2"/>
    <n v="0"/>
    <x v="1"/>
    <x v="2"/>
    <x v="1"/>
    <n v="305949.96999999997"/>
  </r>
  <r>
    <s v="ORD00462"/>
    <d v="2026-03-09T00:00:00"/>
    <x v="1"/>
    <x v="1"/>
    <x v="2"/>
    <s v="Mumbai"/>
    <x v="0"/>
    <n v="53"/>
    <n v="73"/>
    <n v="54"/>
    <n v="72"/>
    <n v="64"/>
    <n v="1359.84"/>
    <n v="5"/>
    <n v="0"/>
    <x v="1"/>
    <x v="1"/>
    <x v="0"/>
    <n v="97908.479999999996"/>
  </r>
  <r>
    <s v="ORD00463"/>
    <d v="2026-10-29T00:00:00"/>
    <x v="9"/>
    <x v="1"/>
    <x v="1"/>
    <s v="Delhi"/>
    <x v="2"/>
    <n v="43"/>
    <n v="78"/>
    <n v="78"/>
    <n v="43"/>
    <n v="99"/>
    <n v="699.81"/>
    <n v="8"/>
    <n v="8"/>
    <x v="0"/>
    <x v="0"/>
    <x v="0"/>
    <n v="30091.829999999998"/>
  </r>
  <r>
    <s v="ORD00464"/>
    <d v="2026-04-17T00:00:00"/>
    <x v="7"/>
    <x v="3"/>
    <x v="3"/>
    <s v="Kolkata"/>
    <x v="3"/>
    <n v="60"/>
    <n v="96"/>
    <n v="91"/>
    <n v="65"/>
    <n v="45"/>
    <n v="948.94"/>
    <n v="6"/>
    <n v="0"/>
    <x v="1"/>
    <x v="1"/>
    <x v="0"/>
    <n v="61681.100000000006"/>
  </r>
  <r>
    <s v="ORD00465"/>
    <d v="2026-06-19T00:00:00"/>
    <x v="17"/>
    <x v="0"/>
    <x v="2"/>
    <s v="Bangalore"/>
    <x v="1"/>
    <n v="207"/>
    <n v="64"/>
    <n v="19"/>
    <n v="252"/>
    <n v="54"/>
    <n v="1499.07"/>
    <n v="7"/>
    <n v="0"/>
    <x v="1"/>
    <x v="2"/>
    <x v="0"/>
    <n v="377765.63999999996"/>
  </r>
  <r>
    <s v="ORD00466"/>
    <d v="2026-07-04T00:00:00"/>
    <x v="0"/>
    <x v="0"/>
    <x v="4"/>
    <s v="Kolkata"/>
    <x v="3"/>
    <n v="85"/>
    <n v="40"/>
    <n v="101"/>
    <n v="24"/>
    <n v="63"/>
    <n v="1839.99"/>
    <n v="11"/>
    <n v="7"/>
    <x v="0"/>
    <x v="0"/>
    <x v="2"/>
    <n v="44159.76"/>
  </r>
  <r>
    <s v="ORD00467"/>
    <d v="2026-03-04T00:00:00"/>
    <x v="0"/>
    <x v="0"/>
    <x v="0"/>
    <s v="Delhi"/>
    <x v="2"/>
    <n v="134"/>
    <n v="68"/>
    <n v="23"/>
    <n v="179"/>
    <n v="93"/>
    <n v="1773.84"/>
    <n v="6"/>
    <n v="0"/>
    <x v="0"/>
    <x v="1"/>
    <x v="0"/>
    <n v="317517.36"/>
  </r>
  <r>
    <s v="ORD00468"/>
    <d v="2026-09-28T00:00:00"/>
    <x v="4"/>
    <x v="2"/>
    <x v="1"/>
    <s v="Kolkata"/>
    <x v="3"/>
    <n v="174"/>
    <n v="46"/>
    <n v="104"/>
    <n v="116"/>
    <n v="58"/>
    <n v="817.93"/>
    <n v="2"/>
    <n v="0"/>
    <x v="1"/>
    <x v="1"/>
    <x v="3"/>
    <n v="94879.87999999999"/>
  </r>
  <r>
    <s v="ORD00469"/>
    <d v="2026-10-16T00:00:00"/>
    <x v="3"/>
    <x v="0"/>
    <x v="1"/>
    <s v="Delhi"/>
    <x v="2"/>
    <n v="149"/>
    <n v="97"/>
    <n v="55"/>
    <n v="191"/>
    <n v="61"/>
    <n v="904.57"/>
    <n v="6"/>
    <n v="0"/>
    <x v="1"/>
    <x v="2"/>
    <x v="0"/>
    <n v="172772.87"/>
  </r>
  <r>
    <s v="ORD00470"/>
    <d v="2026-03-02T00:00:00"/>
    <x v="7"/>
    <x v="3"/>
    <x v="3"/>
    <s v="Mumbai"/>
    <x v="0"/>
    <n v="196"/>
    <n v="49"/>
    <n v="105"/>
    <n v="140"/>
    <n v="63"/>
    <n v="1095.8499999999999"/>
    <n v="2"/>
    <n v="0"/>
    <x v="0"/>
    <x v="2"/>
    <x v="0"/>
    <n v="153419"/>
  </r>
  <r>
    <s v="ORD00471"/>
    <d v="2026-06-07T00:00:00"/>
    <x v="2"/>
    <x v="1"/>
    <x v="3"/>
    <s v="Bangalore"/>
    <x v="1"/>
    <n v="125"/>
    <n v="64"/>
    <n v="86"/>
    <n v="103"/>
    <n v="96"/>
    <n v="2466"/>
    <n v="6"/>
    <n v="0"/>
    <x v="0"/>
    <x v="1"/>
    <x v="2"/>
    <n v="253998"/>
  </r>
  <r>
    <s v="ORD00472"/>
    <d v="2026-04-10T00:00:00"/>
    <x v="4"/>
    <x v="2"/>
    <x v="4"/>
    <s v="Bangalore"/>
    <x v="1"/>
    <n v="215"/>
    <n v="62"/>
    <n v="58"/>
    <n v="219"/>
    <n v="70"/>
    <n v="835.9"/>
    <n v="6"/>
    <n v="0"/>
    <x v="1"/>
    <x v="2"/>
    <x v="1"/>
    <n v="183062.1"/>
  </r>
  <r>
    <s v="ORD00473"/>
    <d v="2026-06-21T00:00:00"/>
    <x v="4"/>
    <x v="2"/>
    <x v="3"/>
    <s v="Kolkata"/>
    <x v="3"/>
    <n v="49"/>
    <n v="102"/>
    <n v="32"/>
    <n v="119"/>
    <n v="75"/>
    <n v="744.86"/>
    <n v="5"/>
    <n v="0"/>
    <x v="1"/>
    <x v="1"/>
    <x v="0"/>
    <n v="88638.34"/>
  </r>
  <r>
    <s v="ORD00474"/>
    <d v="2026-07-01T00:00:00"/>
    <x v="7"/>
    <x v="3"/>
    <x v="4"/>
    <s v="Delhi"/>
    <x v="2"/>
    <n v="184"/>
    <n v="112"/>
    <n v="101"/>
    <n v="195"/>
    <n v="65"/>
    <n v="1011.04"/>
    <n v="2"/>
    <n v="0"/>
    <x v="1"/>
    <x v="2"/>
    <x v="2"/>
    <n v="197152.8"/>
  </r>
  <r>
    <s v="ORD00475"/>
    <d v="2026-03-01T00:00:00"/>
    <x v="17"/>
    <x v="0"/>
    <x v="0"/>
    <s v="Bangalore"/>
    <x v="1"/>
    <n v="126"/>
    <n v="68"/>
    <n v="95"/>
    <n v="99"/>
    <n v="79"/>
    <n v="1495.87"/>
    <n v="6"/>
    <n v="0"/>
    <x v="1"/>
    <x v="1"/>
    <x v="0"/>
    <n v="148091.12999999998"/>
  </r>
  <r>
    <s v="ORD00476"/>
    <d v="2026-06-04T00:00:00"/>
    <x v="4"/>
    <x v="2"/>
    <x v="4"/>
    <s v="Delhi"/>
    <x v="2"/>
    <n v="145"/>
    <n v="31"/>
    <n v="78"/>
    <n v="98"/>
    <n v="60"/>
    <n v="779.45"/>
    <n v="8"/>
    <n v="0"/>
    <x v="1"/>
    <x v="1"/>
    <x v="0"/>
    <n v="76386.100000000006"/>
  </r>
  <r>
    <s v="ORD00477"/>
    <d v="2026-09-05T00:00:00"/>
    <x v="9"/>
    <x v="1"/>
    <x v="0"/>
    <s v="Bangalore"/>
    <x v="1"/>
    <n v="91"/>
    <n v="31"/>
    <n v="71"/>
    <n v="51"/>
    <n v="77"/>
    <n v="633.49"/>
    <n v="5"/>
    <n v="3"/>
    <x v="1"/>
    <x v="1"/>
    <x v="0"/>
    <n v="32307.99"/>
  </r>
  <r>
    <s v="ORD00478"/>
    <d v="2026-09-25T00:00:00"/>
    <x v="6"/>
    <x v="4"/>
    <x v="0"/>
    <s v="Mumbai"/>
    <x v="0"/>
    <n v="65"/>
    <n v="125"/>
    <n v="81"/>
    <n v="109"/>
    <n v="88"/>
    <n v="714.05"/>
    <n v="3"/>
    <n v="0"/>
    <x v="1"/>
    <x v="1"/>
    <x v="0"/>
    <n v="77831.45"/>
  </r>
  <r>
    <s v="ORD00479"/>
    <d v="2026-12-04T00:00:00"/>
    <x v="0"/>
    <x v="0"/>
    <x v="0"/>
    <s v="Bangalore"/>
    <x v="1"/>
    <n v="215"/>
    <n v="128"/>
    <n v="91"/>
    <n v="252"/>
    <n v="100"/>
    <n v="1651.35"/>
    <n v="5"/>
    <n v="0"/>
    <x v="1"/>
    <x v="2"/>
    <x v="0"/>
    <n v="416140.19999999995"/>
  </r>
  <r>
    <s v="ORD00480"/>
    <d v="2026-12-10T00:00:00"/>
    <x v="18"/>
    <x v="2"/>
    <x v="1"/>
    <s v="Delhi"/>
    <x v="2"/>
    <n v="203"/>
    <n v="46"/>
    <n v="56"/>
    <n v="193"/>
    <n v="57"/>
    <n v="3003.23"/>
    <n v="4"/>
    <n v="0"/>
    <x v="1"/>
    <x v="2"/>
    <x v="2"/>
    <n v="579623.39"/>
  </r>
  <r>
    <s v="ORD00481"/>
    <d v="2026-06-13T00:00:00"/>
    <x v="16"/>
    <x v="0"/>
    <x v="2"/>
    <s v="Mumbai"/>
    <x v="0"/>
    <n v="110"/>
    <n v="34"/>
    <n v="16"/>
    <n v="128"/>
    <n v="84"/>
    <n v="1214.31"/>
    <n v="2"/>
    <n v="0"/>
    <x v="1"/>
    <x v="1"/>
    <x v="0"/>
    <n v="155431.67999999999"/>
  </r>
  <r>
    <s v="ORD00482"/>
    <d v="2026-12-12T00:00:00"/>
    <x v="13"/>
    <x v="2"/>
    <x v="0"/>
    <s v="Mumbai"/>
    <x v="0"/>
    <n v="83"/>
    <n v="29"/>
    <n v="54"/>
    <n v="58"/>
    <n v="84"/>
    <n v="1186.29"/>
    <n v="6"/>
    <n v="3"/>
    <x v="1"/>
    <x v="1"/>
    <x v="0"/>
    <n v="68804.819999999992"/>
  </r>
  <r>
    <s v="ORD00483"/>
    <d v="2026-08-17T00:00:00"/>
    <x v="0"/>
    <x v="0"/>
    <x v="3"/>
    <s v="Bangalore"/>
    <x v="1"/>
    <n v="62"/>
    <n v="74"/>
    <n v="65"/>
    <n v="71"/>
    <n v="56"/>
    <n v="1873.68"/>
    <n v="6"/>
    <n v="0"/>
    <x v="1"/>
    <x v="1"/>
    <x v="2"/>
    <n v="133031.28"/>
  </r>
  <r>
    <s v="ORD00484"/>
    <d v="2026-02-17T00:00:00"/>
    <x v="6"/>
    <x v="4"/>
    <x v="0"/>
    <s v="Delhi"/>
    <x v="2"/>
    <n v="90"/>
    <n v="111"/>
    <n v="100"/>
    <n v="101"/>
    <n v="96"/>
    <n v="654.35"/>
    <n v="8"/>
    <n v="0"/>
    <x v="1"/>
    <x v="1"/>
    <x v="0"/>
    <n v="66089.350000000006"/>
  </r>
  <r>
    <s v="ORD00485"/>
    <d v="2026-11-12T00:00:00"/>
    <x v="8"/>
    <x v="3"/>
    <x v="3"/>
    <s v="Delhi"/>
    <x v="2"/>
    <n v="215"/>
    <n v="102"/>
    <n v="105"/>
    <n v="212"/>
    <n v="94"/>
    <n v="2780.62"/>
    <n v="3"/>
    <n v="0"/>
    <x v="1"/>
    <x v="2"/>
    <x v="0"/>
    <n v="589491.43999999994"/>
  </r>
  <r>
    <s v="ORD00486"/>
    <d v="2026-09-01T00:00:00"/>
    <x v="4"/>
    <x v="2"/>
    <x v="3"/>
    <s v="Mumbai"/>
    <x v="0"/>
    <n v="219"/>
    <n v="105"/>
    <n v="57"/>
    <n v="267"/>
    <n v="95"/>
    <n v="857.73"/>
    <n v="4"/>
    <n v="0"/>
    <x v="1"/>
    <x v="2"/>
    <x v="0"/>
    <n v="229013.91"/>
  </r>
  <r>
    <s v="ORD00487"/>
    <d v="2026-11-29T00:00:00"/>
    <x v="16"/>
    <x v="0"/>
    <x v="3"/>
    <s v="Kolkata"/>
    <x v="3"/>
    <n v="83"/>
    <n v="56"/>
    <n v="59"/>
    <n v="80"/>
    <n v="83"/>
    <n v="1217.92"/>
    <n v="6"/>
    <n v="2"/>
    <x v="0"/>
    <x v="1"/>
    <x v="0"/>
    <n v="97433.600000000006"/>
  </r>
  <r>
    <s v="ORD00488"/>
    <d v="2026-02-03T00:00:00"/>
    <x v="16"/>
    <x v="0"/>
    <x v="1"/>
    <s v="Kolkata"/>
    <x v="3"/>
    <n v="142"/>
    <n v="95"/>
    <n v="67"/>
    <n v="170"/>
    <n v="60"/>
    <n v="1229.01"/>
    <n v="6"/>
    <n v="0"/>
    <x v="0"/>
    <x v="2"/>
    <x v="0"/>
    <n v="208931.7"/>
  </r>
  <r>
    <s v="ORD00489"/>
    <d v="2026-12-31T00:00:00"/>
    <x v="13"/>
    <x v="2"/>
    <x v="1"/>
    <s v="Kolkata"/>
    <x v="3"/>
    <n v="151"/>
    <n v="92"/>
    <n v="58"/>
    <n v="185"/>
    <n v="79"/>
    <n v="1142.71"/>
    <n v="3"/>
    <n v="0"/>
    <x v="1"/>
    <x v="2"/>
    <x v="0"/>
    <n v="211401.35"/>
  </r>
  <r>
    <s v="ORD00490"/>
    <d v="2026-02-25T00:00:00"/>
    <x v="10"/>
    <x v="4"/>
    <x v="4"/>
    <s v="Kolkata"/>
    <x v="3"/>
    <n v="123"/>
    <n v="91"/>
    <n v="27"/>
    <n v="187"/>
    <n v="97"/>
    <n v="593.42999999999995"/>
    <n v="4"/>
    <n v="0"/>
    <x v="1"/>
    <x v="1"/>
    <x v="0"/>
    <n v="110971.40999999999"/>
  </r>
  <r>
    <s v="ORD00491"/>
    <d v="2026-11-22T00:00:00"/>
    <x v="10"/>
    <x v="4"/>
    <x v="0"/>
    <s v="Kolkata"/>
    <x v="3"/>
    <n v="205"/>
    <n v="104"/>
    <n v="22"/>
    <n v="287"/>
    <n v="50"/>
    <n v="566.11"/>
    <n v="3"/>
    <n v="0"/>
    <x v="1"/>
    <x v="2"/>
    <x v="1"/>
    <n v="162473.57"/>
  </r>
  <r>
    <s v="ORD00492"/>
    <d v="2026-06-03T00:00:00"/>
    <x v="17"/>
    <x v="0"/>
    <x v="2"/>
    <s v="Kolkata"/>
    <x v="3"/>
    <n v="176"/>
    <n v="57"/>
    <n v="64"/>
    <n v="169"/>
    <n v="84"/>
    <n v="1421.82"/>
    <n v="3"/>
    <n v="0"/>
    <x v="1"/>
    <x v="1"/>
    <x v="1"/>
    <n v="240287.58"/>
  </r>
  <r>
    <s v="ORD00493"/>
    <d v="2026-02-01T00:00:00"/>
    <x v="6"/>
    <x v="4"/>
    <x v="3"/>
    <s v="Delhi"/>
    <x v="2"/>
    <n v="62"/>
    <n v="94"/>
    <n v="16"/>
    <n v="140"/>
    <n v="84"/>
    <n v="713.23"/>
    <n v="5"/>
    <n v="0"/>
    <x v="1"/>
    <x v="1"/>
    <x v="1"/>
    <n v="99852.2"/>
  </r>
  <r>
    <s v="ORD00494"/>
    <d v="2026-06-12T00:00:00"/>
    <x v="18"/>
    <x v="2"/>
    <x v="4"/>
    <s v="Delhi"/>
    <x v="2"/>
    <n v="68"/>
    <n v="130"/>
    <n v="51"/>
    <n v="147"/>
    <n v="100"/>
    <n v="2899.96"/>
    <n v="5"/>
    <n v="0"/>
    <x v="1"/>
    <x v="1"/>
    <x v="0"/>
    <n v="426294.12"/>
  </r>
  <r>
    <s v="ORD00495"/>
    <d v="2026-07-04T00:00:00"/>
    <x v="7"/>
    <x v="3"/>
    <x v="3"/>
    <s v="Kolkata"/>
    <x v="3"/>
    <n v="179"/>
    <n v="47"/>
    <n v="99"/>
    <n v="127"/>
    <n v="56"/>
    <n v="994.97"/>
    <n v="3"/>
    <n v="0"/>
    <x v="1"/>
    <x v="2"/>
    <x v="1"/>
    <n v="126361.19"/>
  </r>
  <r>
    <s v="ORD00496"/>
    <d v="2026-03-11T00:00:00"/>
    <x v="11"/>
    <x v="3"/>
    <x v="0"/>
    <s v="Mumbai"/>
    <x v="0"/>
    <n v="74"/>
    <n v="21"/>
    <n v="24"/>
    <n v="71"/>
    <n v="86"/>
    <n v="1986.91"/>
    <n v="7"/>
    <n v="7"/>
    <x v="1"/>
    <x v="1"/>
    <x v="3"/>
    <n v="141070.61000000002"/>
  </r>
  <r>
    <s v="ORD00497"/>
    <d v="2026-07-16T00:00:00"/>
    <x v="17"/>
    <x v="0"/>
    <x v="3"/>
    <s v="Kolkata"/>
    <x v="3"/>
    <n v="218"/>
    <n v="97"/>
    <n v="69"/>
    <n v="246"/>
    <n v="84"/>
    <n v="1310.3399999999999"/>
    <n v="6"/>
    <n v="0"/>
    <x v="1"/>
    <x v="2"/>
    <x v="1"/>
    <n v="322343.63999999996"/>
  </r>
  <r>
    <s v="ORD00498"/>
    <d v="2026-10-07T00:00:00"/>
    <x v="13"/>
    <x v="2"/>
    <x v="2"/>
    <s v="Kolkata"/>
    <x v="3"/>
    <n v="194"/>
    <n v="20"/>
    <n v="88"/>
    <n v="126"/>
    <n v="76"/>
    <n v="1176.3"/>
    <n v="3"/>
    <n v="0"/>
    <x v="1"/>
    <x v="1"/>
    <x v="0"/>
    <n v="148213.79999999999"/>
  </r>
  <r>
    <s v="ORD00499"/>
    <d v="2026-09-27T00:00:00"/>
    <x v="6"/>
    <x v="4"/>
    <x v="4"/>
    <s v="Bangalore"/>
    <x v="1"/>
    <n v="185"/>
    <n v="81"/>
    <n v="105"/>
    <n v="161"/>
    <n v="68"/>
    <n v="599.71"/>
    <n v="5"/>
    <n v="0"/>
    <x v="1"/>
    <x v="2"/>
    <x v="0"/>
    <n v="96553.310000000012"/>
  </r>
  <r>
    <s v="ORD00500"/>
    <d v="2026-12-17T00:00:00"/>
    <x v="19"/>
    <x v="2"/>
    <x v="1"/>
    <s v="Bangalore"/>
    <x v="1"/>
    <n v="173"/>
    <n v="98"/>
    <n v="26"/>
    <n v="245"/>
    <n v="60"/>
    <n v="1491.74"/>
    <n v="7"/>
    <n v="0"/>
    <x v="1"/>
    <x v="2"/>
    <x v="0"/>
    <n v="365476.3"/>
  </r>
  <r>
    <s v="ORD00501"/>
    <d v="2026-06-30T00:00:00"/>
    <x v="6"/>
    <x v="4"/>
    <x v="1"/>
    <s v="Bangalore"/>
    <x v="1"/>
    <n v="127"/>
    <n v="88"/>
    <n v="16"/>
    <n v="199"/>
    <n v="75"/>
    <n v="644.02"/>
    <n v="5"/>
    <n v="0"/>
    <x v="1"/>
    <x v="2"/>
    <x v="0"/>
    <n v="128159.98"/>
  </r>
  <r>
    <s v="ORD00502"/>
    <d v="2026-10-24T00:00:00"/>
    <x v="4"/>
    <x v="2"/>
    <x v="2"/>
    <s v="Bangalore"/>
    <x v="1"/>
    <n v="217"/>
    <n v="96"/>
    <n v="110"/>
    <n v="203"/>
    <n v="64"/>
    <n v="836.32"/>
    <n v="6"/>
    <n v="0"/>
    <x v="1"/>
    <x v="2"/>
    <x v="0"/>
    <n v="169772.96000000002"/>
  </r>
  <r>
    <s v="ORD00503"/>
    <d v="2026-11-12T00:00:00"/>
    <x v="9"/>
    <x v="1"/>
    <x v="0"/>
    <s v="Bangalore"/>
    <x v="1"/>
    <n v="113"/>
    <n v="82"/>
    <n v="25"/>
    <n v="170"/>
    <n v="53"/>
    <n v="700.78"/>
    <n v="8"/>
    <n v="0"/>
    <x v="1"/>
    <x v="2"/>
    <x v="0"/>
    <n v="119132.59999999999"/>
  </r>
  <r>
    <s v="ORD00504"/>
    <d v="2026-05-14T00:00:00"/>
    <x v="4"/>
    <x v="2"/>
    <x v="0"/>
    <s v="Bangalore"/>
    <x v="1"/>
    <n v="68"/>
    <n v="97"/>
    <n v="37"/>
    <n v="128"/>
    <n v="82"/>
    <n v="838.23"/>
    <n v="7"/>
    <n v="0"/>
    <x v="1"/>
    <x v="1"/>
    <x v="1"/>
    <n v="107293.44"/>
  </r>
  <r>
    <s v="ORD00505"/>
    <d v="2026-07-31T00:00:00"/>
    <x v="2"/>
    <x v="1"/>
    <x v="2"/>
    <s v="Bangalore"/>
    <x v="1"/>
    <n v="127"/>
    <n v="30"/>
    <n v="33"/>
    <n v="124"/>
    <n v="83"/>
    <n v="2608.29"/>
    <n v="3"/>
    <n v="0"/>
    <x v="1"/>
    <x v="1"/>
    <x v="2"/>
    <n v="323427.96000000002"/>
  </r>
  <r>
    <s v="ORD00506"/>
    <d v="2026-08-26T00:00:00"/>
    <x v="11"/>
    <x v="3"/>
    <x v="3"/>
    <s v="Mumbai"/>
    <x v="0"/>
    <n v="93"/>
    <n v="93"/>
    <n v="108"/>
    <n v="78"/>
    <n v="98"/>
    <n v="2131.83"/>
    <n v="7"/>
    <n v="2"/>
    <x v="1"/>
    <x v="1"/>
    <x v="0"/>
    <n v="166282.74"/>
  </r>
  <r>
    <s v="ORD00507"/>
    <d v="2026-08-11T00:00:00"/>
    <x v="7"/>
    <x v="3"/>
    <x v="0"/>
    <s v="Kolkata"/>
    <x v="3"/>
    <n v="176"/>
    <n v="49"/>
    <n v="63"/>
    <n v="162"/>
    <n v="88"/>
    <n v="1041.1199999999999"/>
    <n v="5"/>
    <n v="0"/>
    <x v="1"/>
    <x v="1"/>
    <x v="0"/>
    <n v="168661.43999999997"/>
  </r>
  <r>
    <s v="ORD00508"/>
    <d v="2026-08-10T00:00:00"/>
    <x v="16"/>
    <x v="0"/>
    <x v="3"/>
    <s v="Kolkata"/>
    <x v="3"/>
    <n v="213"/>
    <n v="60"/>
    <n v="82"/>
    <n v="191"/>
    <n v="88"/>
    <n v="1309.4100000000001"/>
    <n v="2"/>
    <n v="0"/>
    <x v="1"/>
    <x v="1"/>
    <x v="0"/>
    <n v="250097.31000000003"/>
  </r>
  <r>
    <s v="ORD00509"/>
    <d v="2026-05-04T00:00:00"/>
    <x v="6"/>
    <x v="4"/>
    <x v="0"/>
    <s v="Delhi"/>
    <x v="2"/>
    <n v="108"/>
    <n v="122"/>
    <n v="27"/>
    <n v="203"/>
    <n v="61"/>
    <n v="670.06"/>
    <n v="5"/>
    <n v="0"/>
    <x v="1"/>
    <x v="2"/>
    <x v="0"/>
    <n v="136022.18"/>
  </r>
  <r>
    <s v="ORD00510"/>
    <d v="2026-07-30T00:00:00"/>
    <x v="15"/>
    <x v="4"/>
    <x v="1"/>
    <s v="Delhi"/>
    <x v="2"/>
    <n v="213"/>
    <n v="108"/>
    <n v="38"/>
    <n v="283"/>
    <n v="65"/>
    <n v="454.29"/>
    <n v="7"/>
    <n v="0"/>
    <x v="0"/>
    <x v="2"/>
    <x v="0"/>
    <n v="128564.07"/>
  </r>
  <r>
    <s v="ORD00511"/>
    <d v="2026-11-01T00:00:00"/>
    <x v="0"/>
    <x v="0"/>
    <x v="3"/>
    <s v="Delhi"/>
    <x v="2"/>
    <n v="96"/>
    <n v="112"/>
    <n v="51"/>
    <n v="157"/>
    <n v="61"/>
    <n v="1689.51"/>
    <n v="2"/>
    <n v="0"/>
    <x v="1"/>
    <x v="2"/>
    <x v="0"/>
    <n v="265253.07"/>
  </r>
  <r>
    <s v="ORD00512"/>
    <d v="2026-02-26T00:00:00"/>
    <x v="9"/>
    <x v="1"/>
    <x v="4"/>
    <s v="Bangalore"/>
    <x v="1"/>
    <n v="194"/>
    <n v="36"/>
    <n v="63"/>
    <n v="167"/>
    <n v="87"/>
    <n v="736.94"/>
    <n v="7"/>
    <n v="0"/>
    <x v="1"/>
    <x v="1"/>
    <x v="3"/>
    <n v="123068.98000000001"/>
  </r>
  <r>
    <s v="ORD00513"/>
    <d v="2026-12-08T00:00:00"/>
    <x v="14"/>
    <x v="1"/>
    <x v="0"/>
    <s v="Kolkata"/>
    <x v="3"/>
    <n v="209"/>
    <n v="29"/>
    <n v="96"/>
    <n v="142"/>
    <n v="74"/>
    <n v="1735.26"/>
    <n v="4"/>
    <n v="0"/>
    <x v="1"/>
    <x v="1"/>
    <x v="2"/>
    <n v="246406.92"/>
  </r>
  <r>
    <s v="ORD00514"/>
    <d v="2026-04-02T00:00:00"/>
    <x v="4"/>
    <x v="2"/>
    <x v="2"/>
    <s v="Bangalore"/>
    <x v="1"/>
    <n v="110"/>
    <n v="119"/>
    <n v="22"/>
    <n v="207"/>
    <n v="69"/>
    <n v="782.17"/>
    <n v="2"/>
    <n v="0"/>
    <x v="1"/>
    <x v="2"/>
    <x v="1"/>
    <n v="161909.19"/>
  </r>
  <r>
    <s v="ORD00515"/>
    <d v="2026-11-11T00:00:00"/>
    <x v="8"/>
    <x v="3"/>
    <x v="3"/>
    <s v="Mumbai"/>
    <x v="0"/>
    <n v="196"/>
    <n v="70"/>
    <n v="37"/>
    <n v="229"/>
    <n v="86"/>
    <n v="2795.55"/>
    <n v="3"/>
    <n v="0"/>
    <x v="1"/>
    <x v="2"/>
    <x v="0"/>
    <n v="640180.95000000007"/>
  </r>
  <r>
    <s v="ORD00516"/>
    <d v="2026-11-24T00:00:00"/>
    <x v="3"/>
    <x v="0"/>
    <x v="0"/>
    <s v="Bangalore"/>
    <x v="1"/>
    <n v="48"/>
    <n v="29"/>
    <n v="24"/>
    <n v="53"/>
    <n v="81"/>
    <n v="940.96"/>
    <n v="8"/>
    <n v="8"/>
    <x v="1"/>
    <x v="1"/>
    <x v="0"/>
    <n v="49870.880000000005"/>
  </r>
  <r>
    <s v="ORD00517"/>
    <d v="2026-09-02T00:00:00"/>
    <x v="0"/>
    <x v="0"/>
    <x v="3"/>
    <s v="Delhi"/>
    <x v="2"/>
    <n v="78"/>
    <n v="109"/>
    <n v="57"/>
    <n v="130"/>
    <n v="70"/>
    <n v="1826.87"/>
    <n v="6"/>
    <n v="0"/>
    <x v="1"/>
    <x v="1"/>
    <x v="2"/>
    <n v="237493.09999999998"/>
  </r>
  <r>
    <s v="ORD00518"/>
    <d v="2026-06-05T00:00:00"/>
    <x v="7"/>
    <x v="3"/>
    <x v="4"/>
    <s v="Mumbai"/>
    <x v="0"/>
    <n v="40"/>
    <n v="69"/>
    <n v="103"/>
    <n v="6"/>
    <n v="97"/>
    <n v="1055.97"/>
    <n v="2"/>
    <n v="6"/>
    <x v="1"/>
    <x v="0"/>
    <x v="0"/>
    <n v="6335.82"/>
  </r>
  <r>
    <s v="ORD00519"/>
    <d v="2026-04-01T00:00:00"/>
    <x v="8"/>
    <x v="3"/>
    <x v="4"/>
    <s v="Delhi"/>
    <x v="2"/>
    <n v="176"/>
    <n v="129"/>
    <n v="58"/>
    <n v="247"/>
    <n v="50"/>
    <n v="2991.06"/>
    <n v="8"/>
    <n v="0"/>
    <x v="1"/>
    <x v="2"/>
    <x v="0"/>
    <n v="738791.82"/>
  </r>
  <r>
    <s v="ORD00520"/>
    <d v="2026-08-13T00:00:00"/>
    <x v="12"/>
    <x v="4"/>
    <x v="3"/>
    <s v="Mumbai"/>
    <x v="0"/>
    <n v="116"/>
    <n v="109"/>
    <n v="64"/>
    <n v="161"/>
    <n v="51"/>
    <n v="513.05999999999995"/>
    <n v="4"/>
    <n v="0"/>
    <x v="1"/>
    <x v="2"/>
    <x v="1"/>
    <n v="82602.659999999989"/>
  </r>
  <r>
    <s v="ORD00521"/>
    <d v="2026-09-13T00:00:00"/>
    <x v="1"/>
    <x v="1"/>
    <x v="4"/>
    <s v="Mumbai"/>
    <x v="0"/>
    <n v="46"/>
    <n v="112"/>
    <n v="90"/>
    <n v="68"/>
    <n v="60"/>
    <n v="1297.2"/>
    <n v="2"/>
    <n v="0"/>
    <x v="1"/>
    <x v="1"/>
    <x v="0"/>
    <n v="88209.600000000006"/>
  </r>
  <r>
    <s v="ORD00522"/>
    <d v="2026-10-02T00:00:00"/>
    <x v="10"/>
    <x v="4"/>
    <x v="4"/>
    <s v="Bangalore"/>
    <x v="1"/>
    <n v="126"/>
    <n v="27"/>
    <n v="58"/>
    <n v="95"/>
    <n v="95"/>
    <n v="626.52"/>
    <n v="5"/>
    <n v="8"/>
    <x v="0"/>
    <x v="1"/>
    <x v="3"/>
    <n v="59519.4"/>
  </r>
  <r>
    <s v="ORD00523"/>
    <d v="2026-03-08T00:00:00"/>
    <x v="1"/>
    <x v="1"/>
    <x v="4"/>
    <s v="Bangalore"/>
    <x v="1"/>
    <n v="76"/>
    <n v="82"/>
    <n v="98"/>
    <n v="60"/>
    <n v="46"/>
    <n v="1292.52"/>
    <n v="6"/>
    <n v="0"/>
    <x v="0"/>
    <x v="1"/>
    <x v="2"/>
    <n v="77551.199999999997"/>
  </r>
  <r>
    <s v="ORD00524"/>
    <d v="2026-11-01T00:00:00"/>
    <x v="17"/>
    <x v="0"/>
    <x v="4"/>
    <s v="Delhi"/>
    <x v="2"/>
    <n v="64"/>
    <n v="78"/>
    <n v="93"/>
    <n v="49"/>
    <n v="55"/>
    <n v="1493.9"/>
    <n v="2"/>
    <n v="2"/>
    <x v="1"/>
    <x v="1"/>
    <x v="0"/>
    <n v="73201.100000000006"/>
  </r>
  <r>
    <s v="ORD00525"/>
    <d v="2026-03-12T00:00:00"/>
    <x v="15"/>
    <x v="4"/>
    <x v="4"/>
    <s v="Mumbai"/>
    <x v="0"/>
    <n v="149"/>
    <n v="63"/>
    <n v="109"/>
    <n v="103"/>
    <n v="88"/>
    <n v="441.18"/>
    <n v="2"/>
    <n v="0"/>
    <x v="1"/>
    <x v="1"/>
    <x v="0"/>
    <n v="45441.54"/>
  </r>
  <r>
    <s v="ORD00526"/>
    <d v="2026-03-26T00:00:00"/>
    <x v="13"/>
    <x v="2"/>
    <x v="4"/>
    <s v="Mumbai"/>
    <x v="0"/>
    <n v="125"/>
    <n v="28"/>
    <n v="30"/>
    <n v="123"/>
    <n v="62"/>
    <n v="1021.07"/>
    <n v="5"/>
    <n v="0"/>
    <x v="0"/>
    <x v="1"/>
    <x v="0"/>
    <n v="125591.61"/>
  </r>
  <r>
    <s v="ORD00527"/>
    <d v="2026-01-04T00:00:00"/>
    <x v="11"/>
    <x v="3"/>
    <x v="1"/>
    <s v="Bangalore"/>
    <x v="1"/>
    <n v="74"/>
    <n v="32"/>
    <n v="95"/>
    <n v="11"/>
    <n v="84"/>
    <n v="2145.5"/>
    <n v="3"/>
    <n v="8"/>
    <x v="0"/>
    <x v="0"/>
    <x v="0"/>
    <n v="23600.5"/>
  </r>
  <r>
    <s v="ORD00528"/>
    <d v="2026-07-30T00:00:00"/>
    <x v="9"/>
    <x v="1"/>
    <x v="1"/>
    <s v="Delhi"/>
    <x v="2"/>
    <n v="146"/>
    <n v="108"/>
    <n v="75"/>
    <n v="179"/>
    <n v="89"/>
    <n v="647.76"/>
    <n v="3"/>
    <n v="0"/>
    <x v="1"/>
    <x v="1"/>
    <x v="0"/>
    <n v="115949.04"/>
  </r>
  <r>
    <s v="ORD00529"/>
    <d v="2026-06-28T00:00:00"/>
    <x v="1"/>
    <x v="1"/>
    <x v="1"/>
    <s v="Bangalore"/>
    <x v="1"/>
    <n v="192"/>
    <n v="43"/>
    <n v="106"/>
    <n v="129"/>
    <n v="76"/>
    <n v="1329.13"/>
    <n v="2"/>
    <n v="0"/>
    <x v="1"/>
    <x v="1"/>
    <x v="2"/>
    <n v="171457.77000000002"/>
  </r>
  <r>
    <s v="ORD00530"/>
    <d v="2026-11-17T00:00:00"/>
    <x v="8"/>
    <x v="3"/>
    <x v="1"/>
    <s v="Mumbai"/>
    <x v="0"/>
    <n v="89"/>
    <n v="35"/>
    <n v="82"/>
    <n v="42"/>
    <n v="51"/>
    <n v="2866.6"/>
    <n v="8"/>
    <n v="4"/>
    <x v="1"/>
    <x v="1"/>
    <x v="0"/>
    <n v="120397.2"/>
  </r>
  <r>
    <s v="ORD00531"/>
    <d v="2026-01-23T00:00:00"/>
    <x v="14"/>
    <x v="1"/>
    <x v="4"/>
    <s v="Mumbai"/>
    <x v="0"/>
    <n v="68"/>
    <n v="121"/>
    <n v="34"/>
    <n v="155"/>
    <n v="88"/>
    <n v="1710.01"/>
    <n v="5"/>
    <n v="0"/>
    <x v="1"/>
    <x v="1"/>
    <x v="0"/>
    <n v="265051.55"/>
  </r>
  <r>
    <s v="ORD00532"/>
    <d v="2026-01-27T00:00:00"/>
    <x v="16"/>
    <x v="0"/>
    <x v="0"/>
    <s v="Mumbai"/>
    <x v="0"/>
    <n v="151"/>
    <n v="52"/>
    <n v="57"/>
    <n v="146"/>
    <n v="84"/>
    <n v="1273.24"/>
    <n v="8"/>
    <n v="0"/>
    <x v="1"/>
    <x v="1"/>
    <x v="0"/>
    <n v="185893.04"/>
  </r>
  <r>
    <s v="ORD00533"/>
    <d v="2026-08-03T00:00:00"/>
    <x v="15"/>
    <x v="4"/>
    <x v="2"/>
    <s v="Bangalore"/>
    <x v="1"/>
    <n v="164"/>
    <n v="85"/>
    <n v="29"/>
    <n v="220"/>
    <n v="49"/>
    <n v="485.56"/>
    <n v="7"/>
    <n v="0"/>
    <x v="1"/>
    <x v="2"/>
    <x v="0"/>
    <n v="106823.2"/>
  </r>
  <r>
    <s v="ORD00534"/>
    <d v="2026-02-07T00:00:00"/>
    <x v="14"/>
    <x v="1"/>
    <x v="2"/>
    <s v="Bangalore"/>
    <x v="1"/>
    <n v="123"/>
    <n v="49"/>
    <n v="27"/>
    <n v="145"/>
    <n v="60"/>
    <n v="1676.08"/>
    <n v="8"/>
    <n v="0"/>
    <x v="1"/>
    <x v="2"/>
    <x v="1"/>
    <n v="243031.59999999998"/>
  </r>
  <r>
    <s v="ORD00535"/>
    <d v="2026-05-19T00:00:00"/>
    <x v="7"/>
    <x v="3"/>
    <x v="4"/>
    <s v="Kolkata"/>
    <x v="3"/>
    <n v="77"/>
    <n v="47"/>
    <n v="93"/>
    <n v="31"/>
    <n v="74"/>
    <n v="935.61"/>
    <n v="4"/>
    <n v="4"/>
    <x v="0"/>
    <x v="0"/>
    <x v="0"/>
    <n v="29003.91"/>
  </r>
  <r>
    <s v="ORD00536"/>
    <d v="2026-06-25T00:00:00"/>
    <x v="14"/>
    <x v="1"/>
    <x v="2"/>
    <s v="Bangalore"/>
    <x v="1"/>
    <n v="217"/>
    <n v="92"/>
    <n v="22"/>
    <n v="287"/>
    <n v="62"/>
    <n v="1483.68"/>
    <n v="8"/>
    <n v="0"/>
    <x v="1"/>
    <x v="2"/>
    <x v="0"/>
    <n v="425816.16000000003"/>
  </r>
  <r>
    <s v="ORD00537"/>
    <d v="2026-09-25T00:00:00"/>
    <x v="14"/>
    <x v="1"/>
    <x v="1"/>
    <s v="Mumbai"/>
    <x v="0"/>
    <n v="203"/>
    <n v="98"/>
    <n v="36"/>
    <n v="265"/>
    <n v="81"/>
    <n v="1750.44"/>
    <n v="8"/>
    <n v="0"/>
    <x v="1"/>
    <x v="2"/>
    <x v="0"/>
    <n v="463866.60000000003"/>
  </r>
  <r>
    <s v="ORD00538"/>
    <d v="2026-10-24T00:00:00"/>
    <x v="11"/>
    <x v="3"/>
    <x v="1"/>
    <s v="Kolkata"/>
    <x v="3"/>
    <n v="158"/>
    <n v="55"/>
    <n v="16"/>
    <n v="197"/>
    <n v="91"/>
    <n v="2168.37"/>
    <n v="8"/>
    <n v="0"/>
    <x v="1"/>
    <x v="1"/>
    <x v="0"/>
    <n v="427168.88999999996"/>
  </r>
  <r>
    <s v="ORD00539"/>
    <d v="2026-09-03T00:00:00"/>
    <x v="1"/>
    <x v="1"/>
    <x v="1"/>
    <s v="Bangalore"/>
    <x v="1"/>
    <n v="146"/>
    <n v="25"/>
    <n v="20"/>
    <n v="151"/>
    <n v="75"/>
    <n v="1360.7"/>
    <n v="6"/>
    <n v="0"/>
    <x v="0"/>
    <x v="1"/>
    <x v="0"/>
    <n v="205465.7"/>
  </r>
  <r>
    <s v="ORD00540"/>
    <d v="2026-11-28T00:00:00"/>
    <x v="3"/>
    <x v="0"/>
    <x v="3"/>
    <s v="Mumbai"/>
    <x v="0"/>
    <n v="61"/>
    <n v="91"/>
    <n v="16"/>
    <n v="136"/>
    <n v="89"/>
    <n v="941.72"/>
    <n v="3"/>
    <n v="0"/>
    <x v="0"/>
    <x v="1"/>
    <x v="0"/>
    <n v="128073.92"/>
  </r>
  <r>
    <s v="ORD00541"/>
    <d v="2026-03-12T00:00:00"/>
    <x v="0"/>
    <x v="0"/>
    <x v="3"/>
    <s v="Delhi"/>
    <x v="2"/>
    <n v="81"/>
    <n v="110"/>
    <n v="73"/>
    <n v="118"/>
    <n v="99"/>
    <n v="1825.34"/>
    <n v="6"/>
    <n v="0"/>
    <x v="0"/>
    <x v="1"/>
    <x v="0"/>
    <n v="215390.12"/>
  </r>
  <r>
    <s v="ORD00542"/>
    <d v="2026-01-17T00:00:00"/>
    <x v="11"/>
    <x v="3"/>
    <x v="0"/>
    <s v="Kolkata"/>
    <x v="3"/>
    <n v="220"/>
    <n v="101"/>
    <n v="15"/>
    <n v="306"/>
    <n v="100"/>
    <n v="2256.0100000000002"/>
    <n v="5"/>
    <n v="0"/>
    <x v="1"/>
    <x v="2"/>
    <x v="0"/>
    <n v="690339.06"/>
  </r>
  <r>
    <s v="ORD00543"/>
    <d v="2026-07-06T00:00:00"/>
    <x v="19"/>
    <x v="2"/>
    <x v="0"/>
    <s v="Mumbai"/>
    <x v="0"/>
    <n v="215"/>
    <n v="30"/>
    <n v="94"/>
    <n v="151"/>
    <n v="66"/>
    <n v="1570.73"/>
    <n v="2"/>
    <n v="0"/>
    <x v="1"/>
    <x v="2"/>
    <x v="1"/>
    <n v="237180.23"/>
  </r>
  <r>
    <s v="ORD00544"/>
    <d v="2026-12-30T00:00:00"/>
    <x v="0"/>
    <x v="0"/>
    <x v="3"/>
    <s v="Delhi"/>
    <x v="2"/>
    <n v="159"/>
    <n v="99"/>
    <n v="20"/>
    <n v="238"/>
    <n v="68"/>
    <n v="1751.92"/>
    <n v="7"/>
    <n v="0"/>
    <x v="1"/>
    <x v="2"/>
    <x v="0"/>
    <n v="416956.96"/>
  </r>
  <r>
    <s v="ORD00545"/>
    <d v="2026-04-26T00:00:00"/>
    <x v="1"/>
    <x v="1"/>
    <x v="0"/>
    <s v="Mumbai"/>
    <x v="0"/>
    <n v="178"/>
    <n v="34"/>
    <n v="98"/>
    <n v="114"/>
    <n v="75"/>
    <n v="1361.72"/>
    <n v="12"/>
    <n v="0"/>
    <x v="1"/>
    <x v="1"/>
    <x v="2"/>
    <n v="155236.08000000002"/>
  </r>
  <r>
    <s v="ORD00546"/>
    <d v="2026-08-29T00:00:00"/>
    <x v="4"/>
    <x v="2"/>
    <x v="0"/>
    <s v="Kolkata"/>
    <x v="3"/>
    <n v="110"/>
    <n v="26"/>
    <n v="23"/>
    <n v="113"/>
    <n v="68"/>
    <n v="775.24"/>
    <n v="5"/>
    <n v="0"/>
    <x v="1"/>
    <x v="1"/>
    <x v="1"/>
    <n v="87602.12"/>
  </r>
  <r>
    <s v="ORD00547"/>
    <d v="2026-04-02T00:00:00"/>
    <x v="6"/>
    <x v="4"/>
    <x v="3"/>
    <s v="Delhi"/>
    <x v="2"/>
    <n v="212"/>
    <n v="108"/>
    <n v="23"/>
    <n v="297"/>
    <n v="57"/>
    <n v="700.95"/>
    <n v="5"/>
    <n v="0"/>
    <x v="0"/>
    <x v="2"/>
    <x v="0"/>
    <n v="208182.15000000002"/>
  </r>
  <r>
    <s v="ORD00548"/>
    <d v="2026-12-16T00:00:00"/>
    <x v="18"/>
    <x v="2"/>
    <x v="4"/>
    <s v="Mumbai"/>
    <x v="0"/>
    <n v="110"/>
    <n v="34"/>
    <n v="104"/>
    <n v="40"/>
    <n v="54"/>
    <n v="3197.65"/>
    <n v="8"/>
    <n v="1"/>
    <x v="1"/>
    <x v="1"/>
    <x v="0"/>
    <n v="127906"/>
  </r>
  <r>
    <s v="ORD00549"/>
    <d v="2026-04-29T00:00:00"/>
    <x v="15"/>
    <x v="4"/>
    <x v="3"/>
    <s v="Delhi"/>
    <x v="2"/>
    <n v="147"/>
    <n v="76"/>
    <n v="109"/>
    <n v="114"/>
    <n v="86"/>
    <n v="406.93"/>
    <n v="3"/>
    <n v="0"/>
    <x v="0"/>
    <x v="1"/>
    <x v="1"/>
    <n v="46390.020000000004"/>
  </r>
  <r>
    <s v="ORD00550"/>
    <d v="2026-08-23T00:00:00"/>
    <x v="6"/>
    <x v="4"/>
    <x v="3"/>
    <s v="Delhi"/>
    <x v="2"/>
    <n v="207"/>
    <n v="102"/>
    <n v="56"/>
    <n v="253"/>
    <n v="76"/>
    <n v="662.14"/>
    <n v="7"/>
    <n v="0"/>
    <x v="1"/>
    <x v="2"/>
    <x v="0"/>
    <n v="167521.41999999998"/>
  </r>
  <r>
    <s v="ORD00551"/>
    <d v="2026-05-26T00:00:00"/>
    <x v="13"/>
    <x v="2"/>
    <x v="0"/>
    <s v="Mumbai"/>
    <x v="0"/>
    <n v="106"/>
    <n v="49"/>
    <n v="76"/>
    <n v="79"/>
    <n v="68"/>
    <n v="1203.56"/>
    <n v="8"/>
    <n v="0"/>
    <x v="1"/>
    <x v="1"/>
    <x v="0"/>
    <n v="95081.239999999991"/>
  </r>
  <r>
    <s v="ORD00552"/>
    <d v="2026-03-24T00:00:00"/>
    <x v="11"/>
    <x v="3"/>
    <x v="1"/>
    <s v="Mumbai"/>
    <x v="0"/>
    <n v="177"/>
    <n v="56"/>
    <n v="38"/>
    <n v="195"/>
    <n v="56"/>
    <n v="2349.31"/>
    <n v="7"/>
    <n v="0"/>
    <x v="1"/>
    <x v="2"/>
    <x v="2"/>
    <n v="458115.45"/>
  </r>
  <r>
    <s v="ORD00553"/>
    <d v="2026-06-12T00:00:00"/>
    <x v="9"/>
    <x v="1"/>
    <x v="4"/>
    <s v="Delhi"/>
    <x v="2"/>
    <n v="187"/>
    <n v="36"/>
    <n v="71"/>
    <n v="152"/>
    <n v="61"/>
    <n v="681.75"/>
    <n v="3"/>
    <n v="0"/>
    <x v="1"/>
    <x v="2"/>
    <x v="0"/>
    <n v="103626"/>
  </r>
  <r>
    <s v="ORD00554"/>
    <d v="2026-03-16T00:00:00"/>
    <x v="13"/>
    <x v="2"/>
    <x v="0"/>
    <s v="Kolkata"/>
    <x v="3"/>
    <n v="178"/>
    <n v="40"/>
    <n v="83"/>
    <n v="135"/>
    <n v="64"/>
    <n v="1016.73"/>
    <n v="2"/>
    <n v="0"/>
    <x v="1"/>
    <x v="1"/>
    <x v="0"/>
    <n v="137258.54999999999"/>
  </r>
  <r>
    <s v="ORD00555"/>
    <d v="2026-10-21T00:00:00"/>
    <x v="5"/>
    <x v="3"/>
    <x v="2"/>
    <s v="Bangalore"/>
    <x v="1"/>
    <n v="179"/>
    <n v="84"/>
    <n v="57"/>
    <n v="206"/>
    <n v="86"/>
    <n v="1353.42"/>
    <n v="5"/>
    <n v="0"/>
    <x v="1"/>
    <x v="2"/>
    <x v="3"/>
    <n v="278804.52"/>
  </r>
  <r>
    <s v="ORD00556"/>
    <d v="2026-04-23T00:00:00"/>
    <x v="2"/>
    <x v="1"/>
    <x v="0"/>
    <s v="Bangalore"/>
    <x v="1"/>
    <n v="162"/>
    <n v="25"/>
    <n v="32"/>
    <n v="155"/>
    <n v="88"/>
    <n v="2424.46"/>
    <n v="4"/>
    <n v="0"/>
    <x v="0"/>
    <x v="1"/>
    <x v="0"/>
    <n v="375791.3"/>
  </r>
  <r>
    <s v="ORD00557"/>
    <d v="2026-02-12T00:00:00"/>
    <x v="5"/>
    <x v="3"/>
    <x v="4"/>
    <s v="Delhi"/>
    <x v="2"/>
    <n v="54"/>
    <n v="97"/>
    <n v="97"/>
    <n v="54"/>
    <n v="57"/>
    <n v="1321.69"/>
    <n v="3"/>
    <n v="5"/>
    <x v="1"/>
    <x v="1"/>
    <x v="0"/>
    <n v="71371.260000000009"/>
  </r>
  <r>
    <s v="ORD00558"/>
    <d v="2026-03-17T00:00:00"/>
    <x v="10"/>
    <x v="4"/>
    <x v="4"/>
    <s v="Kolkata"/>
    <x v="3"/>
    <n v="89"/>
    <n v="82"/>
    <n v="55"/>
    <n v="116"/>
    <n v="83"/>
    <n v="612.61"/>
    <n v="2"/>
    <n v="0"/>
    <x v="1"/>
    <x v="1"/>
    <x v="0"/>
    <n v="71062.759999999995"/>
  </r>
  <r>
    <s v="ORD00559"/>
    <d v="2026-08-16T00:00:00"/>
    <x v="5"/>
    <x v="3"/>
    <x v="3"/>
    <s v="Delhi"/>
    <x v="2"/>
    <n v="43"/>
    <n v="56"/>
    <n v="59"/>
    <n v="40"/>
    <n v="67"/>
    <n v="1250.0999999999999"/>
    <n v="5"/>
    <n v="2"/>
    <x v="1"/>
    <x v="0"/>
    <x v="0"/>
    <n v="50004"/>
  </r>
  <r>
    <s v="ORD00560"/>
    <d v="2026-09-01T00:00:00"/>
    <x v="7"/>
    <x v="3"/>
    <x v="0"/>
    <s v="Mumbai"/>
    <x v="0"/>
    <n v="148"/>
    <n v="113"/>
    <n v="68"/>
    <n v="193"/>
    <n v="53"/>
    <n v="1067.0999999999999"/>
    <n v="6"/>
    <n v="0"/>
    <x v="0"/>
    <x v="2"/>
    <x v="0"/>
    <n v="205950.3"/>
  </r>
  <r>
    <s v="ORD00561"/>
    <d v="2026-03-12T00:00:00"/>
    <x v="6"/>
    <x v="4"/>
    <x v="4"/>
    <s v="Kolkata"/>
    <x v="3"/>
    <n v="62"/>
    <n v="20"/>
    <n v="67"/>
    <n v="15"/>
    <n v="85"/>
    <n v="703.87"/>
    <n v="5"/>
    <n v="8"/>
    <x v="1"/>
    <x v="0"/>
    <x v="2"/>
    <n v="10558.05"/>
  </r>
  <r>
    <s v="ORD00562"/>
    <d v="2026-08-26T00:00:00"/>
    <x v="1"/>
    <x v="1"/>
    <x v="3"/>
    <s v="Delhi"/>
    <x v="2"/>
    <n v="181"/>
    <n v="82"/>
    <n v="20"/>
    <n v="243"/>
    <n v="97"/>
    <n v="1384.82"/>
    <n v="8"/>
    <n v="0"/>
    <x v="1"/>
    <x v="2"/>
    <x v="0"/>
    <n v="336511.26"/>
  </r>
  <r>
    <s v="ORD00563"/>
    <d v="2026-09-09T00:00:00"/>
    <x v="9"/>
    <x v="1"/>
    <x v="4"/>
    <s v="Mumbai"/>
    <x v="0"/>
    <n v="107"/>
    <n v="58"/>
    <n v="96"/>
    <n v="69"/>
    <n v="98"/>
    <n v="719.12"/>
    <n v="2"/>
    <n v="5"/>
    <x v="1"/>
    <x v="1"/>
    <x v="0"/>
    <n v="49619.28"/>
  </r>
  <r>
    <s v="ORD00564"/>
    <d v="2026-11-18T00:00:00"/>
    <x v="9"/>
    <x v="1"/>
    <x v="4"/>
    <s v="Delhi"/>
    <x v="2"/>
    <n v="166"/>
    <n v="28"/>
    <n v="91"/>
    <n v="103"/>
    <n v="92"/>
    <n v="680.65"/>
    <n v="5"/>
    <n v="0"/>
    <x v="1"/>
    <x v="1"/>
    <x v="1"/>
    <n v="70106.95"/>
  </r>
  <r>
    <s v="ORD00565"/>
    <d v="2026-03-25T00:00:00"/>
    <x v="8"/>
    <x v="3"/>
    <x v="0"/>
    <s v="Bangalore"/>
    <x v="1"/>
    <n v="106"/>
    <n v="40"/>
    <n v="89"/>
    <n v="57"/>
    <n v="48"/>
    <n v="2601.84"/>
    <n v="5"/>
    <n v="0"/>
    <x v="1"/>
    <x v="1"/>
    <x v="0"/>
    <n v="148304.88"/>
  </r>
  <r>
    <s v="ORD00566"/>
    <d v="2026-11-18T00:00:00"/>
    <x v="16"/>
    <x v="0"/>
    <x v="0"/>
    <s v="Kolkata"/>
    <x v="3"/>
    <n v="202"/>
    <n v="65"/>
    <n v="21"/>
    <n v="246"/>
    <n v="63"/>
    <n v="1150"/>
    <n v="7"/>
    <n v="0"/>
    <x v="1"/>
    <x v="2"/>
    <x v="0"/>
    <n v="282900"/>
  </r>
  <r>
    <s v="ORD00567"/>
    <d v="2026-12-19T00:00:00"/>
    <x v="9"/>
    <x v="1"/>
    <x v="1"/>
    <s v="Mumbai"/>
    <x v="0"/>
    <n v="179"/>
    <n v="61"/>
    <n v="55"/>
    <n v="185"/>
    <n v="97"/>
    <n v="748.3"/>
    <n v="8"/>
    <n v="0"/>
    <x v="1"/>
    <x v="1"/>
    <x v="2"/>
    <n v="138435.5"/>
  </r>
  <r>
    <s v="ORD00568"/>
    <d v="2026-03-25T00:00:00"/>
    <x v="18"/>
    <x v="2"/>
    <x v="1"/>
    <s v="Delhi"/>
    <x v="2"/>
    <n v="76"/>
    <n v="21"/>
    <n v="32"/>
    <n v="65"/>
    <n v="78"/>
    <n v="3060.11"/>
    <n v="8"/>
    <n v="6"/>
    <x v="1"/>
    <x v="1"/>
    <x v="3"/>
    <n v="198907.15"/>
  </r>
  <r>
    <s v="ORD00569"/>
    <d v="2026-12-26T00:00:00"/>
    <x v="17"/>
    <x v="0"/>
    <x v="2"/>
    <s v="Mumbai"/>
    <x v="0"/>
    <n v="88"/>
    <n v="121"/>
    <n v="86"/>
    <n v="123"/>
    <n v="84"/>
    <n v="1453.1"/>
    <n v="6"/>
    <n v="0"/>
    <x v="1"/>
    <x v="1"/>
    <x v="2"/>
    <n v="178731.3"/>
  </r>
  <r>
    <s v="ORD00570"/>
    <d v="2026-08-15T00:00:00"/>
    <x v="3"/>
    <x v="0"/>
    <x v="3"/>
    <s v="Bangalore"/>
    <x v="1"/>
    <n v="69"/>
    <n v="124"/>
    <n v="31"/>
    <n v="162"/>
    <n v="46"/>
    <n v="896.31"/>
    <n v="4"/>
    <n v="0"/>
    <x v="1"/>
    <x v="2"/>
    <x v="0"/>
    <n v="145202.22"/>
  </r>
  <r>
    <s v="ORD00571"/>
    <d v="2026-03-06T00:00:00"/>
    <x v="6"/>
    <x v="4"/>
    <x v="2"/>
    <s v="Delhi"/>
    <x v="2"/>
    <n v="47"/>
    <n v="115"/>
    <n v="30"/>
    <n v="132"/>
    <n v="59"/>
    <n v="601.73"/>
    <n v="7"/>
    <n v="0"/>
    <x v="0"/>
    <x v="2"/>
    <x v="0"/>
    <n v="79428.36"/>
  </r>
  <r>
    <s v="ORD00572"/>
    <d v="2026-02-25T00:00:00"/>
    <x v="1"/>
    <x v="1"/>
    <x v="4"/>
    <s v="Kolkata"/>
    <x v="3"/>
    <n v="216"/>
    <n v="117"/>
    <n v="29"/>
    <n v="304"/>
    <n v="49"/>
    <n v="1174.8900000000001"/>
    <n v="5"/>
    <n v="0"/>
    <x v="1"/>
    <x v="2"/>
    <x v="0"/>
    <n v="357166.56000000006"/>
  </r>
  <r>
    <s v="ORD00573"/>
    <d v="2026-11-05T00:00:00"/>
    <x v="0"/>
    <x v="0"/>
    <x v="3"/>
    <s v="Bangalore"/>
    <x v="1"/>
    <n v="104"/>
    <n v="25"/>
    <n v="23"/>
    <n v="106"/>
    <n v="64"/>
    <n v="1860.33"/>
    <n v="8"/>
    <n v="0"/>
    <x v="0"/>
    <x v="1"/>
    <x v="0"/>
    <n v="197194.97999999998"/>
  </r>
  <r>
    <s v="ORD00574"/>
    <d v="2026-09-14T00:00:00"/>
    <x v="1"/>
    <x v="1"/>
    <x v="2"/>
    <s v="Delhi"/>
    <x v="2"/>
    <n v="47"/>
    <n v="31"/>
    <n v="33"/>
    <n v="45"/>
    <n v="99"/>
    <n v="1364.01"/>
    <n v="4"/>
    <n v="6"/>
    <x v="1"/>
    <x v="0"/>
    <x v="0"/>
    <n v="61380.45"/>
  </r>
  <r>
    <s v="ORD00575"/>
    <d v="2026-03-29T00:00:00"/>
    <x v="15"/>
    <x v="4"/>
    <x v="1"/>
    <s v="Bangalore"/>
    <x v="1"/>
    <n v="65"/>
    <n v="124"/>
    <n v="89"/>
    <n v="100"/>
    <n v="93"/>
    <n v="406.26"/>
    <n v="3"/>
    <n v="0"/>
    <x v="1"/>
    <x v="1"/>
    <x v="3"/>
    <n v="40626"/>
  </r>
  <r>
    <s v="ORD00576"/>
    <d v="2026-02-24T00:00:00"/>
    <x v="12"/>
    <x v="4"/>
    <x v="4"/>
    <s v="Mumbai"/>
    <x v="0"/>
    <n v="169"/>
    <n v="128"/>
    <n v="105"/>
    <n v="192"/>
    <n v="75"/>
    <n v="486.65"/>
    <n v="6"/>
    <n v="0"/>
    <x v="1"/>
    <x v="2"/>
    <x v="0"/>
    <n v="93436.799999999988"/>
  </r>
  <r>
    <s v="ORD00577"/>
    <d v="2026-03-11T00:00:00"/>
    <x v="14"/>
    <x v="1"/>
    <x v="3"/>
    <s v="Kolkata"/>
    <x v="3"/>
    <n v="94"/>
    <n v="85"/>
    <n v="44"/>
    <n v="135"/>
    <n v="71"/>
    <n v="1476.11"/>
    <n v="4"/>
    <n v="0"/>
    <x v="0"/>
    <x v="1"/>
    <x v="0"/>
    <n v="199274.84999999998"/>
  </r>
  <r>
    <s v="ORD00578"/>
    <d v="2026-08-16T00:00:00"/>
    <x v="5"/>
    <x v="3"/>
    <x v="0"/>
    <s v="Bangalore"/>
    <x v="1"/>
    <n v="61"/>
    <n v="61"/>
    <n v="78"/>
    <n v="44"/>
    <n v="52"/>
    <n v="1270.04"/>
    <n v="5"/>
    <n v="5"/>
    <x v="1"/>
    <x v="1"/>
    <x v="2"/>
    <n v="55881.759999999995"/>
  </r>
  <r>
    <s v="ORD00579"/>
    <d v="2026-12-12T00:00:00"/>
    <x v="2"/>
    <x v="1"/>
    <x v="0"/>
    <s v="Kolkata"/>
    <x v="3"/>
    <n v="88"/>
    <n v="129"/>
    <n v="23"/>
    <n v="194"/>
    <n v="98"/>
    <n v="2545.17"/>
    <n v="7"/>
    <n v="0"/>
    <x v="1"/>
    <x v="1"/>
    <x v="0"/>
    <n v="493762.98000000004"/>
  </r>
  <r>
    <s v="ORD00580"/>
    <d v="2026-02-22T00:00:00"/>
    <x v="8"/>
    <x v="3"/>
    <x v="3"/>
    <s v="Kolkata"/>
    <x v="3"/>
    <n v="173"/>
    <n v="104"/>
    <n v="101"/>
    <n v="176"/>
    <n v="50"/>
    <n v="2586.7600000000002"/>
    <n v="5"/>
    <n v="0"/>
    <x v="1"/>
    <x v="2"/>
    <x v="0"/>
    <n v="455269.76"/>
  </r>
  <r>
    <s v="ORD00581"/>
    <d v="2026-05-23T00:00:00"/>
    <x v="9"/>
    <x v="1"/>
    <x v="0"/>
    <s v="Mumbai"/>
    <x v="0"/>
    <n v="126"/>
    <n v="45"/>
    <n v="91"/>
    <n v="80"/>
    <n v="99"/>
    <n v="768.69"/>
    <n v="2"/>
    <n v="7"/>
    <x v="1"/>
    <x v="1"/>
    <x v="2"/>
    <n v="61495.200000000004"/>
  </r>
  <r>
    <s v="ORD00582"/>
    <d v="2026-02-25T00:00:00"/>
    <x v="6"/>
    <x v="4"/>
    <x v="3"/>
    <s v="Delhi"/>
    <x v="2"/>
    <n v="161"/>
    <n v="105"/>
    <n v="92"/>
    <n v="174"/>
    <n v="70"/>
    <n v="713.38"/>
    <n v="6"/>
    <n v="0"/>
    <x v="1"/>
    <x v="2"/>
    <x v="2"/>
    <n v="124128.12"/>
  </r>
  <r>
    <s v="ORD00583"/>
    <d v="2026-01-14T00:00:00"/>
    <x v="16"/>
    <x v="0"/>
    <x v="3"/>
    <s v="Kolkata"/>
    <x v="3"/>
    <n v="99"/>
    <n v="100"/>
    <n v="32"/>
    <n v="167"/>
    <n v="46"/>
    <n v="1103.9000000000001"/>
    <n v="2"/>
    <n v="0"/>
    <x v="1"/>
    <x v="2"/>
    <x v="0"/>
    <n v="184351.30000000002"/>
  </r>
  <r>
    <s v="ORD00584"/>
    <d v="2026-04-14T00:00:00"/>
    <x v="2"/>
    <x v="1"/>
    <x v="1"/>
    <s v="Delhi"/>
    <x v="2"/>
    <n v="79"/>
    <n v="58"/>
    <n v="94"/>
    <n v="43"/>
    <n v="84"/>
    <n v="2206.2399999999998"/>
    <n v="2"/>
    <n v="8"/>
    <x v="1"/>
    <x v="0"/>
    <x v="2"/>
    <n v="94868.319999999992"/>
  </r>
  <r>
    <s v="ORD00585"/>
    <d v="2026-03-02T00:00:00"/>
    <x v="19"/>
    <x v="2"/>
    <x v="3"/>
    <s v="Delhi"/>
    <x v="2"/>
    <n v="178"/>
    <n v="63"/>
    <n v="84"/>
    <n v="157"/>
    <n v="79"/>
    <n v="1355.3"/>
    <n v="8"/>
    <n v="0"/>
    <x v="0"/>
    <x v="1"/>
    <x v="0"/>
    <n v="212782.1"/>
  </r>
  <r>
    <s v="ORD00586"/>
    <d v="2026-12-28T00:00:00"/>
    <x v="7"/>
    <x v="3"/>
    <x v="0"/>
    <s v="Kolkata"/>
    <x v="3"/>
    <n v="153"/>
    <n v="78"/>
    <n v="19"/>
    <n v="212"/>
    <n v="47"/>
    <n v="935.37"/>
    <n v="7"/>
    <n v="0"/>
    <x v="1"/>
    <x v="2"/>
    <x v="0"/>
    <n v="198298.44"/>
  </r>
  <r>
    <s v="ORD00587"/>
    <d v="2026-08-29T00:00:00"/>
    <x v="2"/>
    <x v="1"/>
    <x v="3"/>
    <s v="Mumbai"/>
    <x v="0"/>
    <n v="119"/>
    <n v="111"/>
    <n v="64"/>
    <n v="166"/>
    <n v="76"/>
    <n v="2526.73"/>
    <n v="10"/>
    <n v="0"/>
    <x v="0"/>
    <x v="1"/>
    <x v="0"/>
    <n v="419437.18"/>
  </r>
  <r>
    <s v="ORD00588"/>
    <d v="2026-05-26T00:00:00"/>
    <x v="11"/>
    <x v="3"/>
    <x v="1"/>
    <s v="Bangalore"/>
    <x v="1"/>
    <n v="140"/>
    <n v="53"/>
    <n v="78"/>
    <n v="115"/>
    <n v="82"/>
    <n v="2407.1799999999998"/>
    <n v="6"/>
    <n v="0"/>
    <x v="1"/>
    <x v="1"/>
    <x v="2"/>
    <n v="276825.69999999995"/>
  </r>
  <r>
    <s v="ORD00589"/>
    <d v="2026-06-24T00:00:00"/>
    <x v="18"/>
    <x v="2"/>
    <x v="4"/>
    <s v="Bangalore"/>
    <x v="1"/>
    <n v="72"/>
    <n v="127"/>
    <n v="61"/>
    <n v="138"/>
    <n v="67"/>
    <n v="3398.11"/>
    <n v="6"/>
    <n v="0"/>
    <x v="0"/>
    <x v="1"/>
    <x v="1"/>
    <n v="468939.18"/>
  </r>
  <r>
    <s v="ORD00590"/>
    <d v="2026-02-13T00:00:00"/>
    <x v="8"/>
    <x v="3"/>
    <x v="3"/>
    <s v="Delhi"/>
    <x v="2"/>
    <n v="131"/>
    <n v="72"/>
    <n v="59"/>
    <n v="144"/>
    <n v="48"/>
    <n v="2890.29"/>
    <n v="3"/>
    <n v="0"/>
    <x v="1"/>
    <x v="2"/>
    <x v="0"/>
    <n v="416201.76"/>
  </r>
  <r>
    <s v="ORD00591"/>
    <d v="2026-12-23T00:00:00"/>
    <x v="16"/>
    <x v="0"/>
    <x v="4"/>
    <s v="Delhi"/>
    <x v="2"/>
    <n v="83"/>
    <n v="22"/>
    <n v="83"/>
    <n v="22"/>
    <n v="65"/>
    <n v="1088.97"/>
    <n v="7"/>
    <n v="7"/>
    <x v="1"/>
    <x v="0"/>
    <x v="0"/>
    <n v="23957.34"/>
  </r>
  <r>
    <s v="ORD00592"/>
    <d v="2026-06-22T00:00:00"/>
    <x v="8"/>
    <x v="3"/>
    <x v="0"/>
    <s v="Kolkata"/>
    <x v="3"/>
    <n v="186"/>
    <n v="69"/>
    <n v="56"/>
    <n v="199"/>
    <n v="81"/>
    <n v="2574.73"/>
    <n v="5"/>
    <n v="0"/>
    <x v="0"/>
    <x v="2"/>
    <x v="0"/>
    <n v="512371.27"/>
  </r>
  <r>
    <s v="ORD00593"/>
    <d v="2026-04-20T00:00:00"/>
    <x v="5"/>
    <x v="3"/>
    <x v="2"/>
    <s v="Delhi"/>
    <x v="2"/>
    <n v="133"/>
    <n v="75"/>
    <n v="40"/>
    <n v="168"/>
    <n v="76"/>
    <n v="1335.22"/>
    <n v="8"/>
    <n v="0"/>
    <x v="0"/>
    <x v="2"/>
    <x v="1"/>
    <n v="224316.96"/>
  </r>
  <r>
    <s v="ORD00594"/>
    <d v="2026-10-31T00:00:00"/>
    <x v="4"/>
    <x v="2"/>
    <x v="4"/>
    <s v="Delhi"/>
    <x v="2"/>
    <n v="186"/>
    <n v="71"/>
    <n v="43"/>
    <n v="214"/>
    <n v="84"/>
    <n v="838.86"/>
    <n v="2"/>
    <n v="0"/>
    <x v="1"/>
    <x v="2"/>
    <x v="0"/>
    <n v="179516.04"/>
  </r>
  <r>
    <s v="ORD00595"/>
    <d v="2026-08-10T00:00:00"/>
    <x v="4"/>
    <x v="2"/>
    <x v="4"/>
    <s v="Kolkata"/>
    <x v="3"/>
    <n v="149"/>
    <n v="46"/>
    <n v="59"/>
    <n v="136"/>
    <n v="95"/>
    <n v="732.27"/>
    <n v="8"/>
    <n v="0"/>
    <x v="1"/>
    <x v="1"/>
    <x v="1"/>
    <n v="99588.72"/>
  </r>
  <r>
    <s v="ORD00596"/>
    <d v="2026-11-18T00:00:00"/>
    <x v="6"/>
    <x v="4"/>
    <x v="2"/>
    <s v="Kolkata"/>
    <x v="3"/>
    <n v="142"/>
    <n v="52"/>
    <n v="94"/>
    <n v="100"/>
    <n v="77"/>
    <n v="643.91999999999996"/>
    <n v="8"/>
    <n v="0"/>
    <x v="1"/>
    <x v="1"/>
    <x v="1"/>
    <n v="64391.999999999993"/>
  </r>
  <r>
    <s v="ORD00597"/>
    <d v="2026-08-11T00:00:00"/>
    <x v="15"/>
    <x v="4"/>
    <x v="1"/>
    <s v="Kolkata"/>
    <x v="3"/>
    <n v="94"/>
    <n v="104"/>
    <n v="110"/>
    <n v="88"/>
    <n v="74"/>
    <n v="429.11"/>
    <n v="7"/>
    <n v="0"/>
    <x v="1"/>
    <x v="1"/>
    <x v="0"/>
    <n v="37761.68"/>
  </r>
  <r>
    <s v="ORD00598"/>
    <d v="2026-07-30T00:00:00"/>
    <x v="12"/>
    <x v="4"/>
    <x v="1"/>
    <s v="Mumbai"/>
    <x v="0"/>
    <n v="133"/>
    <n v="79"/>
    <n v="33"/>
    <n v="179"/>
    <n v="60"/>
    <n v="465.05"/>
    <n v="7"/>
    <n v="0"/>
    <x v="1"/>
    <x v="2"/>
    <x v="1"/>
    <n v="83243.95"/>
  </r>
  <r>
    <s v="ORD00599"/>
    <d v="2026-02-28T00:00:00"/>
    <x v="18"/>
    <x v="2"/>
    <x v="2"/>
    <s v="Kolkata"/>
    <x v="3"/>
    <n v="108"/>
    <n v="125"/>
    <n v="51"/>
    <n v="182"/>
    <n v="86"/>
    <n v="2982.77"/>
    <n v="7"/>
    <n v="0"/>
    <x v="1"/>
    <x v="1"/>
    <x v="0"/>
    <n v="542864.14"/>
  </r>
  <r>
    <s v="ORD00600"/>
    <d v="2026-03-23T00:00:00"/>
    <x v="1"/>
    <x v="1"/>
    <x v="4"/>
    <s v="Mumbai"/>
    <x v="0"/>
    <n v="119"/>
    <n v="79"/>
    <n v="77"/>
    <n v="121"/>
    <n v="80"/>
    <n v="1427.74"/>
    <n v="5"/>
    <n v="0"/>
    <x v="1"/>
    <x v="1"/>
    <x v="0"/>
    <n v="172756.54"/>
  </r>
  <r>
    <s v="ORD00601"/>
    <d v="2026-01-11T00:00:00"/>
    <x v="13"/>
    <x v="2"/>
    <x v="4"/>
    <s v="Delhi"/>
    <x v="2"/>
    <n v="111"/>
    <n v="104"/>
    <n v="85"/>
    <n v="130"/>
    <n v="56"/>
    <n v="1131.74"/>
    <n v="2"/>
    <n v="0"/>
    <x v="1"/>
    <x v="2"/>
    <x v="0"/>
    <n v="147126.20000000001"/>
  </r>
  <r>
    <s v="ORD00602"/>
    <d v="2026-10-20T00:00:00"/>
    <x v="0"/>
    <x v="0"/>
    <x v="0"/>
    <s v="Delhi"/>
    <x v="2"/>
    <n v="56"/>
    <n v="72"/>
    <n v="61"/>
    <n v="67"/>
    <n v="87"/>
    <n v="1856.68"/>
    <n v="2"/>
    <n v="3"/>
    <x v="1"/>
    <x v="1"/>
    <x v="0"/>
    <n v="124397.56"/>
  </r>
  <r>
    <s v="ORD00603"/>
    <d v="2026-07-19T00:00:00"/>
    <x v="12"/>
    <x v="4"/>
    <x v="1"/>
    <s v="Delhi"/>
    <x v="2"/>
    <n v="167"/>
    <n v="31"/>
    <n v="45"/>
    <n v="153"/>
    <n v="83"/>
    <n v="462.23"/>
    <n v="8"/>
    <n v="0"/>
    <x v="1"/>
    <x v="1"/>
    <x v="1"/>
    <n v="70721.19"/>
  </r>
  <r>
    <s v="ORD00604"/>
    <d v="2026-10-01T00:00:00"/>
    <x v="2"/>
    <x v="1"/>
    <x v="2"/>
    <s v="Mumbai"/>
    <x v="0"/>
    <n v="67"/>
    <n v="42"/>
    <n v="42"/>
    <n v="67"/>
    <n v="62"/>
    <n v="2370.9499999999998"/>
    <n v="4"/>
    <n v="0"/>
    <x v="1"/>
    <x v="1"/>
    <x v="0"/>
    <n v="158853.65"/>
  </r>
  <r>
    <s v="ORD00605"/>
    <d v="2026-06-07T00:00:00"/>
    <x v="18"/>
    <x v="2"/>
    <x v="0"/>
    <s v="Kolkata"/>
    <x v="3"/>
    <n v="161"/>
    <n v="107"/>
    <n v="46"/>
    <n v="222"/>
    <n v="62"/>
    <n v="3442.84"/>
    <n v="3"/>
    <n v="0"/>
    <x v="1"/>
    <x v="2"/>
    <x v="2"/>
    <n v="764310.48"/>
  </r>
  <r>
    <s v="ORD00606"/>
    <d v="2026-05-02T00:00:00"/>
    <x v="0"/>
    <x v="0"/>
    <x v="4"/>
    <s v="Mumbai"/>
    <x v="0"/>
    <n v="104"/>
    <n v="90"/>
    <n v="64"/>
    <n v="130"/>
    <n v="64"/>
    <n v="1850.02"/>
    <n v="10"/>
    <n v="0"/>
    <x v="1"/>
    <x v="1"/>
    <x v="0"/>
    <n v="240502.6"/>
  </r>
  <r>
    <s v="ORD00607"/>
    <d v="2026-08-13T00:00:00"/>
    <x v="7"/>
    <x v="3"/>
    <x v="4"/>
    <s v="Kolkata"/>
    <x v="3"/>
    <n v="105"/>
    <n v="58"/>
    <n v="26"/>
    <n v="137"/>
    <n v="97"/>
    <n v="1051.33"/>
    <n v="4"/>
    <n v="0"/>
    <x v="1"/>
    <x v="1"/>
    <x v="1"/>
    <n v="144032.21"/>
  </r>
  <r>
    <s v="ORD00608"/>
    <d v="2026-02-21T00:00:00"/>
    <x v="19"/>
    <x v="2"/>
    <x v="4"/>
    <s v="Delhi"/>
    <x v="2"/>
    <n v="60"/>
    <n v="125"/>
    <n v="77"/>
    <n v="108"/>
    <n v="75"/>
    <n v="1571.08"/>
    <n v="8"/>
    <n v="0"/>
    <x v="1"/>
    <x v="1"/>
    <x v="0"/>
    <n v="169676.63999999998"/>
  </r>
  <r>
    <s v="ORD00609"/>
    <d v="2026-01-27T00:00:00"/>
    <x v="14"/>
    <x v="1"/>
    <x v="1"/>
    <s v="Bangalore"/>
    <x v="1"/>
    <n v="130"/>
    <n v="73"/>
    <n v="92"/>
    <n v="111"/>
    <n v="91"/>
    <n v="1700.3"/>
    <n v="7"/>
    <n v="0"/>
    <x v="1"/>
    <x v="1"/>
    <x v="2"/>
    <n v="188733.3"/>
  </r>
  <r>
    <s v="ORD00610"/>
    <d v="2026-11-29T00:00:00"/>
    <x v="2"/>
    <x v="1"/>
    <x v="2"/>
    <s v="Bangalore"/>
    <x v="1"/>
    <n v="142"/>
    <n v="45"/>
    <n v="95"/>
    <n v="92"/>
    <n v="64"/>
    <n v="2310.59"/>
    <n v="2"/>
    <n v="0"/>
    <x v="0"/>
    <x v="1"/>
    <x v="0"/>
    <n v="212574.28000000003"/>
  </r>
  <r>
    <s v="ORD00611"/>
    <d v="2026-04-12T00:00:00"/>
    <x v="2"/>
    <x v="1"/>
    <x v="0"/>
    <s v="Kolkata"/>
    <x v="3"/>
    <n v="162"/>
    <n v="114"/>
    <n v="32"/>
    <n v="244"/>
    <n v="61"/>
    <n v="2243.27"/>
    <n v="6"/>
    <n v="0"/>
    <x v="1"/>
    <x v="2"/>
    <x v="2"/>
    <n v="547357.88"/>
  </r>
  <r>
    <s v="ORD00612"/>
    <d v="2026-11-17T00:00:00"/>
    <x v="3"/>
    <x v="0"/>
    <x v="0"/>
    <s v="Mumbai"/>
    <x v="0"/>
    <n v="140"/>
    <n v="68"/>
    <n v="88"/>
    <n v="120"/>
    <n v="59"/>
    <n v="813.73"/>
    <n v="2"/>
    <n v="0"/>
    <x v="1"/>
    <x v="1"/>
    <x v="0"/>
    <n v="97647.6"/>
  </r>
  <r>
    <s v="ORD00613"/>
    <d v="2026-07-08T00:00:00"/>
    <x v="9"/>
    <x v="1"/>
    <x v="3"/>
    <s v="Mumbai"/>
    <x v="0"/>
    <n v="107"/>
    <n v="109"/>
    <n v="36"/>
    <n v="180"/>
    <n v="48"/>
    <n v="686.14"/>
    <n v="5"/>
    <n v="0"/>
    <x v="1"/>
    <x v="2"/>
    <x v="0"/>
    <n v="123505.2"/>
  </r>
  <r>
    <s v="ORD00614"/>
    <d v="2026-05-17T00:00:00"/>
    <x v="9"/>
    <x v="1"/>
    <x v="4"/>
    <s v="Kolkata"/>
    <x v="3"/>
    <n v="156"/>
    <n v="125"/>
    <n v="101"/>
    <n v="180"/>
    <n v="76"/>
    <n v="646.59"/>
    <n v="7"/>
    <n v="0"/>
    <x v="1"/>
    <x v="2"/>
    <x v="3"/>
    <n v="116386.20000000001"/>
  </r>
  <r>
    <s v="ORD00615"/>
    <d v="2026-08-03T00:00:00"/>
    <x v="19"/>
    <x v="2"/>
    <x v="3"/>
    <s v="Mumbai"/>
    <x v="0"/>
    <n v="150"/>
    <n v="129"/>
    <n v="41"/>
    <n v="238"/>
    <n v="83"/>
    <n v="1414.67"/>
    <n v="8"/>
    <n v="0"/>
    <x v="1"/>
    <x v="2"/>
    <x v="0"/>
    <n v="336691.46"/>
  </r>
  <r>
    <s v="ORD00616"/>
    <d v="2026-08-23T00:00:00"/>
    <x v="2"/>
    <x v="1"/>
    <x v="2"/>
    <s v="Bangalore"/>
    <x v="1"/>
    <n v="114"/>
    <n v="53"/>
    <n v="45"/>
    <n v="122"/>
    <n v="84"/>
    <n v="2376.4699999999998"/>
    <n v="3"/>
    <n v="0"/>
    <x v="1"/>
    <x v="1"/>
    <x v="2"/>
    <n v="289929.33999999997"/>
  </r>
  <r>
    <s v="ORD00617"/>
    <d v="2026-05-12T00:00:00"/>
    <x v="0"/>
    <x v="0"/>
    <x v="3"/>
    <s v="Mumbai"/>
    <x v="0"/>
    <n v="122"/>
    <n v="108"/>
    <n v="65"/>
    <n v="165"/>
    <n v="88"/>
    <n v="1696.4"/>
    <n v="5"/>
    <n v="0"/>
    <x v="1"/>
    <x v="1"/>
    <x v="2"/>
    <n v="279906"/>
  </r>
  <r>
    <s v="ORD00618"/>
    <d v="2026-09-16T00:00:00"/>
    <x v="0"/>
    <x v="0"/>
    <x v="1"/>
    <s v="Bangalore"/>
    <x v="1"/>
    <n v="53"/>
    <n v="62"/>
    <n v="45"/>
    <n v="70"/>
    <n v="75"/>
    <n v="1946.96"/>
    <n v="6"/>
    <n v="1"/>
    <x v="1"/>
    <x v="1"/>
    <x v="0"/>
    <n v="136287.20000000001"/>
  </r>
  <r>
    <s v="ORD00619"/>
    <d v="2026-06-23T00:00:00"/>
    <x v="10"/>
    <x v="4"/>
    <x v="0"/>
    <s v="Kolkata"/>
    <x v="3"/>
    <n v="211"/>
    <n v="67"/>
    <n v="31"/>
    <n v="247"/>
    <n v="80"/>
    <n v="544.92999999999995"/>
    <n v="3"/>
    <n v="0"/>
    <x v="1"/>
    <x v="2"/>
    <x v="0"/>
    <n v="134597.71"/>
  </r>
  <r>
    <s v="ORD00620"/>
    <d v="2026-05-24T00:00:00"/>
    <x v="11"/>
    <x v="3"/>
    <x v="4"/>
    <s v="Delhi"/>
    <x v="2"/>
    <n v="175"/>
    <n v="75"/>
    <n v="33"/>
    <n v="217"/>
    <n v="61"/>
    <n v="2031.41"/>
    <n v="2"/>
    <n v="0"/>
    <x v="1"/>
    <x v="2"/>
    <x v="0"/>
    <n v="440815.97000000003"/>
  </r>
  <r>
    <s v="ORD00621"/>
    <d v="2026-03-19T00:00:00"/>
    <x v="19"/>
    <x v="2"/>
    <x v="0"/>
    <s v="Delhi"/>
    <x v="2"/>
    <n v="196"/>
    <n v="126"/>
    <n v="48"/>
    <n v="274"/>
    <n v="78"/>
    <n v="1443.9"/>
    <n v="3"/>
    <n v="0"/>
    <x v="1"/>
    <x v="2"/>
    <x v="3"/>
    <n v="395628.60000000003"/>
  </r>
  <r>
    <s v="ORD00622"/>
    <d v="2026-03-01T00:00:00"/>
    <x v="10"/>
    <x v="4"/>
    <x v="4"/>
    <s v="Mumbai"/>
    <x v="0"/>
    <n v="78"/>
    <n v="26"/>
    <n v="44"/>
    <n v="60"/>
    <n v="56"/>
    <n v="544.29999999999995"/>
    <n v="4"/>
    <n v="0"/>
    <x v="0"/>
    <x v="1"/>
    <x v="0"/>
    <n v="32657.999999999996"/>
  </r>
  <r>
    <s v="ORD00623"/>
    <d v="2026-02-17T00:00:00"/>
    <x v="8"/>
    <x v="3"/>
    <x v="3"/>
    <s v="Delhi"/>
    <x v="2"/>
    <n v="183"/>
    <n v="82"/>
    <n v="73"/>
    <n v="192"/>
    <n v="76"/>
    <n v="2582.9899999999998"/>
    <n v="7"/>
    <n v="0"/>
    <x v="1"/>
    <x v="2"/>
    <x v="0"/>
    <n v="495934.07999999996"/>
  </r>
  <r>
    <s v="ORD00624"/>
    <d v="2026-01-03T00:00:00"/>
    <x v="14"/>
    <x v="1"/>
    <x v="2"/>
    <s v="Mumbai"/>
    <x v="0"/>
    <n v="170"/>
    <n v="125"/>
    <n v="49"/>
    <n v="246"/>
    <n v="81"/>
    <n v="1725.09"/>
    <n v="6"/>
    <n v="0"/>
    <x v="1"/>
    <x v="2"/>
    <x v="3"/>
    <n v="424372.13999999996"/>
  </r>
  <r>
    <s v="ORD00625"/>
    <d v="2026-12-15T00:00:00"/>
    <x v="15"/>
    <x v="4"/>
    <x v="3"/>
    <s v="Bangalore"/>
    <x v="1"/>
    <n v="103"/>
    <n v="118"/>
    <n v="78"/>
    <n v="143"/>
    <n v="88"/>
    <n v="413.49"/>
    <n v="4"/>
    <n v="0"/>
    <x v="0"/>
    <x v="1"/>
    <x v="2"/>
    <n v="59129.07"/>
  </r>
  <r>
    <s v="ORD00626"/>
    <d v="2026-05-18T00:00:00"/>
    <x v="3"/>
    <x v="0"/>
    <x v="0"/>
    <s v="Bangalore"/>
    <x v="1"/>
    <n v="122"/>
    <n v="39"/>
    <n v="18"/>
    <n v="143"/>
    <n v="50"/>
    <n v="892.84"/>
    <n v="7"/>
    <n v="0"/>
    <x v="1"/>
    <x v="2"/>
    <x v="0"/>
    <n v="127676.12000000001"/>
  </r>
  <r>
    <s v="ORD00627"/>
    <d v="2026-03-08T00:00:00"/>
    <x v="12"/>
    <x v="4"/>
    <x v="0"/>
    <s v="Bangalore"/>
    <x v="1"/>
    <n v="207"/>
    <n v="99"/>
    <n v="72"/>
    <n v="234"/>
    <n v="65"/>
    <n v="544.74"/>
    <n v="7"/>
    <n v="0"/>
    <x v="1"/>
    <x v="2"/>
    <x v="2"/>
    <n v="127469.16"/>
  </r>
  <r>
    <s v="ORD00628"/>
    <d v="2026-05-03T00:00:00"/>
    <x v="9"/>
    <x v="1"/>
    <x v="0"/>
    <s v="Delhi"/>
    <x v="2"/>
    <n v="54"/>
    <n v="115"/>
    <n v="24"/>
    <n v="145"/>
    <n v="80"/>
    <n v="763.27"/>
    <n v="5"/>
    <n v="0"/>
    <x v="0"/>
    <x v="1"/>
    <x v="0"/>
    <n v="110674.15"/>
  </r>
  <r>
    <s v="ORD00629"/>
    <d v="2026-08-10T00:00:00"/>
    <x v="8"/>
    <x v="3"/>
    <x v="4"/>
    <s v="Mumbai"/>
    <x v="0"/>
    <n v="81"/>
    <n v="69"/>
    <n v="66"/>
    <n v="84"/>
    <n v="63"/>
    <n v="2882.41"/>
    <n v="7"/>
    <n v="0"/>
    <x v="0"/>
    <x v="1"/>
    <x v="0"/>
    <n v="242122.44"/>
  </r>
  <r>
    <s v="ORD00630"/>
    <d v="2026-08-05T00:00:00"/>
    <x v="13"/>
    <x v="2"/>
    <x v="0"/>
    <s v="Bangalore"/>
    <x v="1"/>
    <n v="134"/>
    <n v="85"/>
    <n v="40"/>
    <n v="179"/>
    <n v="76"/>
    <n v="1088"/>
    <n v="5"/>
    <n v="0"/>
    <x v="1"/>
    <x v="2"/>
    <x v="0"/>
    <n v="194752"/>
  </r>
  <r>
    <s v="ORD00631"/>
    <d v="2026-11-28T00:00:00"/>
    <x v="3"/>
    <x v="0"/>
    <x v="0"/>
    <s v="Mumbai"/>
    <x v="0"/>
    <n v="151"/>
    <n v="100"/>
    <n v="69"/>
    <n v="182"/>
    <n v="50"/>
    <n v="817.28"/>
    <n v="4"/>
    <n v="0"/>
    <x v="1"/>
    <x v="2"/>
    <x v="0"/>
    <n v="148744.95999999999"/>
  </r>
  <r>
    <s v="ORD00632"/>
    <d v="2026-12-17T00:00:00"/>
    <x v="2"/>
    <x v="1"/>
    <x v="1"/>
    <s v="Bangalore"/>
    <x v="1"/>
    <n v="114"/>
    <n v="79"/>
    <n v="70"/>
    <n v="123"/>
    <n v="50"/>
    <n v="2595.46"/>
    <n v="5"/>
    <n v="0"/>
    <x v="1"/>
    <x v="2"/>
    <x v="3"/>
    <n v="319241.58"/>
  </r>
  <r>
    <s v="ORD00633"/>
    <d v="2026-07-31T00:00:00"/>
    <x v="13"/>
    <x v="2"/>
    <x v="1"/>
    <s v="Kolkata"/>
    <x v="3"/>
    <n v="115"/>
    <n v="92"/>
    <n v="21"/>
    <n v="186"/>
    <n v="80"/>
    <n v="1006.84"/>
    <n v="2"/>
    <n v="0"/>
    <x v="1"/>
    <x v="2"/>
    <x v="0"/>
    <n v="187272.24000000002"/>
  </r>
  <r>
    <s v="ORD00634"/>
    <d v="2026-04-02T00:00:00"/>
    <x v="3"/>
    <x v="0"/>
    <x v="1"/>
    <s v="Delhi"/>
    <x v="2"/>
    <n v="130"/>
    <n v="52"/>
    <n v="89"/>
    <n v="93"/>
    <n v="50"/>
    <n v="948.36"/>
    <n v="2"/>
    <n v="0"/>
    <x v="0"/>
    <x v="1"/>
    <x v="0"/>
    <n v="88197.48"/>
  </r>
  <r>
    <s v="ORD00635"/>
    <d v="2026-05-16T00:00:00"/>
    <x v="2"/>
    <x v="1"/>
    <x v="4"/>
    <s v="Bangalore"/>
    <x v="1"/>
    <n v="146"/>
    <n v="110"/>
    <n v="53"/>
    <n v="203"/>
    <n v="65"/>
    <n v="2441.86"/>
    <n v="5"/>
    <n v="0"/>
    <x v="1"/>
    <x v="2"/>
    <x v="0"/>
    <n v="495697.58"/>
  </r>
  <r>
    <s v="ORD00636"/>
    <d v="2026-07-22T00:00:00"/>
    <x v="13"/>
    <x v="2"/>
    <x v="2"/>
    <s v="Mumbai"/>
    <x v="0"/>
    <n v="60"/>
    <n v="115"/>
    <n v="92"/>
    <n v="83"/>
    <n v="61"/>
    <n v="1181.76"/>
    <n v="2"/>
    <n v="0"/>
    <x v="1"/>
    <x v="1"/>
    <x v="0"/>
    <n v="98086.080000000002"/>
  </r>
  <r>
    <s v="ORD00637"/>
    <d v="2026-11-13T00:00:00"/>
    <x v="0"/>
    <x v="0"/>
    <x v="2"/>
    <s v="Kolkata"/>
    <x v="3"/>
    <n v="157"/>
    <n v="108"/>
    <n v="66"/>
    <n v="199"/>
    <n v="100"/>
    <n v="1856.78"/>
    <n v="7"/>
    <n v="0"/>
    <x v="1"/>
    <x v="1"/>
    <x v="0"/>
    <n v="369499.22"/>
  </r>
  <r>
    <s v="ORD00638"/>
    <d v="2026-01-14T00:00:00"/>
    <x v="6"/>
    <x v="4"/>
    <x v="3"/>
    <s v="Delhi"/>
    <x v="2"/>
    <n v="62"/>
    <n v="36"/>
    <n v="32"/>
    <n v="66"/>
    <n v="45"/>
    <n v="609.79999999999995"/>
    <n v="8"/>
    <n v="0"/>
    <x v="0"/>
    <x v="1"/>
    <x v="3"/>
    <n v="40246.799999999996"/>
  </r>
  <r>
    <s v="ORD00639"/>
    <d v="2026-03-17T00:00:00"/>
    <x v="2"/>
    <x v="1"/>
    <x v="2"/>
    <s v="Mumbai"/>
    <x v="0"/>
    <n v="151"/>
    <n v="127"/>
    <n v="95"/>
    <n v="183"/>
    <n v="99"/>
    <n v="2539.21"/>
    <n v="3"/>
    <n v="0"/>
    <x v="0"/>
    <x v="1"/>
    <x v="2"/>
    <n v="464675.43"/>
  </r>
  <r>
    <s v="ORD00640"/>
    <d v="2026-04-14T00:00:00"/>
    <x v="7"/>
    <x v="3"/>
    <x v="4"/>
    <s v="Bangalore"/>
    <x v="1"/>
    <n v="82"/>
    <n v="39"/>
    <n v="109"/>
    <n v="12"/>
    <n v="89"/>
    <n v="989.05"/>
    <n v="5"/>
    <n v="8"/>
    <x v="1"/>
    <x v="0"/>
    <x v="0"/>
    <n v="11868.599999999999"/>
  </r>
  <r>
    <s v="ORD00641"/>
    <d v="2026-07-24T00:00:00"/>
    <x v="19"/>
    <x v="2"/>
    <x v="4"/>
    <s v="Delhi"/>
    <x v="2"/>
    <n v="42"/>
    <n v="33"/>
    <n v="95"/>
    <n v="0"/>
    <n v="99"/>
    <n v="1563.93"/>
    <n v="5"/>
    <n v="5"/>
    <x v="1"/>
    <x v="0"/>
    <x v="0"/>
    <n v="0"/>
  </r>
  <r>
    <s v="ORD00642"/>
    <d v="2026-08-31T00:00:00"/>
    <x v="7"/>
    <x v="3"/>
    <x v="2"/>
    <s v="Bangalore"/>
    <x v="1"/>
    <n v="175"/>
    <n v="22"/>
    <n v="69"/>
    <n v="128"/>
    <n v="81"/>
    <n v="963.17"/>
    <n v="2"/>
    <n v="0"/>
    <x v="1"/>
    <x v="1"/>
    <x v="0"/>
    <n v="123285.75999999999"/>
  </r>
  <r>
    <s v="ORD00643"/>
    <d v="2026-04-29T00:00:00"/>
    <x v="3"/>
    <x v="0"/>
    <x v="1"/>
    <s v="Delhi"/>
    <x v="2"/>
    <n v="154"/>
    <n v="109"/>
    <n v="70"/>
    <n v="193"/>
    <n v="46"/>
    <n v="839.04"/>
    <n v="7"/>
    <n v="0"/>
    <x v="1"/>
    <x v="2"/>
    <x v="0"/>
    <n v="161934.72"/>
  </r>
  <r>
    <s v="ORD00644"/>
    <d v="2026-08-02T00:00:00"/>
    <x v="15"/>
    <x v="4"/>
    <x v="1"/>
    <s v="Delhi"/>
    <x v="2"/>
    <n v="194"/>
    <n v="129"/>
    <n v="106"/>
    <n v="217"/>
    <n v="87"/>
    <n v="447.16"/>
    <n v="4"/>
    <n v="0"/>
    <x v="1"/>
    <x v="2"/>
    <x v="0"/>
    <n v="97033.72"/>
  </r>
  <r>
    <s v="ORD00645"/>
    <d v="2026-09-09T00:00:00"/>
    <x v="19"/>
    <x v="2"/>
    <x v="2"/>
    <s v="Mumbai"/>
    <x v="0"/>
    <n v="112"/>
    <n v="108"/>
    <n v="110"/>
    <n v="110"/>
    <n v="50"/>
    <n v="1550.12"/>
    <n v="3"/>
    <n v="0"/>
    <x v="1"/>
    <x v="1"/>
    <x v="0"/>
    <n v="170513.19999999998"/>
  </r>
  <r>
    <s v="ORD00646"/>
    <d v="2026-03-23T00:00:00"/>
    <x v="3"/>
    <x v="0"/>
    <x v="3"/>
    <s v="Delhi"/>
    <x v="2"/>
    <n v="100"/>
    <n v="46"/>
    <n v="86"/>
    <n v="60"/>
    <n v="48"/>
    <n v="989.87"/>
    <n v="4"/>
    <n v="0"/>
    <x v="1"/>
    <x v="1"/>
    <x v="0"/>
    <n v="59392.2"/>
  </r>
  <r>
    <s v="ORD00647"/>
    <d v="2026-07-01T00:00:00"/>
    <x v="9"/>
    <x v="1"/>
    <x v="4"/>
    <s v="Delhi"/>
    <x v="2"/>
    <n v="150"/>
    <n v="34"/>
    <n v="94"/>
    <n v="90"/>
    <n v="59"/>
    <n v="646.9"/>
    <n v="3"/>
    <n v="0"/>
    <x v="1"/>
    <x v="1"/>
    <x v="3"/>
    <n v="58221"/>
  </r>
  <r>
    <s v="ORD00648"/>
    <d v="2026-11-09T00:00:00"/>
    <x v="16"/>
    <x v="0"/>
    <x v="2"/>
    <s v="Bangalore"/>
    <x v="1"/>
    <n v="220"/>
    <n v="26"/>
    <n v="71"/>
    <n v="175"/>
    <n v="96"/>
    <n v="1189.71"/>
    <n v="8"/>
    <n v="0"/>
    <x v="1"/>
    <x v="1"/>
    <x v="3"/>
    <n v="208199.25"/>
  </r>
  <r>
    <s v="ORD00649"/>
    <d v="2026-05-30T00:00:00"/>
    <x v="12"/>
    <x v="4"/>
    <x v="1"/>
    <s v="Bangalore"/>
    <x v="1"/>
    <n v="169"/>
    <n v="33"/>
    <n v="36"/>
    <n v="166"/>
    <n v="85"/>
    <n v="461.81"/>
    <n v="3"/>
    <n v="0"/>
    <x v="1"/>
    <x v="1"/>
    <x v="0"/>
    <n v="76660.460000000006"/>
  </r>
  <r>
    <s v="ORD00650"/>
    <d v="2026-01-04T00:00:00"/>
    <x v="7"/>
    <x v="3"/>
    <x v="4"/>
    <s v="Mumbai"/>
    <x v="0"/>
    <n v="205"/>
    <n v="66"/>
    <n v="57"/>
    <n v="214"/>
    <n v="97"/>
    <n v="927.55"/>
    <n v="8"/>
    <n v="0"/>
    <x v="1"/>
    <x v="2"/>
    <x v="3"/>
    <n v="198495.69999999998"/>
  </r>
  <r>
    <s v="ORD00651"/>
    <d v="2026-05-06T00:00:00"/>
    <x v="2"/>
    <x v="1"/>
    <x v="0"/>
    <s v="Delhi"/>
    <x v="2"/>
    <n v="169"/>
    <n v="41"/>
    <n v="25"/>
    <n v="185"/>
    <n v="62"/>
    <n v="2338.77"/>
    <n v="8"/>
    <n v="0"/>
    <x v="1"/>
    <x v="2"/>
    <x v="0"/>
    <n v="432672.45"/>
  </r>
  <r>
    <s v="ORD00652"/>
    <d v="2026-01-16T00:00:00"/>
    <x v="2"/>
    <x v="1"/>
    <x v="2"/>
    <s v="Mumbai"/>
    <x v="0"/>
    <n v="149"/>
    <n v="72"/>
    <n v="67"/>
    <n v="154"/>
    <n v="74"/>
    <n v="2616.88"/>
    <n v="6"/>
    <n v="0"/>
    <x v="1"/>
    <x v="1"/>
    <x v="0"/>
    <n v="402999.52"/>
  </r>
  <r>
    <s v="ORD00653"/>
    <d v="2026-12-05T00:00:00"/>
    <x v="11"/>
    <x v="3"/>
    <x v="4"/>
    <s v="Bangalore"/>
    <x v="1"/>
    <n v="61"/>
    <n v="63"/>
    <n v="55"/>
    <n v="69"/>
    <n v="70"/>
    <n v="2412.06"/>
    <n v="3"/>
    <n v="7"/>
    <x v="1"/>
    <x v="1"/>
    <x v="2"/>
    <n v="166432.13999999998"/>
  </r>
  <r>
    <s v="ORD00654"/>
    <d v="2026-06-26T00:00:00"/>
    <x v="9"/>
    <x v="1"/>
    <x v="1"/>
    <s v="Delhi"/>
    <x v="2"/>
    <n v="147"/>
    <n v="71"/>
    <n v="102"/>
    <n v="116"/>
    <n v="89"/>
    <n v="707.51"/>
    <n v="4"/>
    <n v="0"/>
    <x v="1"/>
    <x v="1"/>
    <x v="0"/>
    <n v="82071.16"/>
  </r>
  <r>
    <s v="ORD00655"/>
    <d v="2026-08-15T00:00:00"/>
    <x v="16"/>
    <x v="0"/>
    <x v="1"/>
    <s v="Mumbai"/>
    <x v="0"/>
    <n v="219"/>
    <n v="71"/>
    <n v="72"/>
    <n v="218"/>
    <n v="86"/>
    <n v="1129.23"/>
    <n v="6"/>
    <n v="0"/>
    <x v="1"/>
    <x v="2"/>
    <x v="0"/>
    <n v="246172.14"/>
  </r>
  <r>
    <s v="ORD00656"/>
    <d v="2026-10-04T00:00:00"/>
    <x v="19"/>
    <x v="2"/>
    <x v="2"/>
    <s v="Delhi"/>
    <x v="2"/>
    <n v="61"/>
    <n v="24"/>
    <n v="83"/>
    <n v="2"/>
    <n v="66"/>
    <n v="1467"/>
    <n v="7"/>
    <n v="3"/>
    <x v="1"/>
    <x v="0"/>
    <x v="0"/>
    <n v="2934"/>
  </r>
  <r>
    <s v="ORD00657"/>
    <d v="2026-06-05T00:00:00"/>
    <x v="13"/>
    <x v="2"/>
    <x v="4"/>
    <s v="Delhi"/>
    <x v="2"/>
    <n v="173"/>
    <n v="63"/>
    <n v="96"/>
    <n v="140"/>
    <n v="55"/>
    <n v="995.15"/>
    <n v="8"/>
    <n v="0"/>
    <x v="1"/>
    <x v="2"/>
    <x v="0"/>
    <n v="139321"/>
  </r>
  <r>
    <s v="ORD00658"/>
    <d v="2026-06-02T00:00:00"/>
    <x v="8"/>
    <x v="3"/>
    <x v="4"/>
    <s v="Delhi"/>
    <x v="2"/>
    <n v="106"/>
    <n v="100"/>
    <n v="79"/>
    <n v="127"/>
    <n v="67"/>
    <n v="2589.34"/>
    <n v="8"/>
    <n v="0"/>
    <x v="1"/>
    <x v="1"/>
    <x v="0"/>
    <n v="328846.18"/>
  </r>
  <r>
    <s v="ORD00659"/>
    <d v="2026-04-30T00:00:00"/>
    <x v="12"/>
    <x v="4"/>
    <x v="3"/>
    <s v="Delhi"/>
    <x v="2"/>
    <n v="100"/>
    <n v="123"/>
    <n v="110"/>
    <n v="113"/>
    <n v="82"/>
    <n v="506.56"/>
    <n v="7"/>
    <n v="0"/>
    <x v="1"/>
    <x v="1"/>
    <x v="1"/>
    <n v="57241.279999999999"/>
  </r>
  <r>
    <s v="ORD00660"/>
    <d v="2026-07-04T00:00:00"/>
    <x v="4"/>
    <x v="2"/>
    <x v="0"/>
    <s v="Mumbai"/>
    <x v="0"/>
    <n v="136"/>
    <n v="86"/>
    <n v="109"/>
    <n v="113"/>
    <n v="60"/>
    <n v="736.84"/>
    <n v="6"/>
    <n v="0"/>
    <x v="1"/>
    <x v="1"/>
    <x v="1"/>
    <n v="83262.92"/>
  </r>
  <r>
    <s v="ORD00661"/>
    <d v="2026-07-09T00:00:00"/>
    <x v="8"/>
    <x v="3"/>
    <x v="2"/>
    <s v="Kolkata"/>
    <x v="3"/>
    <n v="145"/>
    <n v="30"/>
    <n v="26"/>
    <n v="149"/>
    <n v="48"/>
    <n v="2757.94"/>
    <n v="3"/>
    <n v="0"/>
    <x v="1"/>
    <x v="2"/>
    <x v="0"/>
    <n v="410933.06"/>
  </r>
  <r>
    <s v="ORD00662"/>
    <d v="2026-08-02T00:00:00"/>
    <x v="10"/>
    <x v="4"/>
    <x v="1"/>
    <s v="Kolkata"/>
    <x v="3"/>
    <n v="107"/>
    <n v="94"/>
    <n v="78"/>
    <n v="123"/>
    <n v="85"/>
    <n v="590.80999999999995"/>
    <n v="5"/>
    <n v="0"/>
    <x v="1"/>
    <x v="1"/>
    <x v="3"/>
    <n v="72669.62999999999"/>
  </r>
  <r>
    <s v="ORD00663"/>
    <d v="2026-04-19T00:00:00"/>
    <x v="1"/>
    <x v="1"/>
    <x v="1"/>
    <s v="Mumbai"/>
    <x v="0"/>
    <n v="164"/>
    <n v="111"/>
    <n v="73"/>
    <n v="202"/>
    <n v="53"/>
    <n v="1421.69"/>
    <n v="6"/>
    <n v="0"/>
    <x v="1"/>
    <x v="2"/>
    <x v="0"/>
    <n v="287181.38"/>
  </r>
  <r>
    <s v="ORD00664"/>
    <d v="2026-01-21T00:00:00"/>
    <x v="7"/>
    <x v="3"/>
    <x v="4"/>
    <s v="Mumbai"/>
    <x v="0"/>
    <n v="183"/>
    <n v="67"/>
    <n v="30"/>
    <n v="220"/>
    <n v="83"/>
    <n v="1070.46"/>
    <n v="2"/>
    <n v="0"/>
    <x v="0"/>
    <x v="2"/>
    <x v="0"/>
    <n v="235501.2"/>
  </r>
  <r>
    <s v="ORD00665"/>
    <d v="2026-08-04T00:00:00"/>
    <x v="15"/>
    <x v="4"/>
    <x v="4"/>
    <s v="Delhi"/>
    <x v="2"/>
    <n v="118"/>
    <n v="67"/>
    <n v="53"/>
    <n v="132"/>
    <n v="63"/>
    <n v="448.73"/>
    <n v="8"/>
    <n v="0"/>
    <x v="0"/>
    <x v="1"/>
    <x v="2"/>
    <n v="59232.36"/>
  </r>
  <r>
    <s v="ORD00666"/>
    <d v="2026-08-02T00:00:00"/>
    <x v="16"/>
    <x v="0"/>
    <x v="0"/>
    <s v="Mumbai"/>
    <x v="0"/>
    <n v="86"/>
    <n v="124"/>
    <n v="109"/>
    <n v="101"/>
    <n v="76"/>
    <n v="1080.5"/>
    <n v="6"/>
    <n v="0"/>
    <x v="1"/>
    <x v="1"/>
    <x v="1"/>
    <n v="109130.5"/>
  </r>
  <r>
    <s v="ORD00667"/>
    <d v="2026-09-16T00:00:00"/>
    <x v="5"/>
    <x v="3"/>
    <x v="1"/>
    <s v="Kolkata"/>
    <x v="3"/>
    <n v="126"/>
    <n v="120"/>
    <n v="63"/>
    <n v="183"/>
    <n v="75"/>
    <n v="1386.96"/>
    <n v="8"/>
    <n v="0"/>
    <x v="1"/>
    <x v="2"/>
    <x v="2"/>
    <n v="253813.68"/>
  </r>
  <r>
    <s v="ORD00668"/>
    <d v="2026-01-24T00:00:00"/>
    <x v="7"/>
    <x v="3"/>
    <x v="3"/>
    <s v="Mumbai"/>
    <x v="0"/>
    <n v="123"/>
    <n v="31"/>
    <n v="94"/>
    <n v="60"/>
    <n v="87"/>
    <n v="1024.72"/>
    <n v="5"/>
    <n v="7"/>
    <x v="1"/>
    <x v="1"/>
    <x v="0"/>
    <n v="61483.200000000004"/>
  </r>
  <r>
    <s v="ORD00669"/>
    <d v="2026-02-13T00:00:00"/>
    <x v="5"/>
    <x v="3"/>
    <x v="4"/>
    <s v="Mumbai"/>
    <x v="0"/>
    <n v="46"/>
    <n v="93"/>
    <n v="95"/>
    <n v="44"/>
    <n v="95"/>
    <n v="1370.61"/>
    <n v="4"/>
    <n v="2"/>
    <x v="1"/>
    <x v="0"/>
    <x v="0"/>
    <n v="60306.84"/>
  </r>
  <r>
    <s v="ORD00670"/>
    <d v="2026-04-16T00:00:00"/>
    <x v="9"/>
    <x v="1"/>
    <x v="1"/>
    <s v="Mumbai"/>
    <x v="0"/>
    <n v="161"/>
    <n v="84"/>
    <n v="17"/>
    <n v="228"/>
    <n v="52"/>
    <n v="722.16"/>
    <n v="6"/>
    <n v="0"/>
    <x v="1"/>
    <x v="2"/>
    <x v="0"/>
    <n v="164652.47999999998"/>
  </r>
  <r>
    <s v="ORD00671"/>
    <d v="2026-01-13T00:00:00"/>
    <x v="2"/>
    <x v="1"/>
    <x v="4"/>
    <s v="Delhi"/>
    <x v="2"/>
    <n v="142"/>
    <n v="95"/>
    <n v="20"/>
    <n v="217"/>
    <n v="76"/>
    <n v="2573.75"/>
    <n v="2"/>
    <n v="0"/>
    <x v="1"/>
    <x v="2"/>
    <x v="0"/>
    <n v="558503.75"/>
  </r>
  <r>
    <s v="ORD00672"/>
    <d v="2026-07-28T00:00:00"/>
    <x v="6"/>
    <x v="4"/>
    <x v="3"/>
    <s v="Delhi"/>
    <x v="2"/>
    <n v="63"/>
    <n v="34"/>
    <n v="27"/>
    <n v="70"/>
    <n v="79"/>
    <n v="606.86"/>
    <n v="3"/>
    <n v="2"/>
    <x v="1"/>
    <x v="1"/>
    <x v="0"/>
    <n v="42480.200000000004"/>
  </r>
  <r>
    <s v="ORD00673"/>
    <d v="2026-05-13T00:00:00"/>
    <x v="9"/>
    <x v="1"/>
    <x v="1"/>
    <s v="Delhi"/>
    <x v="2"/>
    <n v="86"/>
    <n v="23"/>
    <n v="106"/>
    <n v="3"/>
    <n v="48"/>
    <n v="671.72"/>
    <n v="2"/>
    <n v="7"/>
    <x v="1"/>
    <x v="0"/>
    <x v="1"/>
    <n v="2015.16"/>
  </r>
  <r>
    <s v="ORD00674"/>
    <d v="2026-02-28T00:00:00"/>
    <x v="8"/>
    <x v="3"/>
    <x v="4"/>
    <s v="Mumbai"/>
    <x v="0"/>
    <n v="101"/>
    <n v="116"/>
    <n v="91"/>
    <n v="126"/>
    <n v="82"/>
    <n v="2652.44"/>
    <n v="6"/>
    <n v="0"/>
    <x v="1"/>
    <x v="1"/>
    <x v="0"/>
    <n v="334207.44"/>
  </r>
  <r>
    <s v="ORD00675"/>
    <d v="2026-05-18T00:00:00"/>
    <x v="18"/>
    <x v="2"/>
    <x v="0"/>
    <s v="Kolkata"/>
    <x v="3"/>
    <n v="181"/>
    <n v="72"/>
    <n v="23"/>
    <n v="230"/>
    <n v="75"/>
    <n v="2898.5"/>
    <n v="7"/>
    <n v="0"/>
    <x v="1"/>
    <x v="2"/>
    <x v="1"/>
    <n v="666655"/>
  </r>
  <r>
    <s v="ORD00676"/>
    <d v="2026-03-14T00:00:00"/>
    <x v="12"/>
    <x v="4"/>
    <x v="2"/>
    <s v="Mumbai"/>
    <x v="0"/>
    <n v="117"/>
    <n v="92"/>
    <n v="67"/>
    <n v="142"/>
    <n v="73"/>
    <n v="458.39"/>
    <n v="7"/>
    <n v="0"/>
    <x v="1"/>
    <x v="1"/>
    <x v="2"/>
    <n v="65091.38"/>
  </r>
  <r>
    <s v="ORD00677"/>
    <d v="2026-03-27T00:00:00"/>
    <x v="13"/>
    <x v="2"/>
    <x v="2"/>
    <s v="Kolkata"/>
    <x v="3"/>
    <n v="182"/>
    <n v="77"/>
    <n v="20"/>
    <n v="239"/>
    <n v="45"/>
    <n v="1168.78"/>
    <n v="8"/>
    <n v="0"/>
    <x v="1"/>
    <x v="2"/>
    <x v="0"/>
    <n v="279338.42"/>
  </r>
  <r>
    <s v="ORD00678"/>
    <d v="2026-09-19T00:00:00"/>
    <x v="0"/>
    <x v="0"/>
    <x v="3"/>
    <s v="Delhi"/>
    <x v="2"/>
    <n v="193"/>
    <n v="52"/>
    <n v="102"/>
    <n v="143"/>
    <n v="69"/>
    <n v="1979.73"/>
    <n v="8"/>
    <n v="0"/>
    <x v="1"/>
    <x v="1"/>
    <x v="0"/>
    <n v="283101.39"/>
  </r>
  <r>
    <s v="ORD00679"/>
    <d v="2026-04-18T00:00:00"/>
    <x v="18"/>
    <x v="2"/>
    <x v="2"/>
    <s v="Bangalore"/>
    <x v="1"/>
    <n v="116"/>
    <n v="31"/>
    <n v="65"/>
    <n v="82"/>
    <n v="89"/>
    <n v="2958.71"/>
    <n v="3"/>
    <n v="5"/>
    <x v="1"/>
    <x v="1"/>
    <x v="1"/>
    <n v="242614.22"/>
  </r>
  <r>
    <s v="ORD00680"/>
    <d v="2026-06-18T00:00:00"/>
    <x v="6"/>
    <x v="4"/>
    <x v="0"/>
    <s v="Delhi"/>
    <x v="2"/>
    <n v="155"/>
    <n v="54"/>
    <n v="46"/>
    <n v="163"/>
    <n v="87"/>
    <n v="712.79"/>
    <n v="4"/>
    <n v="0"/>
    <x v="1"/>
    <x v="1"/>
    <x v="3"/>
    <n v="116184.76999999999"/>
  </r>
  <r>
    <s v="ORD00681"/>
    <d v="2026-11-29T00:00:00"/>
    <x v="17"/>
    <x v="0"/>
    <x v="4"/>
    <s v="Kolkata"/>
    <x v="3"/>
    <n v="41"/>
    <n v="21"/>
    <n v="101"/>
    <n v="0"/>
    <n v="56"/>
    <n v="1375.69"/>
    <n v="7"/>
    <n v="7"/>
    <x v="1"/>
    <x v="0"/>
    <x v="0"/>
    <n v="0"/>
  </r>
  <r>
    <s v="ORD00682"/>
    <d v="2026-12-23T00:00:00"/>
    <x v="0"/>
    <x v="0"/>
    <x v="3"/>
    <s v="Bangalore"/>
    <x v="1"/>
    <n v="130"/>
    <n v="124"/>
    <n v="63"/>
    <n v="191"/>
    <n v="97"/>
    <n v="1836.47"/>
    <n v="5"/>
    <n v="0"/>
    <x v="1"/>
    <x v="1"/>
    <x v="2"/>
    <n v="350765.77"/>
  </r>
  <r>
    <s v="ORD00683"/>
    <d v="2026-07-03T00:00:00"/>
    <x v="0"/>
    <x v="0"/>
    <x v="3"/>
    <s v="Delhi"/>
    <x v="2"/>
    <n v="89"/>
    <n v="76"/>
    <n v="16"/>
    <n v="149"/>
    <n v="59"/>
    <n v="1887.53"/>
    <n v="8"/>
    <n v="0"/>
    <x v="1"/>
    <x v="2"/>
    <x v="3"/>
    <n v="281241.96999999997"/>
  </r>
  <r>
    <s v="ORD00684"/>
    <d v="2026-11-23T00:00:00"/>
    <x v="9"/>
    <x v="1"/>
    <x v="1"/>
    <s v="Delhi"/>
    <x v="2"/>
    <n v="96"/>
    <n v="49"/>
    <n v="78"/>
    <n v="67"/>
    <n v="68"/>
    <n v="635.15"/>
    <n v="5"/>
    <n v="4"/>
    <x v="1"/>
    <x v="1"/>
    <x v="0"/>
    <n v="42555.049999999996"/>
  </r>
  <r>
    <s v="ORD00685"/>
    <d v="2026-02-03T00:00:00"/>
    <x v="8"/>
    <x v="3"/>
    <x v="0"/>
    <s v="Kolkata"/>
    <x v="3"/>
    <n v="83"/>
    <n v="90"/>
    <n v="39"/>
    <n v="134"/>
    <n v="87"/>
    <n v="2933.74"/>
    <n v="7"/>
    <n v="0"/>
    <x v="1"/>
    <x v="1"/>
    <x v="0"/>
    <n v="393121.16"/>
  </r>
  <r>
    <s v="ORD00686"/>
    <d v="2026-12-21T00:00:00"/>
    <x v="15"/>
    <x v="4"/>
    <x v="4"/>
    <s v="Mumbai"/>
    <x v="0"/>
    <n v="106"/>
    <n v="92"/>
    <n v="44"/>
    <n v="154"/>
    <n v="78"/>
    <n v="470.6"/>
    <n v="4"/>
    <n v="0"/>
    <x v="1"/>
    <x v="1"/>
    <x v="0"/>
    <n v="72472.400000000009"/>
  </r>
  <r>
    <s v="ORD00687"/>
    <d v="2026-07-28T00:00:00"/>
    <x v="6"/>
    <x v="4"/>
    <x v="1"/>
    <s v="Kolkata"/>
    <x v="3"/>
    <n v="40"/>
    <n v="74"/>
    <n v="97"/>
    <n v="17"/>
    <n v="88"/>
    <n v="707.6"/>
    <n v="2"/>
    <n v="6"/>
    <x v="1"/>
    <x v="0"/>
    <x v="0"/>
    <n v="12029.2"/>
  </r>
  <r>
    <s v="ORD00688"/>
    <d v="2026-08-04T00:00:00"/>
    <x v="18"/>
    <x v="2"/>
    <x v="1"/>
    <s v="Kolkata"/>
    <x v="3"/>
    <n v="166"/>
    <n v="66"/>
    <n v="81"/>
    <n v="151"/>
    <n v="93"/>
    <n v="2907.82"/>
    <n v="7"/>
    <n v="0"/>
    <x v="1"/>
    <x v="1"/>
    <x v="0"/>
    <n v="439080.82"/>
  </r>
  <r>
    <s v="ORD00689"/>
    <d v="2026-12-20T00:00:00"/>
    <x v="10"/>
    <x v="4"/>
    <x v="0"/>
    <s v="Bangalore"/>
    <x v="1"/>
    <n v="140"/>
    <n v="44"/>
    <n v="57"/>
    <n v="127"/>
    <n v="50"/>
    <n v="645.61"/>
    <n v="8"/>
    <n v="0"/>
    <x v="0"/>
    <x v="2"/>
    <x v="2"/>
    <n v="81992.47"/>
  </r>
  <r>
    <s v="ORD00690"/>
    <d v="2026-01-13T00:00:00"/>
    <x v="8"/>
    <x v="3"/>
    <x v="2"/>
    <s v="Mumbai"/>
    <x v="0"/>
    <n v="82"/>
    <n v="62"/>
    <n v="54"/>
    <n v="90"/>
    <n v="49"/>
    <n v="2870.56"/>
    <n v="2"/>
    <n v="0"/>
    <x v="0"/>
    <x v="1"/>
    <x v="0"/>
    <n v="258350.4"/>
  </r>
  <r>
    <s v="ORD00691"/>
    <d v="2026-02-07T00:00:00"/>
    <x v="6"/>
    <x v="4"/>
    <x v="0"/>
    <s v="Mumbai"/>
    <x v="0"/>
    <n v="67"/>
    <n v="80"/>
    <n v="45"/>
    <n v="102"/>
    <n v="66"/>
    <n v="693.23"/>
    <n v="8"/>
    <n v="0"/>
    <x v="1"/>
    <x v="1"/>
    <x v="2"/>
    <n v="70709.460000000006"/>
  </r>
  <r>
    <s v="ORD00692"/>
    <d v="2026-02-03T00:00:00"/>
    <x v="10"/>
    <x v="4"/>
    <x v="4"/>
    <s v="Kolkata"/>
    <x v="3"/>
    <n v="188"/>
    <n v="35"/>
    <n v="25"/>
    <n v="198"/>
    <n v="48"/>
    <n v="650.01"/>
    <n v="5"/>
    <n v="0"/>
    <x v="1"/>
    <x v="2"/>
    <x v="1"/>
    <n v="128701.98"/>
  </r>
  <r>
    <s v="ORD00693"/>
    <d v="2026-07-15T00:00:00"/>
    <x v="9"/>
    <x v="1"/>
    <x v="3"/>
    <s v="Bangalore"/>
    <x v="1"/>
    <n v="117"/>
    <n v="98"/>
    <n v="95"/>
    <n v="120"/>
    <n v="72"/>
    <n v="639.21"/>
    <n v="7"/>
    <n v="0"/>
    <x v="0"/>
    <x v="1"/>
    <x v="0"/>
    <n v="76705.200000000012"/>
  </r>
  <r>
    <s v="ORD00694"/>
    <d v="2026-08-08T00:00:00"/>
    <x v="8"/>
    <x v="3"/>
    <x v="1"/>
    <s v="Kolkata"/>
    <x v="3"/>
    <n v="99"/>
    <n v="130"/>
    <n v="91"/>
    <n v="138"/>
    <n v="95"/>
    <n v="2889.45"/>
    <n v="2"/>
    <n v="0"/>
    <x v="1"/>
    <x v="1"/>
    <x v="0"/>
    <n v="398744.1"/>
  </r>
  <r>
    <s v="ORD00695"/>
    <d v="2026-10-31T00:00:00"/>
    <x v="12"/>
    <x v="4"/>
    <x v="0"/>
    <s v="Bangalore"/>
    <x v="1"/>
    <n v="156"/>
    <n v="86"/>
    <n v="57"/>
    <n v="185"/>
    <n v="82"/>
    <n v="469.25"/>
    <n v="2"/>
    <n v="0"/>
    <x v="0"/>
    <x v="2"/>
    <x v="2"/>
    <n v="86811.25"/>
  </r>
  <r>
    <s v="ORD00696"/>
    <d v="2026-01-31T00:00:00"/>
    <x v="1"/>
    <x v="1"/>
    <x v="1"/>
    <s v="Delhi"/>
    <x v="2"/>
    <n v="130"/>
    <n v="73"/>
    <n v="76"/>
    <n v="127"/>
    <n v="91"/>
    <n v="1331.42"/>
    <n v="3"/>
    <n v="0"/>
    <x v="1"/>
    <x v="1"/>
    <x v="2"/>
    <n v="169090.34"/>
  </r>
  <r>
    <s v="ORD00697"/>
    <d v="2026-06-08T00:00:00"/>
    <x v="14"/>
    <x v="1"/>
    <x v="1"/>
    <s v="Kolkata"/>
    <x v="3"/>
    <n v="171"/>
    <n v="103"/>
    <n v="60"/>
    <n v="214"/>
    <n v="64"/>
    <n v="1626.77"/>
    <n v="6"/>
    <n v="0"/>
    <x v="1"/>
    <x v="2"/>
    <x v="0"/>
    <n v="348128.77999999997"/>
  </r>
  <r>
    <s v="ORD00698"/>
    <d v="2026-04-11T00:00:00"/>
    <x v="6"/>
    <x v="4"/>
    <x v="0"/>
    <s v="Delhi"/>
    <x v="2"/>
    <n v="42"/>
    <n v="86"/>
    <n v="90"/>
    <n v="38"/>
    <n v="87"/>
    <n v="673.18"/>
    <n v="2"/>
    <n v="1"/>
    <x v="1"/>
    <x v="0"/>
    <x v="0"/>
    <n v="25580.839999999997"/>
  </r>
  <r>
    <s v="ORD00699"/>
    <d v="2026-10-24T00:00:00"/>
    <x v="1"/>
    <x v="1"/>
    <x v="4"/>
    <s v="Delhi"/>
    <x v="2"/>
    <n v="88"/>
    <n v="105"/>
    <n v="75"/>
    <n v="118"/>
    <n v="89"/>
    <n v="1349.88"/>
    <n v="5"/>
    <n v="0"/>
    <x v="1"/>
    <x v="1"/>
    <x v="0"/>
    <n v="159285.84000000003"/>
  </r>
  <r>
    <s v="ORD00700"/>
    <d v="2026-01-02T00:00:00"/>
    <x v="6"/>
    <x v="4"/>
    <x v="1"/>
    <s v="Delhi"/>
    <x v="2"/>
    <n v="147"/>
    <n v="62"/>
    <n v="35"/>
    <n v="174"/>
    <n v="51"/>
    <n v="644.05999999999995"/>
    <n v="8"/>
    <n v="0"/>
    <x v="1"/>
    <x v="2"/>
    <x v="0"/>
    <n v="112066.43999999999"/>
  </r>
  <r>
    <s v="ORD00701"/>
    <d v="2026-04-05T00:00:00"/>
    <x v="1"/>
    <x v="1"/>
    <x v="3"/>
    <s v="Mumbai"/>
    <x v="0"/>
    <n v="101"/>
    <n v="81"/>
    <n v="109"/>
    <n v="73"/>
    <n v="94"/>
    <n v="1417.67"/>
    <n v="4"/>
    <n v="7"/>
    <x v="1"/>
    <x v="1"/>
    <x v="0"/>
    <n v="103489.91"/>
  </r>
  <r>
    <s v="ORD00702"/>
    <d v="2026-07-04T00:00:00"/>
    <x v="16"/>
    <x v="0"/>
    <x v="4"/>
    <s v="Bangalore"/>
    <x v="1"/>
    <n v="131"/>
    <n v="23"/>
    <n v="86"/>
    <n v="68"/>
    <n v="52"/>
    <n v="1114.18"/>
    <n v="5"/>
    <n v="0"/>
    <x v="1"/>
    <x v="1"/>
    <x v="0"/>
    <n v="75764.240000000005"/>
  </r>
  <r>
    <s v="ORD00703"/>
    <d v="2026-04-11T00:00:00"/>
    <x v="0"/>
    <x v="0"/>
    <x v="2"/>
    <s v="Mumbai"/>
    <x v="0"/>
    <n v="112"/>
    <n v="42"/>
    <n v="43"/>
    <n v="111"/>
    <n v="61"/>
    <n v="1878.78"/>
    <n v="4"/>
    <n v="0"/>
    <x v="1"/>
    <x v="1"/>
    <x v="0"/>
    <n v="208544.58"/>
  </r>
  <r>
    <s v="ORD00704"/>
    <d v="2026-04-18T00:00:00"/>
    <x v="17"/>
    <x v="0"/>
    <x v="0"/>
    <s v="Bangalore"/>
    <x v="1"/>
    <n v="45"/>
    <n v="126"/>
    <n v="101"/>
    <n v="70"/>
    <n v="53"/>
    <n v="1366.1"/>
    <n v="8"/>
    <n v="0"/>
    <x v="1"/>
    <x v="1"/>
    <x v="0"/>
    <n v="95627"/>
  </r>
  <r>
    <s v="ORD00705"/>
    <d v="2026-02-03T00:00:00"/>
    <x v="19"/>
    <x v="2"/>
    <x v="2"/>
    <s v="Delhi"/>
    <x v="2"/>
    <n v="135"/>
    <n v="104"/>
    <n v="36"/>
    <n v="203"/>
    <n v="78"/>
    <n v="1643.13"/>
    <n v="6"/>
    <n v="0"/>
    <x v="1"/>
    <x v="2"/>
    <x v="1"/>
    <n v="333555.39"/>
  </r>
  <r>
    <s v="ORD00706"/>
    <d v="2026-01-24T00:00:00"/>
    <x v="17"/>
    <x v="0"/>
    <x v="2"/>
    <s v="Mumbai"/>
    <x v="0"/>
    <n v="89"/>
    <n v="88"/>
    <n v="63"/>
    <n v="114"/>
    <n v="89"/>
    <n v="1364.79"/>
    <n v="6"/>
    <n v="0"/>
    <x v="1"/>
    <x v="1"/>
    <x v="0"/>
    <n v="155586.06"/>
  </r>
  <r>
    <s v="ORD00707"/>
    <d v="2026-10-27T00:00:00"/>
    <x v="15"/>
    <x v="4"/>
    <x v="1"/>
    <s v="Delhi"/>
    <x v="2"/>
    <n v="78"/>
    <n v="61"/>
    <n v="46"/>
    <n v="93"/>
    <n v="48"/>
    <n v="461.65"/>
    <n v="4"/>
    <n v="0"/>
    <x v="1"/>
    <x v="1"/>
    <x v="1"/>
    <n v="42933.45"/>
  </r>
  <r>
    <s v="ORD00708"/>
    <d v="2026-07-11T00:00:00"/>
    <x v="11"/>
    <x v="3"/>
    <x v="4"/>
    <s v="Kolkata"/>
    <x v="3"/>
    <n v="209"/>
    <n v="98"/>
    <n v="23"/>
    <n v="284"/>
    <n v="55"/>
    <n v="2203.79"/>
    <n v="8"/>
    <n v="0"/>
    <x v="1"/>
    <x v="2"/>
    <x v="2"/>
    <n v="625876.36"/>
  </r>
  <r>
    <s v="ORD00709"/>
    <d v="2026-11-23T00:00:00"/>
    <x v="7"/>
    <x v="3"/>
    <x v="2"/>
    <s v="Delhi"/>
    <x v="2"/>
    <n v="135"/>
    <n v="87"/>
    <n v="103"/>
    <n v="119"/>
    <n v="75"/>
    <n v="1043.1300000000001"/>
    <n v="5"/>
    <n v="0"/>
    <x v="1"/>
    <x v="1"/>
    <x v="0"/>
    <n v="124132.47000000002"/>
  </r>
  <r>
    <s v="ORD00710"/>
    <d v="2026-07-11T00:00:00"/>
    <x v="12"/>
    <x v="4"/>
    <x v="2"/>
    <s v="Mumbai"/>
    <x v="0"/>
    <n v="91"/>
    <n v="77"/>
    <n v="45"/>
    <n v="123"/>
    <n v="70"/>
    <n v="471.86"/>
    <n v="5"/>
    <n v="0"/>
    <x v="1"/>
    <x v="1"/>
    <x v="0"/>
    <n v="58038.78"/>
  </r>
  <r>
    <s v="ORD00711"/>
    <d v="2026-08-07T00:00:00"/>
    <x v="18"/>
    <x v="2"/>
    <x v="2"/>
    <s v="Bangalore"/>
    <x v="1"/>
    <n v="115"/>
    <n v="76"/>
    <n v="81"/>
    <n v="110"/>
    <n v="67"/>
    <n v="3027.31"/>
    <n v="2"/>
    <n v="0"/>
    <x v="1"/>
    <x v="1"/>
    <x v="0"/>
    <n v="333004.09999999998"/>
  </r>
  <r>
    <s v="ORD00712"/>
    <d v="2026-11-27T00:00:00"/>
    <x v="7"/>
    <x v="3"/>
    <x v="3"/>
    <s v="Kolkata"/>
    <x v="3"/>
    <n v="134"/>
    <n v="122"/>
    <n v="78"/>
    <n v="178"/>
    <n v="65"/>
    <n v="954.6"/>
    <n v="2"/>
    <n v="0"/>
    <x v="1"/>
    <x v="2"/>
    <x v="0"/>
    <n v="169918.80000000002"/>
  </r>
  <r>
    <s v="ORD00713"/>
    <d v="2026-02-06T00:00:00"/>
    <x v="16"/>
    <x v="0"/>
    <x v="4"/>
    <s v="Delhi"/>
    <x v="2"/>
    <n v="168"/>
    <n v="85"/>
    <n v="84"/>
    <n v="169"/>
    <n v="86"/>
    <n v="1098.76"/>
    <n v="4"/>
    <n v="0"/>
    <x v="1"/>
    <x v="1"/>
    <x v="0"/>
    <n v="185690.44"/>
  </r>
  <r>
    <s v="ORD00714"/>
    <d v="2026-05-21T00:00:00"/>
    <x v="18"/>
    <x v="2"/>
    <x v="1"/>
    <s v="Mumbai"/>
    <x v="0"/>
    <n v="125"/>
    <n v="45"/>
    <n v="101"/>
    <n v="69"/>
    <n v="66"/>
    <n v="3040.02"/>
    <n v="7"/>
    <n v="0"/>
    <x v="1"/>
    <x v="1"/>
    <x v="2"/>
    <n v="209761.38"/>
  </r>
  <r>
    <s v="ORD00715"/>
    <d v="2026-10-24T00:00:00"/>
    <x v="1"/>
    <x v="1"/>
    <x v="1"/>
    <s v="Delhi"/>
    <x v="2"/>
    <n v="42"/>
    <n v="118"/>
    <n v="53"/>
    <n v="107"/>
    <n v="63"/>
    <n v="1383.8"/>
    <n v="8"/>
    <n v="0"/>
    <x v="1"/>
    <x v="1"/>
    <x v="3"/>
    <n v="148066.6"/>
  </r>
  <r>
    <s v="ORD00716"/>
    <d v="2026-10-10T00:00:00"/>
    <x v="3"/>
    <x v="0"/>
    <x v="1"/>
    <s v="Mumbai"/>
    <x v="0"/>
    <n v="141"/>
    <n v="49"/>
    <n v="44"/>
    <n v="146"/>
    <n v="91"/>
    <n v="944.84"/>
    <n v="5"/>
    <n v="0"/>
    <x v="1"/>
    <x v="1"/>
    <x v="0"/>
    <n v="137946.64000000001"/>
  </r>
  <r>
    <s v="ORD00717"/>
    <d v="2026-10-13T00:00:00"/>
    <x v="7"/>
    <x v="3"/>
    <x v="0"/>
    <s v="Bangalore"/>
    <x v="1"/>
    <n v="120"/>
    <n v="128"/>
    <n v="39"/>
    <n v="209"/>
    <n v="72"/>
    <n v="1054.03"/>
    <n v="7"/>
    <n v="0"/>
    <x v="1"/>
    <x v="2"/>
    <x v="0"/>
    <n v="220292.27"/>
  </r>
  <r>
    <s v="ORD00718"/>
    <d v="2026-08-06T00:00:00"/>
    <x v="16"/>
    <x v="0"/>
    <x v="2"/>
    <s v="Mumbai"/>
    <x v="0"/>
    <n v="118"/>
    <n v="114"/>
    <n v="16"/>
    <n v="216"/>
    <n v="76"/>
    <n v="1274.5"/>
    <n v="8"/>
    <n v="0"/>
    <x v="1"/>
    <x v="2"/>
    <x v="0"/>
    <n v="275292"/>
  </r>
  <r>
    <s v="ORD00719"/>
    <d v="2026-11-08T00:00:00"/>
    <x v="5"/>
    <x v="3"/>
    <x v="0"/>
    <s v="Bangalore"/>
    <x v="1"/>
    <n v="185"/>
    <n v="120"/>
    <n v="19"/>
    <n v="286"/>
    <n v="53"/>
    <n v="1209.96"/>
    <n v="4"/>
    <n v="0"/>
    <x v="1"/>
    <x v="2"/>
    <x v="2"/>
    <n v="346048.56"/>
  </r>
  <r>
    <s v="ORD00720"/>
    <d v="2026-11-24T00:00:00"/>
    <x v="10"/>
    <x v="4"/>
    <x v="3"/>
    <s v="Mumbai"/>
    <x v="0"/>
    <n v="140"/>
    <n v="28"/>
    <n v="83"/>
    <n v="85"/>
    <n v="69"/>
    <n v="562.6"/>
    <n v="2"/>
    <n v="0"/>
    <x v="1"/>
    <x v="1"/>
    <x v="3"/>
    <n v="47821"/>
  </r>
  <r>
    <s v="ORD00721"/>
    <d v="2026-02-05T00:00:00"/>
    <x v="18"/>
    <x v="2"/>
    <x v="2"/>
    <s v="Bangalore"/>
    <x v="1"/>
    <n v="212"/>
    <n v="90"/>
    <n v="37"/>
    <n v="265"/>
    <n v="47"/>
    <n v="3408.94"/>
    <n v="6"/>
    <n v="0"/>
    <x v="1"/>
    <x v="2"/>
    <x v="0"/>
    <n v="903369.1"/>
  </r>
  <r>
    <s v="ORD00722"/>
    <d v="2026-07-30T00:00:00"/>
    <x v="5"/>
    <x v="3"/>
    <x v="2"/>
    <s v="Mumbai"/>
    <x v="0"/>
    <n v="114"/>
    <n v="104"/>
    <n v="82"/>
    <n v="136"/>
    <n v="49"/>
    <n v="1288.21"/>
    <n v="4"/>
    <n v="0"/>
    <x v="1"/>
    <x v="2"/>
    <x v="0"/>
    <n v="175196.56"/>
  </r>
  <r>
    <s v="ORD00723"/>
    <d v="2026-06-08T00:00:00"/>
    <x v="11"/>
    <x v="3"/>
    <x v="4"/>
    <s v="Mumbai"/>
    <x v="0"/>
    <n v="177"/>
    <n v="73"/>
    <n v="76"/>
    <n v="174"/>
    <n v="92"/>
    <n v="2010.26"/>
    <n v="8"/>
    <n v="0"/>
    <x v="1"/>
    <x v="1"/>
    <x v="1"/>
    <n v="349785.24"/>
  </r>
  <r>
    <s v="ORD00724"/>
    <d v="2026-08-17T00:00:00"/>
    <x v="7"/>
    <x v="3"/>
    <x v="2"/>
    <s v="Delhi"/>
    <x v="2"/>
    <n v="190"/>
    <n v="45"/>
    <n v="79"/>
    <n v="156"/>
    <n v="90"/>
    <n v="1036.97"/>
    <n v="4"/>
    <n v="0"/>
    <x v="1"/>
    <x v="1"/>
    <x v="3"/>
    <n v="161767.32"/>
  </r>
  <r>
    <s v="ORD00725"/>
    <d v="2026-11-27T00:00:00"/>
    <x v="3"/>
    <x v="0"/>
    <x v="1"/>
    <s v="Mumbai"/>
    <x v="0"/>
    <n v="174"/>
    <n v="62"/>
    <n v="87"/>
    <n v="149"/>
    <n v="76"/>
    <n v="892.84"/>
    <n v="6"/>
    <n v="0"/>
    <x v="0"/>
    <x v="1"/>
    <x v="0"/>
    <n v="133033.16"/>
  </r>
  <r>
    <s v="ORD00726"/>
    <d v="2026-12-04T00:00:00"/>
    <x v="5"/>
    <x v="3"/>
    <x v="0"/>
    <s v="Kolkata"/>
    <x v="3"/>
    <n v="196"/>
    <n v="125"/>
    <n v="37"/>
    <n v="284"/>
    <n v="71"/>
    <n v="1234.78"/>
    <n v="6"/>
    <n v="0"/>
    <x v="1"/>
    <x v="2"/>
    <x v="0"/>
    <n v="350677.52"/>
  </r>
  <r>
    <s v="ORD00727"/>
    <d v="2026-04-22T00:00:00"/>
    <x v="9"/>
    <x v="1"/>
    <x v="3"/>
    <s v="Bangalore"/>
    <x v="1"/>
    <n v="101"/>
    <n v="40"/>
    <n v="50"/>
    <n v="91"/>
    <n v="85"/>
    <n v="705.28"/>
    <n v="7"/>
    <n v="0"/>
    <x v="1"/>
    <x v="1"/>
    <x v="2"/>
    <n v="64180.479999999996"/>
  </r>
  <r>
    <s v="ORD00728"/>
    <d v="2026-04-17T00:00:00"/>
    <x v="7"/>
    <x v="3"/>
    <x v="1"/>
    <s v="Bangalore"/>
    <x v="1"/>
    <n v="134"/>
    <n v="29"/>
    <n v="28"/>
    <n v="135"/>
    <n v="77"/>
    <n v="1053.31"/>
    <n v="4"/>
    <n v="0"/>
    <x v="1"/>
    <x v="1"/>
    <x v="0"/>
    <n v="142196.85"/>
  </r>
  <r>
    <s v="ORD00729"/>
    <d v="2026-07-23T00:00:00"/>
    <x v="12"/>
    <x v="4"/>
    <x v="3"/>
    <s v="Bangalore"/>
    <x v="1"/>
    <n v="58"/>
    <n v="101"/>
    <n v="103"/>
    <n v="56"/>
    <n v="88"/>
    <n v="524.97"/>
    <n v="5"/>
    <n v="7"/>
    <x v="1"/>
    <x v="0"/>
    <x v="1"/>
    <n v="29398.32"/>
  </r>
  <r>
    <s v="ORD00730"/>
    <d v="2026-08-13T00:00:00"/>
    <x v="0"/>
    <x v="0"/>
    <x v="0"/>
    <s v="Bangalore"/>
    <x v="1"/>
    <n v="74"/>
    <n v="61"/>
    <n v="100"/>
    <n v="35"/>
    <n v="92"/>
    <n v="1787.13"/>
    <n v="5"/>
    <n v="4"/>
    <x v="0"/>
    <x v="0"/>
    <x v="2"/>
    <n v="62549.55"/>
  </r>
  <r>
    <s v="ORD00731"/>
    <d v="2026-03-28T00:00:00"/>
    <x v="2"/>
    <x v="1"/>
    <x v="0"/>
    <s v="Mumbai"/>
    <x v="0"/>
    <n v="83"/>
    <n v="127"/>
    <n v="17"/>
    <n v="193"/>
    <n v="83"/>
    <n v="2208.25"/>
    <n v="4"/>
    <n v="0"/>
    <x v="0"/>
    <x v="2"/>
    <x v="2"/>
    <n v="426192.25"/>
  </r>
  <r>
    <s v="ORD00732"/>
    <d v="2026-01-25T00:00:00"/>
    <x v="0"/>
    <x v="0"/>
    <x v="0"/>
    <s v="Mumbai"/>
    <x v="0"/>
    <n v="152"/>
    <n v="65"/>
    <n v="37"/>
    <n v="180"/>
    <n v="58"/>
    <n v="1877.19"/>
    <n v="7"/>
    <n v="0"/>
    <x v="1"/>
    <x v="2"/>
    <x v="0"/>
    <n v="337894.2"/>
  </r>
  <r>
    <s v="ORD00733"/>
    <d v="2026-07-11T00:00:00"/>
    <x v="12"/>
    <x v="4"/>
    <x v="3"/>
    <s v="Delhi"/>
    <x v="2"/>
    <n v="153"/>
    <n v="26"/>
    <n v="91"/>
    <n v="88"/>
    <n v="45"/>
    <n v="454.87"/>
    <n v="5"/>
    <n v="0"/>
    <x v="1"/>
    <x v="1"/>
    <x v="3"/>
    <n v="40028.559999999998"/>
  </r>
  <r>
    <s v="ORD00734"/>
    <d v="2026-02-19T00:00:00"/>
    <x v="1"/>
    <x v="1"/>
    <x v="4"/>
    <s v="Bangalore"/>
    <x v="1"/>
    <n v="147"/>
    <n v="23"/>
    <n v="16"/>
    <n v="154"/>
    <n v="66"/>
    <n v="1383.34"/>
    <n v="7"/>
    <n v="0"/>
    <x v="1"/>
    <x v="2"/>
    <x v="0"/>
    <n v="213034.36"/>
  </r>
  <r>
    <s v="ORD00735"/>
    <d v="2026-07-22T00:00:00"/>
    <x v="1"/>
    <x v="1"/>
    <x v="4"/>
    <s v="Kolkata"/>
    <x v="3"/>
    <n v="171"/>
    <n v="33"/>
    <n v="56"/>
    <n v="148"/>
    <n v="65"/>
    <n v="1316.13"/>
    <n v="3"/>
    <n v="0"/>
    <x v="1"/>
    <x v="2"/>
    <x v="3"/>
    <n v="194787.24000000002"/>
  </r>
  <r>
    <s v="ORD00736"/>
    <d v="2026-08-23T00:00:00"/>
    <x v="8"/>
    <x v="3"/>
    <x v="2"/>
    <s v="Mumbai"/>
    <x v="0"/>
    <n v="67"/>
    <n v="65"/>
    <n v="56"/>
    <n v="76"/>
    <n v="56"/>
    <n v="2528.4"/>
    <n v="7"/>
    <n v="0"/>
    <x v="1"/>
    <x v="1"/>
    <x v="0"/>
    <n v="192158.4"/>
  </r>
  <r>
    <s v="ORD00737"/>
    <d v="2026-10-19T00:00:00"/>
    <x v="9"/>
    <x v="1"/>
    <x v="0"/>
    <s v="Delhi"/>
    <x v="2"/>
    <n v="51"/>
    <n v="28"/>
    <n v="42"/>
    <n v="37"/>
    <n v="71"/>
    <n v="672.21"/>
    <n v="6"/>
    <n v="2"/>
    <x v="1"/>
    <x v="0"/>
    <x v="2"/>
    <n v="24871.77"/>
  </r>
  <r>
    <s v="ORD00738"/>
    <d v="2026-11-22T00:00:00"/>
    <x v="14"/>
    <x v="1"/>
    <x v="4"/>
    <s v="Delhi"/>
    <x v="2"/>
    <n v="201"/>
    <n v="109"/>
    <n v="64"/>
    <n v="246"/>
    <n v="88"/>
    <n v="1735.86"/>
    <n v="8"/>
    <n v="0"/>
    <x v="1"/>
    <x v="2"/>
    <x v="0"/>
    <n v="427021.56"/>
  </r>
  <r>
    <s v="ORD00739"/>
    <d v="2026-11-12T00:00:00"/>
    <x v="19"/>
    <x v="2"/>
    <x v="4"/>
    <s v="Delhi"/>
    <x v="2"/>
    <n v="44"/>
    <n v="97"/>
    <n v="89"/>
    <n v="52"/>
    <n v="73"/>
    <n v="1464.71"/>
    <n v="7"/>
    <n v="1"/>
    <x v="1"/>
    <x v="1"/>
    <x v="0"/>
    <n v="76164.92"/>
  </r>
  <r>
    <s v="ORD00740"/>
    <d v="2026-04-15T00:00:00"/>
    <x v="16"/>
    <x v="0"/>
    <x v="2"/>
    <s v="Kolkata"/>
    <x v="3"/>
    <n v="102"/>
    <n v="99"/>
    <n v="25"/>
    <n v="176"/>
    <n v="48"/>
    <n v="1113.01"/>
    <n v="5"/>
    <n v="0"/>
    <x v="1"/>
    <x v="2"/>
    <x v="0"/>
    <n v="195889.76"/>
  </r>
  <r>
    <s v="ORD00741"/>
    <d v="2026-08-01T00:00:00"/>
    <x v="17"/>
    <x v="0"/>
    <x v="1"/>
    <s v="Kolkata"/>
    <x v="3"/>
    <n v="124"/>
    <n v="37"/>
    <n v="50"/>
    <n v="111"/>
    <n v="65"/>
    <n v="1440.21"/>
    <n v="8"/>
    <n v="0"/>
    <x v="0"/>
    <x v="1"/>
    <x v="2"/>
    <n v="159863.31"/>
  </r>
  <r>
    <s v="ORD00742"/>
    <d v="2026-12-23T00:00:00"/>
    <x v="18"/>
    <x v="2"/>
    <x v="2"/>
    <s v="Delhi"/>
    <x v="2"/>
    <n v="127"/>
    <n v="51"/>
    <n v="41"/>
    <n v="137"/>
    <n v="79"/>
    <n v="2914.61"/>
    <n v="7"/>
    <n v="0"/>
    <x v="1"/>
    <x v="1"/>
    <x v="1"/>
    <n v="399301.57"/>
  </r>
  <r>
    <s v="ORD00743"/>
    <d v="2026-11-21T00:00:00"/>
    <x v="2"/>
    <x v="1"/>
    <x v="1"/>
    <s v="Delhi"/>
    <x v="2"/>
    <n v="86"/>
    <n v="76"/>
    <n v="95"/>
    <n v="67"/>
    <n v="45"/>
    <n v="2191.02"/>
    <n v="5"/>
    <n v="0"/>
    <x v="0"/>
    <x v="1"/>
    <x v="0"/>
    <n v="146798.34"/>
  </r>
  <r>
    <s v="ORD00744"/>
    <d v="2026-08-28T00:00:00"/>
    <x v="1"/>
    <x v="1"/>
    <x v="2"/>
    <s v="Bangalore"/>
    <x v="1"/>
    <n v="84"/>
    <n v="95"/>
    <n v="85"/>
    <n v="94"/>
    <n v="98"/>
    <n v="1376.76"/>
    <n v="3"/>
    <n v="2"/>
    <x v="1"/>
    <x v="1"/>
    <x v="0"/>
    <n v="129415.44"/>
  </r>
  <r>
    <s v="ORD00745"/>
    <d v="2026-05-20T00:00:00"/>
    <x v="13"/>
    <x v="2"/>
    <x v="2"/>
    <s v="Mumbai"/>
    <x v="0"/>
    <n v="148"/>
    <n v="42"/>
    <n v="92"/>
    <n v="98"/>
    <n v="60"/>
    <n v="1056.68"/>
    <n v="6"/>
    <n v="0"/>
    <x v="1"/>
    <x v="1"/>
    <x v="0"/>
    <n v="103554.64"/>
  </r>
  <r>
    <s v="ORD00746"/>
    <d v="2026-09-04T00:00:00"/>
    <x v="8"/>
    <x v="3"/>
    <x v="0"/>
    <s v="Kolkata"/>
    <x v="3"/>
    <n v="136"/>
    <n v="41"/>
    <n v="75"/>
    <n v="102"/>
    <n v="73"/>
    <n v="2756.71"/>
    <n v="6"/>
    <n v="0"/>
    <x v="1"/>
    <x v="1"/>
    <x v="2"/>
    <n v="281184.42"/>
  </r>
  <r>
    <s v="ORD00747"/>
    <d v="2026-08-21T00:00:00"/>
    <x v="3"/>
    <x v="0"/>
    <x v="3"/>
    <s v="Bangalore"/>
    <x v="1"/>
    <n v="116"/>
    <n v="96"/>
    <n v="83"/>
    <n v="129"/>
    <n v="54"/>
    <n v="909.51"/>
    <n v="3"/>
    <n v="0"/>
    <x v="1"/>
    <x v="2"/>
    <x v="0"/>
    <n v="117326.79"/>
  </r>
  <r>
    <s v="ORD00748"/>
    <d v="2026-09-14T00:00:00"/>
    <x v="19"/>
    <x v="2"/>
    <x v="1"/>
    <s v="Kolkata"/>
    <x v="3"/>
    <n v="58"/>
    <n v="62"/>
    <n v="32"/>
    <n v="88"/>
    <n v="90"/>
    <n v="1490.78"/>
    <n v="3"/>
    <n v="1"/>
    <x v="1"/>
    <x v="1"/>
    <x v="0"/>
    <n v="131188.63999999998"/>
  </r>
  <r>
    <s v="ORD00749"/>
    <d v="2026-01-20T00:00:00"/>
    <x v="19"/>
    <x v="2"/>
    <x v="3"/>
    <s v="Kolkata"/>
    <x v="3"/>
    <n v="141"/>
    <n v="115"/>
    <n v="62"/>
    <n v="194"/>
    <n v="69"/>
    <n v="1496.87"/>
    <n v="7"/>
    <n v="0"/>
    <x v="1"/>
    <x v="2"/>
    <x v="0"/>
    <n v="290392.77999999997"/>
  </r>
  <r>
    <s v="ORD00750"/>
    <d v="2026-09-08T00:00:00"/>
    <x v="3"/>
    <x v="0"/>
    <x v="1"/>
    <s v="Mumbai"/>
    <x v="0"/>
    <n v="89"/>
    <n v="117"/>
    <n v="70"/>
    <n v="136"/>
    <n v="61"/>
    <n v="948.83"/>
    <n v="8"/>
    <n v="0"/>
    <x v="1"/>
    <x v="2"/>
    <x v="0"/>
    <n v="129040.88"/>
  </r>
  <r>
    <s v="ORD00751"/>
    <d v="2026-05-14T00:00:00"/>
    <x v="18"/>
    <x v="2"/>
    <x v="3"/>
    <s v="Kolkata"/>
    <x v="3"/>
    <n v="103"/>
    <n v="51"/>
    <n v="76"/>
    <n v="78"/>
    <n v="47"/>
    <n v="3469.74"/>
    <n v="8"/>
    <n v="3"/>
    <x v="1"/>
    <x v="1"/>
    <x v="0"/>
    <n v="270639.71999999997"/>
  </r>
  <r>
    <s v="ORD00752"/>
    <d v="2026-12-31T00:00:00"/>
    <x v="10"/>
    <x v="4"/>
    <x v="2"/>
    <s v="Delhi"/>
    <x v="2"/>
    <n v="103"/>
    <n v="97"/>
    <n v="89"/>
    <n v="111"/>
    <n v="87"/>
    <n v="640.98"/>
    <n v="2"/>
    <n v="0"/>
    <x v="0"/>
    <x v="1"/>
    <x v="0"/>
    <n v="71148.78"/>
  </r>
  <r>
    <s v="ORD00753"/>
    <d v="2026-09-30T00:00:00"/>
    <x v="7"/>
    <x v="3"/>
    <x v="1"/>
    <s v="Bangalore"/>
    <x v="1"/>
    <n v="172"/>
    <n v="44"/>
    <n v="69"/>
    <n v="147"/>
    <n v="55"/>
    <n v="1065.95"/>
    <n v="4"/>
    <n v="0"/>
    <x v="1"/>
    <x v="2"/>
    <x v="0"/>
    <n v="156694.65"/>
  </r>
  <r>
    <s v="ORD00754"/>
    <d v="2026-07-23T00:00:00"/>
    <x v="5"/>
    <x v="3"/>
    <x v="3"/>
    <s v="Bangalore"/>
    <x v="1"/>
    <n v="67"/>
    <n v="101"/>
    <n v="88"/>
    <n v="80"/>
    <n v="94"/>
    <n v="1377.36"/>
    <n v="8"/>
    <n v="4"/>
    <x v="0"/>
    <x v="1"/>
    <x v="3"/>
    <n v="110188.79999999999"/>
  </r>
  <r>
    <s v="ORD00755"/>
    <d v="2026-03-29T00:00:00"/>
    <x v="18"/>
    <x v="2"/>
    <x v="2"/>
    <s v="Kolkata"/>
    <x v="3"/>
    <n v="40"/>
    <n v="32"/>
    <n v="23"/>
    <n v="49"/>
    <n v="94"/>
    <n v="3325.64"/>
    <n v="6"/>
    <n v="5"/>
    <x v="1"/>
    <x v="0"/>
    <x v="2"/>
    <n v="162956.35999999999"/>
  </r>
  <r>
    <s v="ORD00756"/>
    <d v="2026-04-13T00:00:00"/>
    <x v="14"/>
    <x v="1"/>
    <x v="2"/>
    <s v="Mumbai"/>
    <x v="0"/>
    <n v="90"/>
    <n v="82"/>
    <n v="38"/>
    <n v="134"/>
    <n v="77"/>
    <n v="1743.51"/>
    <n v="5"/>
    <n v="0"/>
    <x v="1"/>
    <x v="1"/>
    <x v="0"/>
    <n v="233630.34"/>
  </r>
  <r>
    <s v="ORD00757"/>
    <d v="2026-07-13T00:00:00"/>
    <x v="17"/>
    <x v="0"/>
    <x v="2"/>
    <s v="Delhi"/>
    <x v="2"/>
    <n v="144"/>
    <n v="76"/>
    <n v="95"/>
    <n v="125"/>
    <n v="84"/>
    <n v="1290.57"/>
    <n v="7"/>
    <n v="0"/>
    <x v="0"/>
    <x v="1"/>
    <x v="0"/>
    <n v="161321.25"/>
  </r>
  <r>
    <s v="ORD00758"/>
    <d v="2026-01-04T00:00:00"/>
    <x v="16"/>
    <x v="0"/>
    <x v="4"/>
    <s v="Delhi"/>
    <x v="2"/>
    <n v="47"/>
    <n v="94"/>
    <n v="45"/>
    <n v="96"/>
    <n v="75"/>
    <n v="1196.45"/>
    <n v="8"/>
    <n v="0"/>
    <x v="0"/>
    <x v="1"/>
    <x v="0"/>
    <n v="114859.20000000001"/>
  </r>
  <r>
    <s v="ORD00759"/>
    <d v="2026-06-22T00:00:00"/>
    <x v="12"/>
    <x v="4"/>
    <x v="4"/>
    <s v="Mumbai"/>
    <x v="0"/>
    <n v="173"/>
    <n v="121"/>
    <n v="15"/>
    <n v="279"/>
    <n v="69"/>
    <n v="510.3"/>
    <n v="8"/>
    <n v="0"/>
    <x v="1"/>
    <x v="2"/>
    <x v="0"/>
    <n v="142373.70000000001"/>
  </r>
  <r>
    <s v="ORD00760"/>
    <d v="2026-01-30T00:00:00"/>
    <x v="10"/>
    <x v="4"/>
    <x v="0"/>
    <s v="Delhi"/>
    <x v="2"/>
    <n v="214"/>
    <n v="63"/>
    <n v="55"/>
    <n v="222"/>
    <n v="97"/>
    <n v="568.75"/>
    <n v="4"/>
    <n v="0"/>
    <x v="1"/>
    <x v="2"/>
    <x v="0"/>
    <n v="126262.5"/>
  </r>
  <r>
    <s v="ORD00761"/>
    <d v="2026-09-29T00:00:00"/>
    <x v="4"/>
    <x v="2"/>
    <x v="4"/>
    <s v="Bangalore"/>
    <x v="1"/>
    <n v="156"/>
    <n v="109"/>
    <n v="66"/>
    <n v="199"/>
    <n v="91"/>
    <n v="853.67"/>
    <n v="3"/>
    <n v="0"/>
    <x v="0"/>
    <x v="1"/>
    <x v="0"/>
    <n v="169880.33"/>
  </r>
  <r>
    <s v="ORD00762"/>
    <d v="2026-11-23T00:00:00"/>
    <x v="13"/>
    <x v="2"/>
    <x v="0"/>
    <s v="Kolkata"/>
    <x v="3"/>
    <n v="198"/>
    <n v="107"/>
    <n v="99"/>
    <n v="206"/>
    <n v="100"/>
    <n v="1094.54"/>
    <n v="5"/>
    <n v="0"/>
    <x v="1"/>
    <x v="1"/>
    <x v="0"/>
    <n v="225475.24"/>
  </r>
  <r>
    <s v="ORD00763"/>
    <d v="2026-06-28T00:00:00"/>
    <x v="18"/>
    <x v="2"/>
    <x v="0"/>
    <s v="Bangalore"/>
    <x v="1"/>
    <n v="123"/>
    <n v="106"/>
    <n v="71"/>
    <n v="158"/>
    <n v="59"/>
    <n v="3268.33"/>
    <n v="5"/>
    <n v="0"/>
    <x v="1"/>
    <x v="2"/>
    <x v="2"/>
    <n v="516396.14"/>
  </r>
  <r>
    <s v="ORD00764"/>
    <d v="2026-09-16T00:00:00"/>
    <x v="7"/>
    <x v="3"/>
    <x v="4"/>
    <s v="Kolkata"/>
    <x v="3"/>
    <n v="115"/>
    <n v="97"/>
    <n v="39"/>
    <n v="173"/>
    <n v="90"/>
    <n v="928.63"/>
    <n v="6"/>
    <n v="0"/>
    <x v="1"/>
    <x v="1"/>
    <x v="2"/>
    <n v="160652.99"/>
  </r>
  <r>
    <s v="ORD00765"/>
    <d v="2026-03-01T00:00:00"/>
    <x v="17"/>
    <x v="0"/>
    <x v="3"/>
    <s v="Bangalore"/>
    <x v="1"/>
    <n v="117"/>
    <n v="126"/>
    <n v="101"/>
    <n v="142"/>
    <n v="80"/>
    <n v="1536.42"/>
    <n v="5"/>
    <n v="0"/>
    <x v="0"/>
    <x v="1"/>
    <x v="0"/>
    <n v="218171.64"/>
  </r>
  <r>
    <s v="ORD00766"/>
    <d v="2026-07-16T00:00:00"/>
    <x v="11"/>
    <x v="3"/>
    <x v="2"/>
    <s v="Mumbai"/>
    <x v="0"/>
    <n v="83"/>
    <n v="116"/>
    <n v="99"/>
    <n v="100"/>
    <n v="89"/>
    <n v="2019.35"/>
    <n v="9"/>
    <n v="0"/>
    <x v="0"/>
    <x v="1"/>
    <x v="0"/>
    <n v="201935"/>
  </r>
  <r>
    <s v="ORD00767"/>
    <d v="2026-12-21T00:00:00"/>
    <x v="13"/>
    <x v="2"/>
    <x v="0"/>
    <s v="Kolkata"/>
    <x v="3"/>
    <n v="211"/>
    <n v="35"/>
    <n v="100"/>
    <n v="146"/>
    <n v="53"/>
    <n v="1193"/>
    <n v="7"/>
    <n v="0"/>
    <x v="1"/>
    <x v="2"/>
    <x v="0"/>
    <n v="174178"/>
  </r>
  <r>
    <s v="ORD00768"/>
    <d v="2026-10-15T00:00:00"/>
    <x v="13"/>
    <x v="2"/>
    <x v="1"/>
    <s v="Bangalore"/>
    <x v="1"/>
    <n v="204"/>
    <n v="63"/>
    <n v="63"/>
    <n v="204"/>
    <n v="90"/>
    <n v="1153.45"/>
    <n v="7"/>
    <n v="0"/>
    <x v="1"/>
    <x v="2"/>
    <x v="0"/>
    <n v="235303.80000000002"/>
  </r>
  <r>
    <s v="ORD00769"/>
    <d v="2026-07-08T00:00:00"/>
    <x v="11"/>
    <x v="3"/>
    <x v="2"/>
    <s v="Delhi"/>
    <x v="2"/>
    <n v="69"/>
    <n v="57"/>
    <n v="26"/>
    <n v="100"/>
    <n v="52"/>
    <n v="2019.22"/>
    <n v="11"/>
    <n v="0"/>
    <x v="1"/>
    <x v="1"/>
    <x v="0"/>
    <n v="201922"/>
  </r>
  <r>
    <s v="ORD00770"/>
    <d v="2026-12-14T00:00:00"/>
    <x v="14"/>
    <x v="1"/>
    <x v="3"/>
    <s v="Bangalore"/>
    <x v="1"/>
    <n v="119"/>
    <n v="27"/>
    <n v="90"/>
    <n v="56"/>
    <n v="79"/>
    <n v="1500.75"/>
    <n v="5"/>
    <n v="6"/>
    <x v="1"/>
    <x v="1"/>
    <x v="2"/>
    <n v="84042"/>
  </r>
  <r>
    <s v="ORD00771"/>
    <d v="2026-03-17T00:00:00"/>
    <x v="1"/>
    <x v="1"/>
    <x v="4"/>
    <s v="Kolkata"/>
    <x v="3"/>
    <n v="42"/>
    <n v="88"/>
    <n v="73"/>
    <n v="57"/>
    <n v="65"/>
    <n v="1207.6199999999999"/>
    <n v="4"/>
    <n v="8"/>
    <x v="1"/>
    <x v="1"/>
    <x v="0"/>
    <n v="68834.34"/>
  </r>
  <r>
    <s v="ORD00772"/>
    <d v="2026-10-21T00:00:00"/>
    <x v="6"/>
    <x v="4"/>
    <x v="2"/>
    <s v="Bangalore"/>
    <x v="1"/>
    <n v="193"/>
    <n v="60"/>
    <n v="54"/>
    <n v="199"/>
    <n v="77"/>
    <n v="713.74"/>
    <n v="2"/>
    <n v="0"/>
    <x v="1"/>
    <x v="2"/>
    <x v="1"/>
    <n v="142034.26"/>
  </r>
  <r>
    <s v="ORD00773"/>
    <d v="2026-04-26T00:00:00"/>
    <x v="11"/>
    <x v="3"/>
    <x v="3"/>
    <s v="Delhi"/>
    <x v="2"/>
    <n v="220"/>
    <n v="68"/>
    <n v="22"/>
    <n v="266"/>
    <n v="96"/>
    <n v="2126.58"/>
    <n v="8"/>
    <n v="0"/>
    <x v="1"/>
    <x v="2"/>
    <x v="1"/>
    <n v="565670.28"/>
  </r>
  <r>
    <s v="ORD00774"/>
    <d v="2026-12-14T00:00:00"/>
    <x v="17"/>
    <x v="0"/>
    <x v="3"/>
    <s v="Kolkata"/>
    <x v="3"/>
    <n v="116"/>
    <n v="124"/>
    <n v="99"/>
    <n v="141"/>
    <n v="99"/>
    <n v="1304.57"/>
    <n v="2"/>
    <n v="0"/>
    <x v="1"/>
    <x v="1"/>
    <x v="0"/>
    <n v="183944.37"/>
  </r>
  <r>
    <s v="ORD00775"/>
    <d v="2026-06-15T00:00:00"/>
    <x v="5"/>
    <x v="3"/>
    <x v="3"/>
    <s v="Kolkata"/>
    <x v="3"/>
    <n v="58"/>
    <n v="87"/>
    <n v="108"/>
    <n v="37"/>
    <n v="63"/>
    <n v="1243.4100000000001"/>
    <n v="3"/>
    <n v="7"/>
    <x v="1"/>
    <x v="0"/>
    <x v="0"/>
    <n v="46006.170000000006"/>
  </r>
  <r>
    <s v="ORD00776"/>
    <d v="2026-04-22T00:00:00"/>
    <x v="12"/>
    <x v="4"/>
    <x v="0"/>
    <s v="Kolkata"/>
    <x v="3"/>
    <n v="207"/>
    <n v="40"/>
    <n v="88"/>
    <n v="159"/>
    <n v="53"/>
    <n v="494.19"/>
    <n v="5"/>
    <n v="0"/>
    <x v="1"/>
    <x v="2"/>
    <x v="0"/>
    <n v="78576.210000000006"/>
  </r>
  <r>
    <s v="ORD00777"/>
    <d v="2026-01-29T00:00:00"/>
    <x v="9"/>
    <x v="1"/>
    <x v="0"/>
    <s v="Bangalore"/>
    <x v="1"/>
    <n v="213"/>
    <n v="120"/>
    <n v="33"/>
    <n v="300"/>
    <n v="69"/>
    <n v="763.06"/>
    <n v="5"/>
    <n v="0"/>
    <x v="1"/>
    <x v="2"/>
    <x v="0"/>
    <n v="228917.99999999997"/>
  </r>
  <r>
    <s v="ORD00778"/>
    <d v="2026-03-02T00:00:00"/>
    <x v="16"/>
    <x v="0"/>
    <x v="3"/>
    <s v="Mumbai"/>
    <x v="0"/>
    <n v="53"/>
    <n v="35"/>
    <n v="80"/>
    <n v="8"/>
    <n v="86"/>
    <n v="1161.24"/>
    <n v="5"/>
    <n v="7"/>
    <x v="1"/>
    <x v="0"/>
    <x v="0"/>
    <n v="9289.92"/>
  </r>
  <r>
    <s v="ORD00779"/>
    <d v="2026-08-26T00:00:00"/>
    <x v="2"/>
    <x v="1"/>
    <x v="3"/>
    <s v="Delhi"/>
    <x v="2"/>
    <n v="216"/>
    <n v="96"/>
    <n v="37"/>
    <n v="275"/>
    <n v="86"/>
    <n v="2517.6999999999998"/>
    <n v="12"/>
    <n v="0"/>
    <x v="1"/>
    <x v="2"/>
    <x v="0"/>
    <n v="692367.5"/>
  </r>
  <r>
    <s v="ORD00780"/>
    <d v="2026-10-21T00:00:00"/>
    <x v="5"/>
    <x v="3"/>
    <x v="3"/>
    <s v="Delhi"/>
    <x v="2"/>
    <n v="42"/>
    <n v="35"/>
    <n v="29"/>
    <n v="48"/>
    <n v="50"/>
    <n v="1201.73"/>
    <n v="7"/>
    <n v="4"/>
    <x v="1"/>
    <x v="1"/>
    <x v="0"/>
    <n v="57683.040000000001"/>
  </r>
  <r>
    <s v="ORD00781"/>
    <d v="2026-02-20T00:00:00"/>
    <x v="10"/>
    <x v="4"/>
    <x v="0"/>
    <s v="Bangalore"/>
    <x v="1"/>
    <n v="191"/>
    <n v="43"/>
    <n v="64"/>
    <n v="170"/>
    <n v="75"/>
    <n v="659.99"/>
    <n v="7"/>
    <n v="0"/>
    <x v="1"/>
    <x v="2"/>
    <x v="0"/>
    <n v="112198.3"/>
  </r>
  <r>
    <s v="ORD00782"/>
    <d v="2026-09-08T00:00:00"/>
    <x v="18"/>
    <x v="2"/>
    <x v="1"/>
    <s v="Mumbai"/>
    <x v="0"/>
    <n v="143"/>
    <n v="124"/>
    <n v="104"/>
    <n v="163"/>
    <n v="46"/>
    <n v="3132.03"/>
    <n v="8"/>
    <n v="0"/>
    <x v="1"/>
    <x v="2"/>
    <x v="1"/>
    <n v="510520.89"/>
  </r>
  <r>
    <s v="ORD00783"/>
    <d v="2026-01-21T00:00:00"/>
    <x v="0"/>
    <x v="0"/>
    <x v="2"/>
    <s v="Bangalore"/>
    <x v="1"/>
    <n v="86"/>
    <n v="130"/>
    <n v="91"/>
    <n v="125"/>
    <n v="89"/>
    <n v="1684.78"/>
    <n v="6"/>
    <n v="0"/>
    <x v="1"/>
    <x v="1"/>
    <x v="0"/>
    <n v="210597.5"/>
  </r>
  <r>
    <s v="ORD00784"/>
    <d v="2026-03-29T00:00:00"/>
    <x v="1"/>
    <x v="1"/>
    <x v="2"/>
    <s v="Bangalore"/>
    <x v="1"/>
    <n v="183"/>
    <n v="52"/>
    <n v="19"/>
    <n v="216"/>
    <n v="50"/>
    <n v="1424.78"/>
    <n v="6"/>
    <n v="0"/>
    <x v="1"/>
    <x v="2"/>
    <x v="3"/>
    <n v="307752.48"/>
  </r>
  <r>
    <s v="ORD00785"/>
    <d v="2026-06-30T00:00:00"/>
    <x v="8"/>
    <x v="3"/>
    <x v="2"/>
    <s v="Delhi"/>
    <x v="2"/>
    <n v="51"/>
    <n v="86"/>
    <n v="52"/>
    <n v="85"/>
    <n v="87"/>
    <n v="2819.1"/>
    <n v="3"/>
    <n v="6"/>
    <x v="1"/>
    <x v="1"/>
    <x v="0"/>
    <n v="239623.5"/>
  </r>
  <r>
    <s v="ORD00786"/>
    <d v="2026-10-10T00:00:00"/>
    <x v="15"/>
    <x v="4"/>
    <x v="4"/>
    <s v="Bangalore"/>
    <x v="1"/>
    <n v="100"/>
    <n v="24"/>
    <n v="39"/>
    <n v="85"/>
    <n v="54"/>
    <n v="431.97"/>
    <n v="8"/>
    <n v="0"/>
    <x v="1"/>
    <x v="1"/>
    <x v="0"/>
    <n v="36717.450000000004"/>
  </r>
  <r>
    <s v="ORD00787"/>
    <d v="2026-08-22T00:00:00"/>
    <x v="14"/>
    <x v="1"/>
    <x v="0"/>
    <s v="Mumbai"/>
    <x v="0"/>
    <n v="199"/>
    <n v="74"/>
    <n v="24"/>
    <n v="249"/>
    <n v="80"/>
    <n v="1521.59"/>
    <n v="5"/>
    <n v="0"/>
    <x v="1"/>
    <x v="2"/>
    <x v="0"/>
    <n v="378875.91"/>
  </r>
  <r>
    <s v="ORD00788"/>
    <d v="2026-07-10T00:00:00"/>
    <x v="16"/>
    <x v="0"/>
    <x v="3"/>
    <s v="Mumbai"/>
    <x v="0"/>
    <n v="177"/>
    <n v="46"/>
    <n v="24"/>
    <n v="199"/>
    <n v="85"/>
    <n v="1255.8399999999999"/>
    <n v="7"/>
    <n v="0"/>
    <x v="1"/>
    <x v="2"/>
    <x v="0"/>
    <n v="249912.15999999997"/>
  </r>
  <r>
    <s v="ORD00789"/>
    <d v="2026-09-30T00:00:00"/>
    <x v="15"/>
    <x v="4"/>
    <x v="3"/>
    <s v="Mumbai"/>
    <x v="0"/>
    <n v="120"/>
    <n v="120"/>
    <n v="70"/>
    <n v="170"/>
    <n v="69"/>
    <n v="407.33"/>
    <n v="6"/>
    <n v="0"/>
    <x v="1"/>
    <x v="2"/>
    <x v="0"/>
    <n v="69246.099999999991"/>
  </r>
  <r>
    <s v="ORD00790"/>
    <d v="2026-01-06T00:00:00"/>
    <x v="3"/>
    <x v="0"/>
    <x v="4"/>
    <s v="Delhi"/>
    <x v="2"/>
    <n v="203"/>
    <n v="31"/>
    <n v="61"/>
    <n v="173"/>
    <n v="66"/>
    <n v="950.05"/>
    <n v="3"/>
    <n v="0"/>
    <x v="1"/>
    <x v="2"/>
    <x v="0"/>
    <n v="164358.65"/>
  </r>
  <r>
    <s v="ORD00791"/>
    <d v="2026-02-18T00:00:00"/>
    <x v="3"/>
    <x v="0"/>
    <x v="2"/>
    <s v="Kolkata"/>
    <x v="3"/>
    <n v="66"/>
    <n v="120"/>
    <n v="30"/>
    <n v="156"/>
    <n v="56"/>
    <n v="904.77"/>
    <n v="4"/>
    <n v="0"/>
    <x v="1"/>
    <x v="2"/>
    <x v="1"/>
    <n v="141144.12"/>
  </r>
  <r>
    <s v="ORD00792"/>
    <d v="2026-04-03T00:00:00"/>
    <x v="6"/>
    <x v="4"/>
    <x v="1"/>
    <s v="Delhi"/>
    <x v="2"/>
    <n v="181"/>
    <n v="54"/>
    <n v="92"/>
    <n v="143"/>
    <n v="51"/>
    <n v="701.55"/>
    <n v="3"/>
    <n v="0"/>
    <x v="1"/>
    <x v="2"/>
    <x v="2"/>
    <n v="100321.65"/>
  </r>
  <r>
    <s v="ORD00793"/>
    <d v="2026-05-17T00:00:00"/>
    <x v="19"/>
    <x v="2"/>
    <x v="3"/>
    <s v="Mumbai"/>
    <x v="0"/>
    <n v="106"/>
    <n v="21"/>
    <n v="102"/>
    <n v="25"/>
    <n v="77"/>
    <n v="1563.97"/>
    <n v="7"/>
    <n v="7"/>
    <x v="0"/>
    <x v="0"/>
    <x v="0"/>
    <n v="39099.25"/>
  </r>
  <r>
    <s v="ORD00794"/>
    <d v="2026-08-08T00:00:00"/>
    <x v="16"/>
    <x v="0"/>
    <x v="2"/>
    <s v="Kolkata"/>
    <x v="3"/>
    <n v="220"/>
    <n v="78"/>
    <n v="38"/>
    <n v="260"/>
    <n v="73"/>
    <n v="1316.7"/>
    <n v="8"/>
    <n v="0"/>
    <x v="1"/>
    <x v="2"/>
    <x v="0"/>
    <n v="342342"/>
  </r>
  <r>
    <s v="ORD00795"/>
    <d v="2026-02-17T00:00:00"/>
    <x v="15"/>
    <x v="4"/>
    <x v="0"/>
    <s v="Bangalore"/>
    <x v="1"/>
    <n v="118"/>
    <n v="72"/>
    <n v="55"/>
    <n v="135"/>
    <n v="99"/>
    <n v="413.11"/>
    <n v="2"/>
    <n v="0"/>
    <x v="0"/>
    <x v="1"/>
    <x v="0"/>
    <n v="55769.85"/>
  </r>
  <r>
    <s v="ORD00796"/>
    <d v="2026-12-17T00:00:00"/>
    <x v="9"/>
    <x v="1"/>
    <x v="4"/>
    <s v="Delhi"/>
    <x v="2"/>
    <n v="181"/>
    <n v="83"/>
    <n v="16"/>
    <n v="248"/>
    <n v="72"/>
    <n v="724.78"/>
    <n v="7"/>
    <n v="0"/>
    <x v="0"/>
    <x v="2"/>
    <x v="0"/>
    <n v="179745.44"/>
  </r>
  <r>
    <s v="ORD00797"/>
    <d v="2026-12-05T00:00:00"/>
    <x v="12"/>
    <x v="4"/>
    <x v="3"/>
    <s v="Bangalore"/>
    <x v="1"/>
    <n v="197"/>
    <n v="44"/>
    <n v="110"/>
    <n v="131"/>
    <n v="45"/>
    <n v="521.41999999999996"/>
    <n v="7"/>
    <n v="0"/>
    <x v="1"/>
    <x v="2"/>
    <x v="0"/>
    <n v="68306.01999999999"/>
  </r>
  <r>
    <s v="ORD00798"/>
    <d v="2026-01-27T00:00:00"/>
    <x v="12"/>
    <x v="4"/>
    <x v="1"/>
    <s v="Kolkata"/>
    <x v="3"/>
    <n v="83"/>
    <n v="106"/>
    <n v="82"/>
    <n v="107"/>
    <n v="59"/>
    <n v="467.48"/>
    <n v="4"/>
    <n v="0"/>
    <x v="1"/>
    <x v="1"/>
    <x v="0"/>
    <n v="50020.36"/>
  </r>
  <r>
    <s v="ORD00799"/>
    <d v="2026-05-29T00:00:00"/>
    <x v="7"/>
    <x v="3"/>
    <x v="3"/>
    <s v="Mumbai"/>
    <x v="0"/>
    <n v="135"/>
    <n v="34"/>
    <n v="58"/>
    <n v="111"/>
    <n v="88"/>
    <n v="949.95"/>
    <n v="6"/>
    <n v="0"/>
    <x v="1"/>
    <x v="1"/>
    <x v="1"/>
    <n v="105444.45000000001"/>
  </r>
  <r>
    <s v="ORD00800"/>
    <d v="2026-11-13T00:00:00"/>
    <x v="19"/>
    <x v="2"/>
    <x v="0"/>
    <s v="Delhi"/>
    <x v="2"/>
    <n v="94"/>
    <n v="20"/>
    <n v="109"/>
    <n v="5"/>
    <n v="85"/>
    <n v="1520.65"/>
    <n v="3"/>
    <n v="1"/>
    <x v="1"/>
    <x v="0"/>
    <x v="3"/>
    <n v="7603.25"/>
  </r>
  <r>
    <s v="ORD00801"/>
    <d v="2026-07-25T00:00:00"/>
    <x v="8"/>
    <x v="3"/>
    <x v="0"/>
    <s v="Bangalore"/>
    <x v="1"/>
    <n v="197"/>
    <n v="78"/>
    <n v="57"/>
    <n v="218"/>
    <n v="64"/>
    <n v="2718.18"/>
    <n v="2"/>
    <n v="0"/>
    <x v="1"/>
    <x v="2"/>
    <x v="2"/>
    <n v="592563.24"/>
  </r>
  <r>
    <s v="ORD00802"/>
    <d v="2026-01-04T00:00:00"/>
    <x v="18"/>
    <x v="2"/>
    <x v="4"/>
    <s v="Kolkata"/>
    <x v="3"/>
    <n v="165"/>
    <n v="45"/>
    <n v="25"/>
    <n v="185"/>
    <n v="78"/>
    <n v="3209.16"/>
    <n v="3"/>
    <n v="0"/>
    <x v="1"/>
    <x v="2"/>
    <x v="1"/>
    <n v="593694.6"/>
  </r>
  <r>
    <s v="ORD00803"/>
    <d v="2026-08-13T00:00:00"/>
    <x v="14"/>
    <x v="1"/>
    <x v="2"/>
    <s v="Kolkata"/>
    <x v="3"/>
    <n v="141"/>
    <n v="67"/>
    <n v="53"/>
    <n v="155"/>
    <n v="68"/>
    <n v="1577.07"/>
    <n v="3"/>
    <n v="0"/>
    <x v="1"/>
    <x v="2"/>
    <x v="0"/>
    <n v="244445.84999999998"/>
  </r>
  <r>
    <s v="ORD00804"/>
    <d v="2026-01-17T00:00:00"/>
    <x v="11"/>
    <x v="3"/>
    <x v="2"/>
    <s v="Delhi"/>
    <x v="2"/>
    <n v="151"/>
    <n v="20"/>
    <n v="60"/>
    <n v="111"/>
    <n v="100"/>
    <n v="2292.06"/>
    <n v="4"/>
    <n v="2"/>
    <x v="0"/>
    <x v="1"/>
    <x v="2"/>
    <n v="254418.66"/>
  </r>
  <r>
    <s v="ORD00805"/>
    <d v="2026-07-24T00:00:00"/>
    <x v="1"/>
    <x v="1"/>
    <x v="3"/>
    <s v="Delhi"/>
    <x v="2"/>
    <n v="70"/>
    <n v="73"/>
    <n v="77"/>
    <n v="66"/>
    <n v="80"/>
    <n v="1298.8499999999999"/>
    <n v="7"/>
    <n v="6"/>
    <x v="1"/>
    <x v="1"/>
    <x v="2"/>
    <n v="85724.099999999991"/>
  </r>
  <r>
    <s v="ORD00806"/>
    <d v="2026-01-27T00:00:00"/>
    <x v="10"/>
    <x v="4"/>
    <x v="2"/>
    <s v="Bangalore"/>
    <x v="1"/>
    <n v="67"/>
    <n v="121"/>
    <n v="17"/>
    <n v="171"/>
    <n v="53"/>
    <n v="558.66999999999996"/>
    <n v="6"/>
    <n v="0"/>
    <x v="0"/>
    <x v="2"/>
    <x v="2"/>
    <n v="95532.569999999992"/>
  </r>
  <r>
    <s v="ORD00807"/>
    <d v="2026-09-19T00:00:00"/>
    <x v="19"/>
    <x v="2"/>
    <x v="1"/>
    <s v="Bangalore"/>
    <x v="1"/>
    <n v="151"/>
    <n v="81"/>
    <n v="52"/>
    <n v="180"/>
    <n v="63"/>
    <n v="1495.78"/>
    <n v="8"/>
    <n v="0"/>
    <x v="1"/>
    <x v="2"/>
    <x v="0"/>
    <n v="269240.40000000002"/>
  </r>
  <r>
    <s v="ORD00808"/>
    <d v="2026-09-15T00:00:00"/>
    <x v="1"/>
    <x v="1"/>
    <x v="0"/>
    <s v="Bangalore"/>
    <x v="1"/>
    <n v="107"/>
    <n v="109"/>
    <n v="46"/>
    <n v="170"/>
    <n v="87"/>
    <n v="1383.36"/>
    <n v="6"/>
    <n v="0"/>
    <x v="1"/>
    <x v="1"/>
    <x v="2"/>
    <n v="235171.19999999998"/>
  </r>
  <r>
    <s v="ORD00809"/>
    <d v="2026-11-12T00:00:00"/>
    <x v="15"/>
    <x v="4"/>
    <x v="2"/>
    <s v="Mumbai"/>
    <x v="0"/>
    <n v="98"/>
    <n v="35"/>
    <n v="31"/>
    <n v="102"/>
    <n v="70"/>
    <n v="408.45"/>
    <n v="3"/>
    <n v="0"/>
    <x v="1"/>
    <x v="1"/>
    <x v="0"/>
    <n v="41661.9"/>
  </r>
  <r>
    <s v="ORD00810"/>
    <d v="2026-02-01T00:00:00"/>
    <x v="9"/>
    <x v="1"/>
    <x v="4"/>
    <s v="Kolkata"/>
    <x v="3"/>
    <n v="144"/>
    <n v="87"/>
    <n v="54"/>
    <n v="177"/>
    <n v="89"/>
    <n v="718.66"/>
    <n v="3"/>
    <n v="0"/>
    <x v="1"/>
    <x v="1"/>
    <x v="0"/>
    <n v="127202.81999999999"/>
  </r>
  <r>
    <s v="ORD00811"/>
    <d v="2026-04-04T00:00:00"/>
    <x v="10"/>
    <x v="4"/>
    <x v="4"/>
    <s v="Delhi"/>
    <x v="2"/>
    <n v="68"/>
    <n v="54"/>
    <n v="61"/>
    <n v="61"/>
    <n v="62"/>
    <n v="653.16"/>
    <n v="7"/>
    <n v="6"/>
    <x v="1"/>
    <x v="1"/>
    <x v="1"/>
    <n v="39842.759999999995"/>
  </r>
  <r>
    <s v="ORD00812"/>
    <d v="2026-06-05T00:00:00"/>
    <x v="0"/>
    <x v="0"/>
    <x v="4"/>
    <s v="Delhi"/>
    <x v="2"/>
    <n v="94"/>
    <n v="56"/>
    <n v="75"/>
    <n v="75"/>
    <n v="62"/>
    <n v="1947.05"/>
    <n v="5"/>
    <n v="0"/>
    <x v="0"/>
    <x v="1"/>
    <x v="0"/>
    <n v="146028.75"/>
  </r>
  <r>
    <s v="ORD00813"/>
    <d v="2026-04-18T00:00:00"/>
    <x v="0"/>
    <x v="0"/>
    <x v="4"/>
    <s v="Mumbai"/>
    <x v="0"/>
    <n v="124"/>
    <n v="66"/>
    <n v="109"/>
    <n v="81"/>
    <n v="96"/>
    <n v="1750.1"/>
    <n v="12"/>
    <n v="8"/>
    <x v="0"/>
    <x v="1"/>
    <x v="0"/>
    <n v="141758.1"/>
  </r>
  <r>
    <s v="ORD00814"/>
    <d v="2026-08-17T00:00:00"/>
    <x v="10"/>
    <x v="4"/>
    <x v="4"/>
    <s v="Bangalore"/>
    <x v="1"/>
    <n v="73"/>
    <n v="100"/>
    <n v="110"/>
    <n v="63"/>
    <n v="83"/>
    <n v="554.44000000000005"/>
    <n v="6"/>
    <n v="4"/>
    <x v="1"/>
    <x v="1"/>
    <x v="0"/>
    <n v="34929.72"/>
  </r>
  <r>
    <s v="ORD00815"/>
    <d v="2026-08-03T00:00:00"/>
    <x v="0"/>
    <x v="0"/>
    <x v="1"/>
    <s v="Delhi"/>
    <x v="2"/>
    <n v="117"/>
    <n v="112"/>
    <n v="75"/>
    <n v="154"/>
    <n v="93"/>
    <n v="1692.72"/>
    <n v="7"/>
    <n v="0"/>
    <x v="0"/>
    <x v="1"/>
    <x v="0"/>
    <n v="260678.88"/>
  </r>
  <r>
    <s v="ORD00816"/>
    <d v="2026-09-15T00:00:00"/>
    <x v="6"/>
    <x v="4"/>
    <x v="1"/>
    <s v="Delhi"/>
    <x v="2"/>
    <n v="133"/>
    <n v="77"/>
    <n v="95"/>
    <n v="115"/>
    <n v="90"/>
    <n v="600.27"/>
    <n v="5"/>
    <n v="0"/>
    <x v="0"/>
    <x v="1"/>
    <x v="0"/>
    <n v="69031.05"/>
  </r>
  <r>
    <s v="ORD00817"/>
    <d v="2026-07-23T00:00:00"/>
    <x v="17"/>
    <x v="0"/>
    <x v="1"/>
    <s v="Delhi"/>
    <x v="2"/>
    <n v="218"/>
    <n v="36"/>
    <n v="52"/>
    <n v="202"/>
    <n v="47"/>
    <n v="1527.62"/>
    <n v="2"/>
    <n v="0"/>
    <x v="1"/>
    <x v="2"/>
    <x v="2"/>
    <n v="308579.24"/>
  </r>
  <r>
    <s v="ORD00818"/>
    <d v="2026-03-23T00:00:00"/>
    <x v="8"/>
    <x v="3"/>
    <x v="2"/>
    <s v="Kolkata"/>
    <x v="3"/>
    <n v="170"/>
    <n v="69"/>
    <n v="86"/>
    <n v="153"/>
    <n v="94"/>
    <n v="2738.54"/>
    <n v="6"/>
    <n v="0"/>
    <x v="1"/>
    <x v="1"/>
    <x v="0"/>
    <n v="418996.62"/>
  </r>
  <r>
    <s v="ORD00819"/>
    <d v="2026-12-29T00:00:00"/>
    <x v="15"/>
    <x v="4"/>
    <x v="1"/>
    <s v="Bangalore"/>
    <x v="1"/>
    <n v="171"/>
    <n v="78"/>
    <n v="79"/>
    <n v="170"/>
    <n v="90"/>
    <n v="469.85"/>
    <n v="4"/>
    <n v="0"/>
    <x v="1"/>
    <x v="1"/>
    <x v="0"/>
    <n v="79874.5"/>
  </r>
  <r>
    <s v="ORD00820"/>
    <d v="2026-03-10T00:00:00"/>
    <x v="18"/>
    <x v="2"/>
    <x v="2"/>
    <s v="Mumbai"/>
    <x v="0"/>
    <n v="51"/>
    <n v="88"/>
    <n v="45"/>
    <n v="94"/>
    <n v="63"/>
    <n v="2905.02"/>
    <n v="3"/>
    <n v="0"/>
    <x v="1"/>
    <x v="1"/>
    <x v="0"/>
    <n v="273071.88"/>
  </r>
  <r>
    <s v="ORD00821"/>
    <d v="2026-12-28T00:00:00"/>
    <x v="18"/>
    <x v="2"/>
    <x v="2"/>
    <s v="Mumbai"/>
    <x v="0"/>
    <n v="176"/>
    <n v="34"/>
    <n v="15"/>
    <n v="195"/>
    <n v="86"/>
    <n v="3102.38"/>
    <n v="6"/>
    <n v="0"/>
    <x v="1"/>
    <x v="2"/>
    <x v="0"/>
    <n v="604964.1"/>
  </r>
  <r>
    <s v="ORD00822"/>
    <d v="2026-05-24T00:00:00"/>
    <x v="6"/>
    <x v="4"/>
    <x v="2"/>
    <s v="Kolkata"/>
    <x v="3"/>
    <n v="196"/>
    <n v="57"/>
    <n v="56"/>
    <n v="197"/>
    <n v="48"/>
    <n v="666.37"/>
    <n v="2"/>
    <n v="0"/>
    <x v="1"/>
    <x v="2"/>
    <x v="0"/>
    <n v="131274.89000000001"/>
  </r>
  <r>
    <s v="ORD00823"/>
    <d v="2026-08-15T00:00:00"/>
    <x v="14"/>
    <x v="1"/>
    <x v="4"/>
    <s v="Bangalore"/>
    <x v="1"/>
    <n v="216"/>
    <n v="68"/>
    <n v="98"/>
    <n v="186"/>
    <n v="61"/>
    <n v="1718.41"/>
    <n v="7"/>
    <n v="0"/>
    <x v="1"/>
    <x v="2"/>
    <x v="0"/>
    <n v="319624.26"/>
  </r>
  <r>
    <s v="ORD00824"/>
    <d v="2026-09-03T00:00:00"/>
    <x v="14"/>
    <x v="1"/>
    <x v="0"/>
    <s v="Mumbai"/>
    <x v="0"/>
    <n v="188"/>
    <n v="100"/>
    <n v="65"/>
    <n v="223"/>
    <n v="54"/>
    <n v="1582.74"/>
    <n v="7"/>
    <n v="0"/>
    <x v="1"/>
    <x v="2"/>
    <x v="0"/>
    <n v="352951.02"/>
  </r>
  <r>
    <s v="ORD00825"/>
    <d v="2026-06-08T00:00:00"/>
    <x v="3"/>
    <x v="0"/>
    <x v="2"/>
    <s v="Kolkata"/>
    <x v="3"/>
    <n v="87"/>
    <n v="124"/>
    <n v="37"/>
    <n v="174"/>
    <n v="57"/>
    <n v="912.54"/>
    <n v="7"/>
    <n v="0"/>
    <x v="1"/>
    <x v="2"/>
    <x v="0"/>
    <n v="158781.96"/>
  </r>
  <r>
    <s v="ORD00826"/>
    <d v="2026-03-12T00:00:00"/>
    <x v="1"/>
    <x v="1"/>
    <x v="3"/>
    <s v="Mumbai"/>
    <x v="0"/>
    <n v="57"/>
    <n v="38"/>
    <n v="24"/>
    <n v="71"/>
    <n v="72"/>
    <n v="1233.77"/>
    <n v="7"/>
    <n v="2"/>
    <x v="1"/>
    <x v="1"/>
    <x v="2"/>
    <n v="87597.67"/>
  </r>
  <r>
    <s v="ORD00827"/>
    <d v="2026-11-18T00:00:00"/>
    <x v="0"/>
    <x v="0"/>
    <x v="3"/>
    <s v="Kolkata"/>
    <x v="3"/>
    <n v="45"/>
    <n v="34"/>
    <n v="16"/>
    <n v="63"/>
    <n v="93"/>
    <n v="1918.99"/>
    <n v="2"/>
    <n v="2"/>
    <x v="0"/>
    <x v="1"/>
    <x v="0"/>
    <n v="120896.37"/>
  </r>
  <r>
    <s v="ORD00828"/>
    <d v="2026-08-16T00:00:00"/>
    <x v="12"/>
    <x v="4"/>
    <x v="4"/>
    <s v="Bangalore"/>
    <x v="1"/>
    <n v="178"/>
    <n v="114"/>
    <n v="58"/>
    <n v="234"/>
    <n v="99"/>
    <n v="520.75"/>
    <n v="3"/>
    <n v="0"/>
    <x v="0"/>
    <x v="2"/>
    <x v="2"/>
    <n v="121855.5"/>
  </r>
  <r>
    <s v="ORD00829"/>
    <d v="2026-01-23T00:00:00"/>
    <x v="14"/>
    <x v="1"/>
    <x v="0"/>
    <s v="Kolkata"/>
    <x v="3"/>
    <n v="79"/>
    <n v="51"/>
    <n v="22"/>
    <n v="108"/>
    <n v="79"/>
    <n v="1661.45"/>
    <n v="7"/>
    <n v="0"/>
    <x v="1"/>
    <x v="1"/>
    <x v="0"/>
    <n v="179436.6"/>
  </r>
  <r>
    <s v="ORD00830"/>
    <d v="2026-04-26T00:00:00"/>
    <x v="16"/>
    <x v="0"/>
    <x v="4"/>
    <s v="Kolkata"/>
    <x v="3"/>
    <n v="76"/>
    <n v="20"/>
    <n v="43"/>
    <n v="53"/>
    <n v="46"/>
    <n v="1134.4000000000001"/>
    <n v="5"/>
    <n v="0"/>
    <x v="0"/>
    <x v="1"/>
    <x v="0"/>
    <n v="60123.200000000004"/>
  </r>
  <r>
    <s v="ORD00831"/>
    <d v="2026-02-13T00:00:00"/>
    <x v="8"/>
    <x v="3"/>
    <x v="3"/>
    <s v="Mumbai"/>
    <x v="0"/>
    <n v="68"/>
    <n v="48"/>
    <n v="28"/>
    <n v="88"/>
    <n v="63"/>
    <n v="2720.09"/>
    <n v="6"/>
    <n v="0"/>
    <x v="1"/>
    <x v="1"/>
    <x v="0"/>
    <n v="239367.92"/>
  </r>
  <r>
    <s v="ORD00832"/>
    <d v="2026-11-16T00:00:00"/>
    <x v="17"/>
    <x v="0"/>
    <x v="2"/>
    <s v="Kolkata"/>
    <x v="3"/>
    <n v="175"/>
    <n v="62"/>
    <n v="91"/>
    <n v="146"/>
    <n v="56"/>
    <n v="1450.24"/>
    <n v="3"/>
    <n v="0"/>
    <x v="1"/>
    <x v="2"/>
    <x v="2"/>
    <n v="211735.04000000001"/>
  </r>
  <r>
    <s v="ORD00833"/>
    <d v="2026-03-18T00:00:00"/>
    <x v="4"/>
    <x v="2"/>
    <x v="4"/>
    <s v="Delhi"/>
    <x v="2"/>
    <n v="167"/>
    <n v="104"/>
    <n v="62"/>
    <n v="209"/>
    <n v="61"/>
    <n v="849.72"/>
    <n v="7"/>
    <n v="0"/>
    <x v="1"/>
    <x v="2"/>
    <x v="2"/>
    <n v="177591.48"/>
  </r>
  <r>
    <s v="ORD00834"/>
    <d v="2026-03-16T00:00:00"/>
    <x v="14"/>
    <x v="1"/>
    <x v="2"/>
    <s v="Kolkata"/>
    <x v="3"/>
    <n v="154"/>
    <n v="112"/>
    <n v="76"/>
    <n v="190"/>
    <n v="97"/>
    <n v="1461.54"/>
    <n v="6"/>
    <n v="0"/>
    <x v="1"/>
    <x v="1"/>
    <x v="2"/>
    <n v="277692.59999999998"/>
  </r>
  <r>
    <s v="ORD00835"/>
    <d v="2026-11-22T00:00:00"/>
    <x v="16"/>
    <x v="0"/>
    <x v="2"/>
    <s v="Mumbai"/>
    <x v="0"/>
    <n v="138"/>
    <n v="65"/>
    <n v="55"/>
    <n v="148"/>
    <n v="76"/>
    <n v="1181.72"/>
    <n v="7"/>
    <n v="0"/>
    <x v="1"/>
    <x v="1"/>
    <x v="0"/>
    <n v="174894.56"/>
  </r>
  <r>
    <s v="ORD00836"/>
    <d v="2026-02-12T00:00:00"/>
    <x v="13"/>
    <x v="2"/>
    <x v="2"/>
    <s v="Kolkata"/>
    <x v="3"/>
    <n v="147"/>
    <n v="90"/>
    <n v="78"/>
    <n v="159"/>
    <n v="79"/>
    <n v="1107.43"/>
    <n v="6"/>
    <n v="0"/>
    <x v="1"/>
    <x v="1"/>
    <x v="0"/>
    <n v="176081.37000000002"/>
  </r>
  <r>
    <s v="ORD00837"/>
    <d v="2026-03-10T00:00:00"/>
    <x v="10"/>
    <x v="4"/>
    <x v="1"/>
    <s v="Mumbai"/>
    <x v="0"/>
    <n v="219"/>
    <n v="31"/>
    <n v="45"/>
    <n v="205"/>
    <n v="68"/>
    <n v="540.34"/>
    <n v="8"/>
    <n v="0"/>
    <x v="0"/>
    <x v="2"/>
    <x v="0"/>
    <n v="110769.70000000001"/>
  </r>
  <r>
    <s v="ORD00838"/>
    <d v="2026-05-05T00:00:00"/>
    <x v="0"/>
    <x v="0"/>
    <x v="0"/>
    <s v="Delhi"/>
    <x v="2"/>
    <n v="75"/>
    <n v="57"/>
    <n v="73"/>
    <n v="59"/>
    <n v="54"/>
    <n v="1920.69"/>
    <n v="6"/>
    <n v="0"/>
    <x v="1"/>
    <x v="1"/>
    <x v="1"/>
    <n v="113320.71"/>
  </r>
  <r>
    <s v="ORD00839"/>
    <d v="2026-01-28T00:00:00"/>
    <x v="1"/>
    <x v="1"/>
    <x v="4"/>
    <s v="Mumbai"/>
    <x v="0"/>
    <n v="70"/>
    <n v="109"/>
    <n v="105"/>
    <n v="74"/>
    <n v="54"/>
    <n v="1268.1400000000001"/>
    <n v="2"/>
    <n v="0"/>
    <x v="1"/>
    <x v="1"/>
    <x v="0"/>
    <n v="93842.36"/>
  </r>
  <r>
    <s v="ORD00840"/>
    <d v="2026-04-04T00:00:00"/>
    <x v="0"/>
    <x v="0"/>
    <x v="3"/>
    <s v="Mumbai"/>
    <x v="0"/>
    <n v="47"/>
    <n v="38"/>
    <n v="61"/>
    <n v="24"/>
    <n v="54"/>
    <n v="1648.44"/>
    <n v="2"/>
    <n v="7"/>
    <x v="0"/>
    <x v="0"/>
    <x v="0"/>
    <n v="39562.559999999998"/>
  </r>
  <r>
    <s v="ORD00841"/>
    <d v="2026-03-21T00:00:00"/>
    <x v="11"/>
    <x v="3"/>
    <x v="1"/>
    <s v="Delhi"/>
    <x v="2"/>
    <n v="160"/>
    <n v="72"/>
    <n v="107"/>
    <n v="125"/>
    <n v="66"/>
    <n v="2175.35"/>
    <n v="7"/>
    <n v="0"/>
    <x v="1"/>
    <x v="1"/>
    <x v="0"/>
    <n v="271918.75"/>
  </r>
  <r>
    <s v="ORD00842"/>
    <d v="2026-12-31T00:00:00"/>
    <x v="0"/>
    <x v="0"/>
    <x v="1"/>
    <s v="Mumbai"/>
    <x v="0"/>
    <n v="168"/>
    <n v="40"/>
    <n v="16"/>
    <n v="192"/>
    <n v="70"/>
    <n v="1919.76"/>
    <n v="7"/>
    <n v="0"/>
    <x v="1"/>
    <x v="2"/>
    <x v="0"/>
    <n v="368593.91999999998"/>
  </r>
  <r>
    <s v="ORD00843"/>
    <d v="2026-01-29T00:00:00"/>
    <x v="4"/>
    <x v="2"/>
    <x v="2"/>
    <s v="Kolkata"/>
    <x v="3"/>
    <n v="80"/>
    <n v="54"/>
    <n v="26"/>
    <n v="108"/>
    <n v="78"/>
    <n v="780.41"/>
    <n v="3"/>
    <n v="0"/>
    <x v="1"/>
    <x v="1"/>
    <x v="0"/>
    <n v="84284.28"/>
  </r>
  <r>
    <s v="ORD00844"/>
    <d v="2026-07-10T00:00:00"/>
    <x v="2"/>
    <x v="1"/>
    <x v="2"/>
    <s v="Bangalore"/>
    <x v="1"/>
    <n v="217"/>
    <n v="79"/>
    <n v="76"/>
    <n v="220"/>
    <n v="65"/>
    <n v="2473.3000000000002"/>
    <n v="5"/>
    <n v="0"/>
    <x v="1"/>
    <x v="2"/>
    <x v="0"/>
    <n v="544126"/>
  </r>
  <r>
    <s v="ORD00845"/>
    <d v="2026-02-24T00:00:00"/>
    <x v="11"/>
    <x v="3"/>
    <x v="0"/>
    <s v="Bangalore"/>
    <x v="1"/>
    <n v="66"/>
    <n v="29"/>
    <n v="61"/>
    <n v="34"/>
    <n v="83"/>
    <n v="2322.67"/>
    <n v="4"/>
    <n v="5"/>
    <x v="0"/>
    <x v="0"/>
    <x v="0"/>
    <n v="78970.78"/>
  </r>
  <r>
    <s v="ORD00846"/>
    <d v="2026-10-19T00:00:00"/>
    <x v="17"/>
    <x v="0"/>
    <x v="1"/>
    <s v="Bangalore"/>
    <x v="1"/>
    <n v="119"/>
    <n v="44"/>
    <n v="85"/>
    <n v="78"/>
    <n v="57"/>
    <n v="1438.75"/>
    <n v="2"/>
    <n v="0"/>
    <x v="1"/>
    <x v="1"/>
    <x v="0"/>
    <n v="112222.5"/>
  </r>
  <r>
    <s v="ORD00847"/>
    <d v="2026-09-14T00:00:00"/>
    <x v="12"/>
    <x v="4"/>
    <x v="1"/>
    <s v="Kolkata"/>
    <x v="3"/>
    <n v="51"/>
    <n v="26"/>
    <n v="55"/>
    <n v="22"/>
    <n v="50"/>
    <n v="544.35"/>
    <n v="2"/>
    <n v="5"/>
    <x v="1"/>
    <x v="0"/>
    <x v="3"/>
    <n v="11975.7"/>
  </r>
  <r>
    <s v="ORD00848"/>
    <d v="2026-03-18T00:00:00"/>
    <x v="14"/>
    <x v="1"/>
    <x v="3"/>
    <s v="Delhi"/>
    <x v="2"/>
    <n v="73"/>
    <n v="109"/>
    <n v="101"/>
    <n v="81"/>
    <n v="51"/>
    <n v="1546.02"/>
    <n v="7"/>
    <n v="0"/>
    <x v="1"/>
    <x v="1"/>
    <x v="0"/>
    <n v="125227.62"/>
  </r>
  <r>
    <s v="ORD00849"/>
    <d v="2026-04-21T00:00:00"/>
    <x v="3"/>
    <x v="0"/>
    <x v="3"/>
    <s v="Bangalore"/>
    <x v="1"/>
    <n v="114"/>
    <n v="40"/>
    <n v="34"/>
    <n v="120"/>
    <n v="88"/>
    <n v="893.36"/>
    <n v="7"/>
    <n v="0"/>
    <x v="0"/>
    <x v="1"/>
    <x v="2"/>
    <n v="107203.2"/>
  </r>
  <r>
    <s v="ORD00850"/>
    <d v="2026-12-31T00:00:00"/>
    <x v="1"/>
    <x v="1"/>
    <x v="1"/>
    <s v="Delhi"/>
    <x v="2"/>
    <n v="154"/>
    <n v="120"/>
    <n v="31"/>
    <n v="243"/>
    <n v="66"/>
    <n v="1245.6199999999999"/>
    <n v="6"/>
    <n v="0"/>
    <x v="1"/>
    <x v="2"/>
    <x v="0"/>
    <n v="302685.65999999997"/>
  </r>
  <r>
    <s v="ORD00851"/>
    <d v="2026-08-21T00:00:00"/>
    <x v="11"/>
    <x v="3"/>
    <x v="2"/>
    <s v="Bangalore"/>
    <x v="1"/>
    <n v="79"/>
    <n v="92"/>
    <n v="95"/>
    <n v="76"/>
    <n v="76"/>
    <n v="2022.86"/>
    <n v="4"/>
    <n v="6"/>
    <x v="1"/>
    <x v="1"/>
    <x v="0"/>
    <n v="153737.35999999999"/>
  </r>
  <r>
    <s v="ORD00852"/>
    <d v="2026-08-31T00:00:00"/>
    <x v="13"/>
    <x v="2"/>
    <x v="0"/>
    <s v="Mumbai"/>
    <x v="0"/>
    <n v="57"/>
    <n v="55"/>
    <n v="88"/>
    <n v="24"/>
    <n v="68"/>
    <n v="1067.74"/>
    <n v="2"/>
    <n v="8"/>
    <x v="1"/>
    <x v="0"/>
    <x v="0"/>
    <n v="25625.760000000002"/>
  </r>
  <r>
    <s v="ORD00853"/>
    <d v="2026-12-15T00:00:00"/>
    <x v="19"/>
    <x v="2"/>
    <x v="2"/>
    <s v="Bangalore"/>
    <x v="1"/>
    <n v="185"/>
    <n v="82"/>
    <n v="20"/>
    <n v="247"/>
    <n v="68"/>
    <n v="1607.7"/>
    <n v="5"/>
    <n v="0"/>
    <x v="1"/>
    <x v="2"/>
    <x v="0"/>
    <n v="397101.9"/>
  </r>
  <r>
    <s v="ORD00854"/>
    <d v="2026-11-26T00:00:00"/>
    <x v="2"/>
    <x v="1"/>
    <x v="0"/>
    <s v="Delhi"/>
    <x v="2"/>
    <n v="135"/>
    <n v="30"/>
    <n v="102"/>
    <n v="63"/>
    <n v="71"/>
    <n v="2402.85"/>
    <n v="4"/>
    <n v="1"/>
    <x v="1"/>
    <x v="1"/>
    <x v="0"/>
    <n v="151379.54999999999"/>
  </r>
  <r>
    <s v="ORD00855"/>
    <d v="2026-07-18T00:00:00"/>
    <x v="17"/>
    <x v="0"/>
    <x v="1"/>
    <s v="Bangalore"/>
    <x v="1"/>
    <n v="79"/>
    <n v="129"/>
    <n v="28"/>
    <n v="180"/>
    <n v="63"/>
    <n v="1365.23"/>
    <n v="6"/>
    <n v="0"/>
    <x v="1"/>
    <x v="2"/>
    <x v="0"/>
    <n v="245741.4"/>
  </r>
  <r>
    <s v="ORD00856"/>
    <d v="2026-07-23T00:00:00"/>
    <x v="8"/>
    <x v="3"/>
    <x v="0"/>
    <s v="Kolkata"/>
    <x v="3"/>
    <n v="159"/>
    <n v="102"/>
    <n v="83"/>
    <n v="178"/>
    <n v="97"/>
    <n v="2780.32"/>
    <n v="2"/>
    <n v="0"/>
    <x v="1"/>
    <x v="1"/>
    <x v="0"/>
    <n v="494896.96"/>
  </r>
  <r>
    <s v="ORD00857"/>
    <d v="2026-01-20T00:00:00"/>
    <x v="11"/>
    <x v="3"/>
    <x v="3"/>
    <s v="Delhi"/>
    <x v="2"/>
    <n v="56"/>
    <n v="60"/>
    <n v="58"/>
    <n v="58"/>
    <n v="83"/>
    <n v="2193.9699999999998"/>
    <n v="7"/>
    <n v="2"/>
    <x v="1"/>
    <x v="1"/>
    <x v="0"/>
    <n v="127250.26"/>
  </r>
  <r>
    <s v="ORD00858"/>
    <d v="2026-07-05T00:00:00"/>
    <x v="15"/>
    <x v="4"/>
    <x v="3"/>
    <s v="Mumbai"/>
    <x v="0"/>
    <n v="203"/>
    <n v="47"/>
    <n v="55"/>
    <n v="195"/>
    <n v="81"/>
    <n v="407.82"/>
    <n v="6"/>
    <n v="0"/>
    <x v="1"/>
    <x v="2"/>
    <x v="0"/>
    <n v="79524.899999999994"/>
  </r>
  <r>
    <s v="ORD00859"/>
    <d v="2026-07-27T00:00:00"/>
    <x v="7"/>
    <x v="3"/>
    <x v="2"/>
    <s v="Bangalore"/>
    <x v="1"/>
    <n v="94"/>
    <n v="22"/>
    <n v="102"/>
    <n v="14"/>
    <n v="72"/>
    <n v="953.97"/>
    <n v="7"/>
    <n v="3"/>
    <x v="1"/>
    <x v="0"/>
    <x v="0"/>
    <n v="13355.58"/>
  </r>
  <r>
    <s v="ORD00860"/>
    <d v="2026-06-25T00:00:00"/>
    <x v="16"/>
    <x v="0"/>
    <x v="3"/>
    <s v="Kolkata"/>
    <x v="3"/>
    <n v="174"/>
    <n v="47"/>
    <n v="100"/>
    <n v="121"/>
    <n v="61"/>
    <n v="1124.18"/>
    <n v="2"/>
    <n v="0"/>
    <x v="0"/>
    <x v="1"/>
    <x v="1"/>
    <n v="136025.78"/>
  </r>
  <r>
    <s v="ORD00861"/>
    <d v="2026-12-21T00:00:00"/>
    <x v="13"/>
    <x v="2"/>
    <x v="2"/>
    <s v="Delhi"/>
    <x v="2"/>
    <n v="147"/>
    <n v="81"/>
    <n v="75"/>
    <n v="153"/>
    <n v="79"/>
    <n v="1141.54"/>
    <n v="3"/>
    <n v="0"/>
    <x v="1"/>
    <x v="1"/>
    <x v="0"/>
    <n v="174655.62"/>
  </r>
  <r>
    <s v="ORD00862"/>
    <d v="2026-08-23T00:00:00"/>
    <x v="10"/>
    <x v="4"/>
    <x v="4"/>
    <s v="Mumbai"/>
    <x v="0"/>
    <n v="59"/>
    <n v="112"/>
    <n v="100"/>
    <n v="71"/>
    <n v="82"/>
    <n v="613.98"/>
    <n v="4"/>
    <n v="6"/>
    <x v="1"/>
    <x v="1"/>
    <x v="0"/>
    <n v="43592.58"/>
  </r>
  <r>
    <s v="ORD00863"/>
    <d v="2026-11-21T00:00:00"/>
    <x v="2"/>
    <x v="1"/>
    <x v="0"/>
    <s v="Bangalore"/>
    <x v="1"/>
    <n v="212"/>
    <n v="72"/>
    <n v="48"/>
    <n v="236"/>
    <n v="78"/>
    <n v="2506.6999999999998"/>
    <n v="5"/>
    <n v="0"/>
    <x v="1"/>
    <x v="2"/>
    <x v="1"/>
    <n v="591581.19999999995"/>
  </r>
  <r>
    <s v="ORD00864"/>
    <d v="2026-04-08T00:00:00"/>
    <x v="8"/>
    <x v="3"/>
    <x v="4"/>
    <s v="Mumbai"/>
    <x v="0"/>
    <n v="88"/>
    <n v="73"/>
    <n v="104"/>
    <n v="57"/>
    <n v="79"/>
    <n v="2953.66"/>
    <n v="6"/>
    <n v="6"/>
    <x v="1"/>
    <x v="1"/>
    <x v="0"/>
    <n v="168358.62"/>
  </r>
  <r>
    <s v="ORD00865"/>
    <d v="2026-06-30T00:00:00"/>
    <x v="12"/>
    <x v="4"/>
    <x v="0"/>
    <s v="Delhi"/>
    <x v="2"/>
    <n v="44"/>
    <n v="58"/>
    <n v="54"/>
    <n v="48"/>
    <n v="77"/>
    <n v="531.91"/>
    <n v="2"/>
    <n v="8"/>
    <x v="1"/>
    <x v="0"/>
    <x v="0"/>
    <n v="25531.68"/>
  </r>
  <r>
    <s v="ORD00866"/>
    <d v="2026-12-04T00:00:00"/>
    <x v="19"/>
    <x v="2"/>
    <x v="1"/>
    <s v="Delhi"/>
    <x v="2"/>
    <n v="69"/>
    <n v="42"/>
    <n v="73"/>
    <n v="38"/>
    <n v="72"/>
    <n v="1461.94"/>
    <n v="6"/>
    <n v="7"/>
    <x v="1"/>
    <x v="0"/>
    <x v="0"/>
    <n v="55553.72"/>
  </r>
  <r>
    <s v="ORD00867"/>
    <d v="2026-11-16T00:00:00"/>
    <x v="5"/>
    <x v="3"/>
    <x v="1"/>
    <s v="Bangalore"/>
    <x v="1"/>
    <n v="62"/>
    <n v="123"/>
    <n v="28"/>
    <n v="157"/>
    <n v="50"/>
    <n v="1338.9"/>
    <n v="6"/>
    <n v="0"/>
    <x v="1"/>
    <x v="2"/>
    <x v="0"/>
    <n v="210207.30000000002"/>
  </r>
  <r>
    <s v="ORD00868"/>
    <d v="2026-08-29T00:00:00"/>
    <x v="12"/>
    <x v="4"/>
    <x v="3"/>
    <s v="Bangalore"/>
    <x v="1"/>
    <n v="210"/>
    <n v="57"/>
    <n v="68"/>
    <n v="199"/>
    <n v="58"/>
    <n v="472.29"/>
    <n v="5"/>
    <n v="0"/>
    <x v="1"/>
    <x v="2"/>
    <x v="0"/>
    <n v="93985.71"/>
  </r>
  <r>
    <s v="ORD00869"/>
    <d v="2026-05-18T00:00:00"/>
    <x v="16"/>
    <x v="0"/>
    <x v="3"/>
    <s v="Kolkata"/>
    <x v="3"/>
    <n v="205"/>
    <n v="110"/>
    <n v="109"/>
    <n v="206"/>
    <n v="70"/>
    <n v="1081.83"/>
    <n v="4"/>
    <n v="0"/>
    <x v="1"/>
    <x v="2"/>
    <x v="0"/>
    <n v="222856.97999999998"/>
  </r>
  <r>
    <s v="ORD00870"/>
    <d v="2026-11-04T00:00:00"/>
    <x v="4"/>
    <x v="2"/>
    <x v="3"/>
    <s v="Mumbai"/>
    <x v="0"/>
    <n v="41"/>
    <n v="73"/>
    <n v="19"/>
    <n v="95"/>
    <n v="45"/>
    <n v="724.2"/>
    <n v="8"/>
    <n v="0"/>
    <x v="1"/>
    <x v="1"/>
    <x v="1"/>
    <n v="68799"/>
  </r>
  <r>
    <s v="ORD00871"/>
    <d v="2026-10-23T00:00:00"/>
    <x v="4"/>
    <x v="2"/>
    <x v="2"/>
    <s v="Kolkata"/>
    <x v="3"/>
    <n v="101"/>
    <n v="91"/>
    <n v="65"/>
    <n v="127"/>
    <n v="57"/>
    <n v="818.6"/>
    <n v="5"/>
    <n v="0"/>
    <x v="1"/>
    <x v="2"/>
    <x v="1"/>
    <n v="103962.2"/>
  </r>
  <r>
    <s v="ORD00872"/>
    <d v="2026-03-02T00:00:00"/>
    <x v="11"/>
    <x v="3"/>
    <x v="3"/>
    <s v="Mumbai"/>
    <x v="0"/>
    <n v="143"/>
    <n v="60"/>
    <n v="81"/>
    <n v="122"/>
    <n v="55"/>
    <n v="2172.46"/>
    <n v="2"/>
    <n v="0"/>
    <x v="1"/>
    <x v="2"/>
    <x v="0"/>
    <n v="265040.12"/>
  </r>
  <r>
    <s v="ORD00873"/>
    <d v="2026-01-15T00:00:00"/>
    <x v="10"/>
    <x v="4"/>
    <x v="0"/>
    <s v="Mumbai"/>
    <x v="0"/>
    <n v="122"/>
    <n v="46"/>
    <n v="26"/>
    <n v="142"/>
    <n v="50"/>
    <n v="543.08000000000004"/>
    <n v="2"/>
    <n v="0"/>
    <x v="1"/>
    <x v="2"/>
    <x v="0"/>
    <n v="77117.36"/>
  </r>
  <r>
    <s v="ORD00874"/>
    <d v="2026-12-01T00:00:00"/>
    <x v="12"/>
    <x v="4"/>
    <x v="1"/>
    <s v="Kolkata"/>
    <x v="3"/>
    <n v="46"/>
    <n v="115"/>
    <n v="108"/>
    <n v="53"/>
    <n v="53"/>
    <n v="548.34"/>
    <n v="7"/>
    <n v="6"/>
    <x v="1"/>
    <x v="1"/>
    <x v="0"/>
    <n v="29062.02"/>
  </r>
  <r>
    <s v="ORD00875"/>
    <d v="2026-11-23T00:00:00"/>
    <x v="14"/>
    <x v="1"/>
    <x v="2"/>
    <s v="Mumbai"/>
    <x v="0"/>
    <n v="136"/>
    <n v="118"/>
    <n v="48"/>
    <n v="206"/>
    <n v="87"/>
    <n v="1456.56"/>
    <n v="2"/>
    <n v="0"/>
    <x v="1"/>
    <x v="2"/>
    <x v="0"/>
    <n v="300051.36"/>
  </r>
  <r>
    <s v="ORD00876"/>
    <d v="2026-07-05T00:00:00"/>
    <x v="12"/>
    <x v="4"/>
    <x v="4"/>
    <s v="Kolkata"/>
    <x v="3"/>
    <n v="192"/>
    <n v="35"/>
    <n v="28"/>
    <n v="199"/>
    <n v="54"/>
    <n v="478.25"/>
    <n v="3"/>
    <n v="0"/>
    <x v="0"/>
    <x v="2"/>
    <x v="0"/>
    <n v="95171.75"/>
  </r>
  <r>
    <s v="ORD00877"/>
    <d v="2026-06-10T00:00:00"/>
    <x v="2"/>
    <x v="1"/>
    <x v="4"/>
    <s v="Kolkata"/>
    <x v="3"/>
    <n v="45"/>
    <n v="72"/>
    <n v="24"/>
    <n v="93"/>
    <n v="76"/>
    <n v="2620.42"/>
    <n v="2"/>
    <n v="0"/>
    <x v="1"/>
    <x v="1"/>
    <x v="0"/>
    <n v="243699.06"/>
  </r>
  <r>
    <s v="ORD00878"/>
    <d v="2026-11-11T00:00:00"/>
    <x v="11"/>
    <x v="3"/>
    <x v="2"/>
    <s v="Delhi"/>
    <x v="2"/>
    <n v="42"/>
    <n v="42"/>
    <n v="99"/>
    <n v="0"/>
    <n v="81"/>
    <n v="2257.73"/>
    <n v="10"/>
    <n v="9"/>
    <x v="0"/>
    <x v="0"/>
    <x v="0"/>
    <n v="0"/>
  </r>
  <r>
    <s v="ORD00879"/>
    <d v="2026-07-06T00:00:00"/>
    <x v="12"/>
    <x v="4"/>
    <x v="2"/>
    <s v="Delhi"/>
    <x v="2"/>
    <n v="71"/>
    <n v="44"/>
    <n v="92"/>
    <n v="23"/>
    <n v="46"/>
    <n v="503.6"/>
    <n v="6"/>
    <n v="3"/>
    <x v="1"/>
    <x v="0"/>
    <x v="0"/>
    <n v="11582.800000000001"/>
  </r>
  <r>
    <s v="ORD00880"/>
    <d v="2026-02-17T00:00:00"/>
    <x v="17"/>
    <x v="0"/>
    <x v="4"/>
    <s v="Delhi"/>
    <x v="2"/>
    <n v="75"/>
    <n v="48"/>
    <n v="25"/>
    <n v="98"/>
    <n v="91"/>
    <n v="1453.65"/>
    <n v="3"/>
    <n v="0"/>
    <x v="1"/>
    <x v="1"/>
    <x v="0"/>
    <n v="142457.70000000001"/>
  </r>
  <r>
    <s v="ORD00881"/>
    <d v="2026-05-24T00:00:00"/>
    <x v="4"/>
    <x v="2"/>
    <x v="3"/>
    <s v="Kolkata"/>
    <x v="3"/>
    <n v="151"/>
    <n v="85"/>
    <n v="66"/>
    <n v="170"/>
    <n v="57"/>
    <n v="760.01"/>
    <n v="3"/>
    <n v="0"/>
    <x v="1"/>
    <x v="2"/>
    <x v="1"/>
    <n v="129201.7"/>
  </r>
  <r>
    <s v="ORD00882"/>
    <d v="2026-06-13T00:00:00"/>
    <x v="8"/>
    <x v="3"/>
    <x v="1"/>
    <s v="Delhi"/>
    <x v="2"/>
    <n v="82"/>
    <n v="121"/>
    <n v="41"/>
    <n v="162"/>
    <n v="91"/>
    <n v="2793.19"/>
    <n v="5"/>
    <n v="0"/>
    <x v="1"/>
    <x v="1"/>
    <x v="2"/>
    <n v="452496.78"/>
  </r>
  <r>
    <s v="ORD00883"/>
    <d v="2026-01-18T00:00:00"/>
    <x v="12"/>
    <x v="4"/>
    <x v="1"/>
    <s v="Kolkata"/>
    <x v="3"/>
    <n v="149"/>
    <n v="45"/>
    <n v="87"/>
    <n v="107"/>
    <n v="67"/>
    <n v="487.4"/>
    <n v="7"/>
    <n v="0"/>
    <x v="1"/>
    <x v="1"/>
    <x v="0"/>
    <n v="52151.799999999996"/>
  </r>
  <r>
    <s v="ORD00884"/>
    <d v="2026-08-08T00:00:00"/>
    <x v="6"/>
    <x v="4"/>
    <x v="1"/>
    <s v="Kolkata"/>
    <x v="3"/>
    <n v="115"/>
    <n v="97"/>
    <n v="97"/>
    <n v="115"/>
    <n v="78"/>
    <n v="630.79"/>
    <n v="2"/>
    <n v="0"/>
    <x v="0"/>
    <x v="1"/>
    <x v="1"/>
    <n v="72540.849999999991"/>
  </r>
  <r>
    <s v="ORD00885"/>
    <d v="2026-01-06T00:00:00"/>
    <x v="14"/>
    <x v="1"/>
    <x v="2"/>
    <s v="Bangalore"/>
    <x v="1"/>
    <n v="95"/>
    <n v="104"/>
    <n v="62"/>
    <n v="137"/>
    <n v="68"/>
    <n v="1486.41"/>
    <n v="4"/>
    <n v="0"/>
    <x v="0"/>
    <x v="1"/>
    <x v="0"/>
    <n v="203638.17"/>
  </r>
  <r>
    <s v="ORD00886"/>
    <d v="2026-05-23T00:00:00"/>
    <x v="13"/>
    <x v="2"/>
    <x v="3"/>
    <s v="Delhi"/>
    <x v="2"/>
    <n v="99"/>
    <n v="91"/>
    <n v="23"/>
    <n v="167"/>
    <n v="69"/>
    <n v="1052.4000000000001"/>
    <n v="3"/>
    <n v="0"/>
    <x v="1"/>
    <x v="2"/>
    <x v="0"/>
    <n v="175750.80000000002"/>
  </r>
  <r>
    <s v="ORD00887"/>
    <d v="2026-09-13T00:00:00"/>
    <x v="12"/>
    <x v="4"/>
    <x v="1"/>
    <s v="Kolkata"/>
    <x v="3"/>
    <n v="214"/>
    <n v="116"/>
    <n v="70"/>
    <n v="260"/>
    <n v="65"/>
    <n v="531.34"/>
    <n v="3"/>
    <n v="0"/>
    <x v="1"/>
    <x v="2"/>
    <x v="1"/>
    <n v="138148.4"/>
  </r>
  <r>
    <s v="ORD00888"/>
    <d v="2026-01-10T00:00:00"/>
    <x v="16"/>
    <x v="0"/>
    <x v="3"/>
    <s v="Bangalore"/>
    <x v="1"/>
    <n v="71"/>
    <n v="77"/>
    <n v="36"/>
    <n v="112"/>
    <n v="83"/>
    <n v="1158.45"/>
    <n v="5"/>
    <n v="0"/>
    <x v="1"/>
    <x v="1"/>
    <x v="0"/>
    <n v="129746.40000000001"/>
  </r>
  <r>
    <s v="ORD00889"/>
    <d v="2026-02-05T00:00:00"/>
    <x v="12"/>
    <x v="4"/>
    <x v="3"/>
    <s v="Delhi"/>
    <x v="2"/>
    <n v="73"/>
    <n v="127"/>
    <n v="66"/>
    <n v="134"/>
    <n v="47"/>
    <n v="539.58000000000004"/>
    <n v="6"/>
    <n v="0"/>
    <x v="0"/>
    <x v="2"/>
    <x v="0"/>
    <n v="72303.72"/>
  </r>
  <r>
    <s v="ORD00890"/>
    <d v="2026-07-21T00:00:00"/>
    <x v="8"/>
    <x v="3"/>
    <x v="3"/>
    <s v="Delhi"/>
    <x v="2"/>
    <n v="110"/>
    <n v="60"/>
    <n v="59"/>
    <n v="111"/>
    <n v="70"/>
    <n v="2564.67"/>
    <n v="8"/>
    <n v="0"/>
    <x v="1"/>
    <x v="1"/>
    <x v="0"/>
    <n v="284678.37"/>
  </r>
  <r>
    <s v="ORD00891"/>
    <d v="2026-06-15T00:00:00"/>
    <x v="19"/>
    <x v="2"/>
    <x v="3"/>
    <s v="Bangalore"/>
    <x v="1"/>
    <n v="135"/>
    <n v="99"/>
    <n v="28"/>
    <n v="206"/>
    <n v="46"/>
    <n v="1417.2"/>
    <n v="8"/>
    <n v="0"/>
    <x v="0"/>
    <x v="2"/>
    <x v="0"/>
    <n v="291943.2"/>
  </r>
  <r>
    <s v="ORD00892"/>
    <d v="2026-02-26T00:00:00"/>
    <x v="11"/>
    <x v="3"/>
    <x v="2"/>
    <s v="Bangalore"/>
    <x v="1"/>
    <n v="88"/>
    <n v="112"/>
    <n v="62"/>
    <n v="138"/>
    <n v="97"/>
    <n v="2377.27"/>
    <n v="6"/>
    <n v="0"/>
    <x v="1"/>
    <x v="1"/>
    <x v="2"/>
    <n v="328063.26"/>
  </r>
  <r>
    <s v="ORD00893"/>
    <d v="2026-10-26T00:00:00"/>
    <x v="16"/>
    <x v="0"/>
    <x v="4"/>
    <s v="Delhi"/>
    <x v="2"/>
    <n v="124"/>
    <n v="108"/>
    <n v="93"/>
    <n v="139"/>
    <n v="95"/>
    <n v="1275"/>
    <n v="4"/>
    <n v="0"/>
    <x v="1"/>
    <x v="1"/>
    <x v="3"/>
    <n v="177225"/>
  </r>
  <r>
    <s v="ORD00894"/>
    <d v="2026-09-25T00:00:00"/>
    <x v="8"/>
    <x v="3"/>
    <x v="2"/>
    <s v="Delhi"/>
    <x v="2"/>
    <n v="77"/>
    <n v="116"/>
    <n v="89"/>
    <n v="104"/>
    <n v="99"/>
    <n v="3060.87"/>
    <n v="5"/>
    <n v="0"/>
    <x v="1"/>
    <x v="1"/>
    <x v="0"/>
    <n v="318330.48"/>
  </r>
  <r>
    <s v="ORD00895"/>
    <d v="2026-06-01T00:00:00"/>
    <x v="15"/>
    <x v="4"/>
    <x v="1"/>
    <s v="Kolkata"/>
    <x v="3"/>
    <n v="209"/>
    <n v="82"/>
    <n v="50"/>
    <n v="241"/>
    <n v="65"/>
    <n v="474.54"/>
    <n v="5"/>
    <n v="0"/>
    <x v="1"/>
    <x v="2"/>
    <x v="0"/>
    <n v="114364.14"/>
  </r>
  <r>
    <s v="ORD00896"/>
    <d v="2026-04-19T00:00:00"/>
    <x v="16"/>
    <x v="0"/>
    <x v="1"/>
    <s v="Mumbai"/>
    <x v="0"/>
    <n v="208"/>
    <n v="102"/>
    <n v="109"/>
    <n v="201"/>
    <n v="99"/>
    <n v="1129.4100000000001"/>
    <n v="2"/>
    <n v="0"/>
    <x v="0"/>
    <x v="1"/>
    <x v="0"/>
    <n v="227011.41"/>
  </r>
  <r>
    <s v="ORD00897"/>
    <d v="2026-06-10T00:00:00"/>
    <x v="17"/>
    <x v="0"/>
    <x v="3"/>
    <s v="Kolkata"/>
    <x v="3"/>
    <n v="88"/>
    <n v="82"/>
    <n v="28"/>
    <n v="142"/>
    <n v="66"/>
    <n v="1318.43"/>
    <n v="6"/>
    <n v="0"/>
    <x v="1"/>
    <x v="1"/>
    <x v="0"/>
    <n v="187217.06"/>
  </r>
  <r>
    <s v="ORD00898"/>
    <d v="2026-04-07T00:00:00"/>
    <x v="19"/>
    <x v="2"/>
    <x v="2"/>
    <s v="Bangalore"/>
    <x v="1"/>
    <n v="73"/>
    <n v="48"/>
    <n v="61"/>
    <n v="60"/>
    <n v="69"/>
    <n v="1642.52"/>
    <n v="8"/>
    <n v="4"/>
    <x v="1"/>
    <x v="1"/>
    <x v="2"/>
    <n v="98551.2"/>
  </r>
  <r>
    <s v="ORD00899"/>
    <d v="2026-05-04T00:00:00"/>
    <x v="16"/>
    <x v="0"/>
    <x v="3"/>
    <s v="Mumbai"/>
    <x v="0"/>
    <n v="215"/>
    <n v="59"/>
    <n v="88"/>
    <n v="186"/>
    <n v="86"/>
    <n v="1104.5"/>
    <n v="5"/>
    <n v="0"/>
    <x v="1"/>
    <x v="1"/>
    <x v="2"/>
    <n v="205437"/>
  </r>
  <r>
    <s v="ORD00900"/>
    <d v="2026-04-19T00:00:00"/>
    <x v="3"/>
    <x v="0"/>
    <x v="2"/>
    <s v="Delhi"/>
    <x v="2"/>
    <n v="47"/>
    <n v="80"/>
    <n v="99"/>
    <n v="28"/>
    <n v="78"/>
    <n v="891.48"/>
    <n v="4"/>
    <n v="2"/>
    <x v="0"/>
    <x v="0"/>
    <x v="0"/>
    <n v="24961.440000000002"/>
  </r>
  <r>
    <s v="ORD00901"/>
    <d v="2026-08-05T00:00:00"/>
    <x v="2"/>
    <x v="1"/>
    <x v="1"/>
    <s v="Kolkata"/>
    <x v="3"/>
    <n v="170"/>
    <n v="62"/>
    <n v="21"/>
    <n v="211"/>
    <n v="73"/>
    <n v="2290.84"/>
    <n v="2"/>
    <n v="0"/>
    <x v="0"/>
    <x v="2"/>
    <x v="0"/>
    <n v="483367.24000000005"/>
  </r>
  <r>
    <s v="ORD00902"/>
    <d v="2026-11-27T00:00:00"/>
    <x v="14"/>
    <x v="1"/>
    <x v="2"/>
    <s v="Kolkata"/>
    <x v="3"/>
    <n v="85"/>
    <n v="96"/>
    <n v="50"/>
    <n v="131"/>
    <n v="78"/>
    <n v="1634.38"/>
    <n v="6"/>
    <n v="0"/>
    <x v="1"/>
    <x v="1"/>
    <x v="2"/>
    <n v="214103.78000000003"/>
  </r>
  <r>
    <s v="ORD00903"/>
    <d v="2026-12-25T00:00:00"/>
    <x v="9"/>
    <x v="1"/>
    <x v="2"/>
    <s v="Bangalore"/>
    <x v="1"/>
    <n v="53"/>
    <n v="24"/>
    <n v="88"/>
    <n v="0"/>
    <n v="62"/>
    <n v="663.43"/>
    <n v="6"/>
    <n v="4"/>
    <x v="0"/>
    <x v="0"/>
    <x v="1"/>
    <n v="0"/>
  </r>
  <r>
    <s v="ORD00904"/>
    <d v="2026-05-28T00:00:00"/>
    <x v="7"/>
    <x v="3"/>
    <x v="3"/>
    <s v="Bangalore"/>
    <x v="1"/>
    <n v="96"/>
    <n v="113"/>
    <n v="103"/>
    <n v="106"/>
    <n v="62"/>
    <n v="999.03"/>
    <n v="3"/>
    <n v="0"/>
    <x v="1"/>
    <x v="1"/>
    <x v="0"/>
    <n v="105897.18"/>
  </r>
  <r>
    <s v="ORD00905"/>
    <d v="2026-12-15T00:00:00"/>
    <x v="6"/>
    <x v="4"/>
    <x v="4"/>
    <s v="Bangalore"/>
    <x v="1"/>
    <n v="87"/>
    <n v="84"/>
    <n v="104"/>
    <n v="67"/>
    <n v="84"/>
    <n v="646.98"/>
    <n v="4"/>
    <n v="4"/>
    <x v="1"/>
    <x v="1"/>
    <x v="0"/>
    <n v="43347.66"/>
  </r>
  <r>
    <s v="ORD00906"/>
    <d v="2026-02-09T00:00:00"/>
    <x v="17"/>
    <x v="0"/>
    <x v="2"/>
    <s v="Delhi"/>
    <x v="2"/>
    <n v="156"/>
    <n v="38"/>
    <n v="16"/>
    <n v="178"/>
    <n v="87"/>
    <n v="1392.89"/>
    <n v="4"/>
    <n v="0"/>
    <x v="0"/>
    <x v="1"/>
    <x v="3"/>
    <n v="247934.42"/>
  </r>
  <r>
    <s v="ORD00907"/>
    <d v="2026-10-18T00:00:00"/>
    <x v="9"/>
    <x v="1"/>
    <x v="1"/>
    <s v="Delhi"/>
    <x v="2"/>
    <n v="161"/>
    <n v="94"/>
    <n v="15"/>
    <n v="240"/>
    <n v="76"/>
    <n v="752.25"/>
    <n v="5"/>
    <n v="0"/>
    <x v="0"/>
    <x v="2"/>
    <x v="1"/>
    <n v="180540"/>
  </r>
  <r>
    <s v="ORD00908"/>
    <d v="2026-06-29T00:00:00"/>
    <x v="13"/>
    <x v="2"/>
    <x v="1"/>
    <s v="Mumbai"/>
    <x v="0"/>
    <n v="77"/>
    <n v="119"/>
    <n v="27"/>
    <n v="169"/>
    <n v="51"/>
    <n v="1057.01"/>
    <n v="7"/>
    <n v="0"/>
    <x v="1"/>
    <x v="2"/>
    <x v="0"/>
    <n v="178634.69"/>
  </r>
  <r>
    <s v="ORD00909"/>
    <d v="2026-12-06T00:00:00"/>
    <x v="6"/>
    <x v="4"/>
    <x v="3"/>
    <s v="Delhi"/>
    <x v="2"/>
    <n v="133"/>
    <n v="78"/>
    <n v="16"/>
    <n v="195"/>
    <n v="97"/>
    <n v="630.84"/>
    <n v="7"/>
    <n v="0"/>
    <x v="1"/>
    <x v="1"/>
    <x v="0"/>
    <n v="123013.8"/>
  </r>
  <r>
    <s v="ORD00910"/>
    <d v="2026-03-14T00:00:00"/>
    <x v="10"/>
    <x v="4"/>
    <x v="4"/>
    <s v="Delhi"/>
    <x v="2"/>
    <n v="215"/>
    <n v="86"/>
    <n v="108"/>
    <n v="193"/>
    <n v="85"/>
    <n v="542.49"/>
    <n v="5"/>
    <n v="0"/>
    <x v="1"/>
    <x v="2"/>
    <x v="0"/>
    <n v="104700.57"/>
  </r>
  <r>
    <s v="ORD00911"/>
    <d v="2026-07-13T00:00:00"/>
    <x v="19"/>
    <x v="2"/>
    <x v="4"/>
    <s v="Mumbai"/>
    <x v="0"/>
    <n v="187"/>
    <n v="114"/>
    <n v="104"/>
    <n v="197"/>
    <n v="72"/>
    <n v="1457.83"/>
    <n v="7"/>
    <n v="0"/>
    <x v="0"/>
    <x v="2"/>
    <x v="3"/>
    <n v="287192.51"/>
  </r>
  <r>
    <s v="ORD00912"/>
    <d v="2026-05-22T00:00:00"/>
    <x v="16"/>
    <x v="0"/>
    <x v="1"/>
    <s v="Kolkata"/>
    <x v="3"/>
    <n v="174"/>
    <n v="42"/>
    <n v="48"/>
    <n v="168"/>
    <n v="88"/>
    <n v="1163.72"/>
    <n v="4"/>
    <n v="0"/>
    <x v="1"/>
    <x v="1"/>
    <x v="0"/>
    <n v="195504.96"/>
  </r>
  <r>
    <s v="ORD00913"/>
    <d v="2026-01-05T00:00:00"/>
    <x v="13"/>
    <x v="2"/>
    <x v="4"/>
    <s v="Delhi"/>
    <x v="2"/>
    <n v="196"/>
    <n v="35"/>
    <n v="70"/>
    <n v="161"/>
    <n v="95"/>
    <n v="1090.1099999999999"/>
    <n v="8"/>
    <n v="0"/>
    <x v="1"/>
    <x v="1"/>
    <x v="0"/>
    <n v="175507.71"/>
  </r>
  <r>
    <s v="ORD00914"/>
    <d v="2026-05-31T00:00:00"/>
    <x v="11"/>
    <x v="3"/>
    <x v="3"/>
    <s v="Mumbai"/>
    <x v="0"/>
    <n v="173"/>
    <n v="57"/>
    <n v="94"/>
    <n v="136"/>
    <n v="80"/>
    <n v="2272.3000000000002"/>
    <n v="4"/>
    <n v="0"/>
    <x v="1"/>
    <x v="1"/>
    <x v="0"/>
    <n v="309032.80000000005"/>
  </r>
  <r>
    <s v="ORD00915"/>
    <d v="2026-01-01T00:00:00"/>
    <x v="3"/>
    <x v="0"/>
    <x v="4"/>
    <s v="Mumbai"/>
    <x v="0"/>
    <n v="112"/>
    <n v="125"/>
    <n v="90"/>
    <n v="147"/>
    <n v="52"/>
    <n v="819.57"/>
    <n v="4"/>
    <n v="0"/>
    <x v="0"/>
    <x v="2"/>
    <x v="0"/>
    <n v="120476.79000000001"/>
  </r>
  <r>
    <s v="ORD00916"/>
    <d v="2026-05-19T00:00:00"/>
    <x v="16"/>
    <x v="0"/>
    <x v="2"/>
    <s v="Delhi"/>
    <x v="2"/>
    <n v="112"/>
    <n v="120"/>
    <n v="79"/>
    <n v="153"/>
    <n v="87"/>
    <n v="1310.05"/>
    <n v="6"/>
    <n v="0"/>
    <x v="0"/>
    <x v="1"/>
    <x v="0"/>
    <n v="200437.65"/>
  </r>
  <r>
    <s v="ORD00917"/>
    <d v="2026-08-05T00:00:00"/>
    <x v="1"/>
    <x v="1"/>
    <x v="3"/>
    <s v="Bangalore"/>
    <x v="1"/>
    <n v="114"/>
    <n v="48"/>
    <n v="19"/>
    <n v="143"/>
    <n v="75"/>
    <n v="1412.56"/>
    <n v="3"/>
    <n v="0"/>
    <x v="1"/>
    <x v="1"/>
    <x v="0"/>
    <n v="201996.08"/>
  </r>
  <r>
    <s v="ORD00918"/>
    <d v="2026-04-13T00:00:00"/>
    <x v="8"/>
    <x v="3"/>
    <x v="0"/>
    <s v="Delhi"/>
    <x v="2"/>
    <n v="192"/>
    <n v="59"/>
    <n v="37"/>
    <n v="214"/>
    <n v="81"/>
    <n v="2764.06"/>
    <n v="4"/>
    <n v="0"/>
    <x v="1"/>
    <x v="2"/>
    <x v="0"/>
    <n v="591508.84"/>
  </r>
  <r>
    <s v="ORD00919"/>
    <d v="2026-08-12T00:00:00"/>
    <x v="13"/>
    <x v="2"/>
    <x v="3"/>
    <s v="Mumbai"/>
    <x v="0"/>
    <n v="117"/>
    <n v="59"/>
    <n v="25"/>
    <n v="151"/>
    <n v="64"/>
    <n v="1114.67"/>
    <n v="7"/>
    <n v="0"/>
    <x v="1"/>
    <x v="2"/>
    <x v="0"/>
    <n v="168315.17"/>
  </r>
  <r>
    <s v="ORD00920"/>
    <d v="2026-07-30T00:00:00"/>
    <x v="17"/>
    <x v="0"/>
    <x v="1"/>
    <s v="Kolkata"/>
    <x v="3"/>
    <n v="217"/>
    <n v="60"/>
    <n v="79"/>
    <n v="198"/>
    <n v="88"/>
    <n v="1459.53"/>
    <n v="5"/>
    <n v="0"/>
    <x v="1"/>
    <x v="2"/>
    <x v="0"/>
    <n v="288986.94"/>
  </r>
  <r>
    <s v="ORD00921"/>
    <d v="2026-03-07T00:00:00"/>
    <x v="8"/>
    <x v="3"/>
    <x v="1"/>
    <s v="Bangalore"/>
    <x v="1"/>
    <n v="147"/>
    <n v="31"/>
    <n v="32"/>
    <n v="146"/>
    <n v="84"/>
    <n v="3027.84"/>
    <n v="8"/>
    <n v="0"/>
    <x v="1"/>
    <x v="1"/>
    <x v="0"/>
    <n v="442064.64000000001"/>
  </r>
  <r>
    <s v="ORD00922"/>
    <d v="2026-02-13T00:00:00"/>
    <x v="6"/>
    <x v="4"/>
    <x v="4"/>
    <s v="Kolkata"/>
    <x v="3"/>
    <n v="72"/>
    <n v="71"/>
    <n v="100"/>
    <n v="43"/>
    <n v="45"/>
    <n v="645.16999999999996"/>
    <n v="8"/>
    <n v="8"/>
    <x v="1"/>
    <x v="1"/>
    <x v="1"/>
    <n v="27742.309999999998"/>
  </r>
  <r>
    <s v="ORD00923"/>
    <d v="2026-10-27T00:00:00"/>
    <x v="16"/>
    <x v="0"/>
    <x v="4"/>
    <s v="Delhi"/>
    <x v="2"/>
    <n v="192"/>
    <n v="32"/>
    <n v="52"/>
    <n v="172"/>
    <n v="81"/>
    <n v="1195.55"/>
    <n v="4"/>
    <n v="0"/>
    <x v="1"/>
    <x v="1"/>
    <x v="0"/>
    <n v="205634.6"/>
  </r>
  <r>
    <s v="ORD00924"/>
    <d v="2026-11-18T00:00:00"/>
    <x v="12"/>
    <x v="4"/>
    <x v="2"/>
    <s v="Mumbai"/>
    <x v="0"/>
    <n v="183"/>
    <n v="114"/>
    <n v="78"/>
    <n v="219"/>
    <n v="53"/>
    <n v="472.35"/>
    <n v="7"/>
    <n v="0"/>
    <x v="1"/>
    <x v="2"/>
    <x v="0"/>
    <n v="103444.65000000001"/>
  </r>
  <r>
    <s v="ORD00925"/>
    <d v="2026-09-16T00:00:00"/>
    <x v="18"/>
    <x v="2"/>
    <x v="3"/>
    <s v="Mumbai"/>
    <x v="0"/>
    <n v="69"/>
    <n v="28"/>
    <n v="15"/>
    <n v="82"/>
    <n v="54"/>
    <n v="3266.43"/>
    <n v="6"/>
    <n v="2"/>
    <x v="0"/>
    <x v="1"/>
    <x v="0"/>
    <n v="267847.26"/>
  </r>
  <r>
    <s v="ORD00926"/>
    <d v="2026-11-10T00:00:00"/>
    <x v="7"/>
    <x v="3"/>
    <x v="4"/>
    <s v="Bangalore"/>
    <x v="1"/>
    <n v="116"/>
    <n v="71"/>
    <n v="76"/>
    <n v="111"/>
    <n v="56"/>
    <n v="1064.05"/>
    <n v="8"/>
    <n v="0"/>
    <x v="1"/>
    <x v="1"/>
    <x v="0"/>
    <n v="118109.54999999999"/>
  </r>
  <r>
    <s v="ORD00927"/>
    <d v="2026-12-25T00:00:00"/>
    <x v="8"/>
    <x v="3"/>
    <x v="3"/>
    <s v="Mumbai"/>
    <x v="0"/>
    <n v="202"/>
    <n v="22"/>
    <n v="38"/>
    <n v="186"/>
    <n v="54"/>
    <n v="2978.39"/>
    <n v="7"/>
    <n v="0"/>
    <x v="1"/>
    <x v="2"/>
    <x v="0"/>
    <n v="553980.53999999992"/>
  </r>
  <r>
    <s v="ORD00928"/>
    <d v="2026-07-17T00:00:00"/>
    <x v="15"/>
    <x v="4"/>
    <x v="3"/>
    <s v="Kolkata"/>
    <x v="3"/>
    <n v="114"/>
    <n v="57"/>
    <n v="100"/>
    <n v="71"/>
    <n v="51"/>
    <n v="491.32"/>
    <n v="5"/>
    <n v="0"/>
    <x v="1"/>
    <x v="1"/>
    <x v="0"/>
    <n v="34883.72"/>
  </r>
  <r>
    <s v="ORD00929"/>
    <d v="2026-11-30T00:00:00"/>
    <x v="3"/>
    <x v="0"/>
    <x v="3"/>
    <s v="Kolkata"/>
    <x v="3"/>
    <n v="77"/>
    <n v="23"/>
    <n v="51"/>
    <n v="49"/>
    <n v="74"/>
    <n v="831.62"/>
    <n v="5"/>
    <n v="5"/>
    <x v="0"/>
    <x v="1"/>
    <x v="0"/>
    <n v="40749.379999999997"/>
  </r>
  <r>
    <s v="ORD00930"/>
    <d v="2026-12-28T00:00:00"/>
    <x v="10"/>
    <x v="4"/>
    <x v="4"/>
    <s v="Delhi"/>
    <x v="2"/>
    <n v="75"/>
    <n v="79"/>
    <n v="107"/>
    <n v="47"/>
    <n v="74"/>
    <n v="573.23"/>
    <n v="3"/>
    <n v="4"/>
    <x v="1"/>
    <x v="0"/>
    <x v="0"/>
    <n v="26941.81"/>
  </r>
  <r>
    <s v="ORD00931"/>
    <d v="2026-03-13T00:00:00"/>
    <x v="10"/>
    <x v="4"/>
    <x v="1"/>
    <s v="Bangalore"/>
    <x v="1"/>
    <n v="84"/>
    <n v="103"/>
    <n v="34"/>
    <n v="153"/>
    <n v="67"/>
    <n v="618.71"/>
    <n v="6"/>
    <n v="0"/>
    <x v="1"/>
    <x v="2"/>
    <x v="2"/>
    <n v="94662.63"/>
  </r>
  <r>
    <s v="ORD00932"/>
    <d v="2026-12-04T00:00:00"/>
    <x v="4"/>
    <x v="2"/>
    <x v="3"/>
    <s v="Bangalore"/>
    <x v="1"/>
    <n v="205"/>
    <n v="81"/>
    <n v="63"/>
    <n v="223"/>
    <n v="75"/>
    <n v="816.93"/>
    <n v="3"/>
    <n v="0"/>
    <x v="1"/>
    <x v="2"/>
    <x v="3"/>
    <n v="182175.38999999998"/>
  </r>
  <r>
    <s v="ORD00933"/>
    <d v="2026-03-23T00:00:00"/>
    <x v="6"/>
    <x v="4"/>
    <x v="2"/>
    <s v="Delhi"/>
    <x v="2"/>
    <n v="190"/>
    <n v="94"/>
    <n v="59"/>
    <n v="225"/>
    <n v="82"/>
    <n v="665.27"/>
    <n v="5"/>
    <n v="0"/>
    <x v="0"/>
    <x v="2"/>
    <x v="0"/>
    <n v="149685.75"/>
  </r>
  <r>
    <s v="ORD00934"/>
    <d v="2026-05-02T00:00:00"/>
    <x v="9"/>
    <x v="1"/>
    <x v="4"/>
    <s v="Kolkata"/>
    <x v="3"/>
    <n v="213"/>
    <n v="80"/>
    <n v="56"/>
    <n v="237"/>
    <n v="93"/>
    <n v="662.41"/>
    <n v="8"/>
    <n v="0"/>
    <x v="1"/>
    <x v="2"/>
    <x v="2"/>
    <n v="156991.16999999998"/>
  </r>
  <r>
    <s v="ORD00935"/>
    <d v="2026-11-07T00:00:00"/>
    <x v="17"/>
    <x v="0"/>
    <x v="3"/>
    <s v="Kolkata"/>
    <x v="3"/>
    <n v="56"/>
    <n v="27"/>
    <n v="93"/>
    <n v="0"/>
    <n v="61"/>
    <n v="1292.05"/>
    <n v="8"/>
    <n v="8"/>
    <x v="1"/>
    <x v="0"/>
    <x v="2"/>
    <n v="0"/>
  </r>
  <r>
    <s v="ORD00936"/>
    <d v="2026-09-09T00:00:00"/>
    <x v="17"/>
    <x v="0"/>
    <x v="0"/>
    <s v="Bangalore"/>
    <x v="1"/>
    <n v="218"/>
    <n v="77"/>
    <n v="63"/>
    <n v="232"/>
    <n v="53"/>
    <n v="1536.88"/>
    <n v="6"/>
    <n v="0"/>
    <x v="1"/>
    <x v="2"/>
    <x v="0"/>
    <n v="356556.16000000003"/>
  </r>
  <r>
    <s v="ORD00937"/>
    <d v="2026-03-13T00:00:00"/>
    <x v="5"/>
    <x v="3"/>
    <x v="2"/>
    <s v="Mumbai"/>
    <x v="0"/>
    <n v="81"/>
    <n v="75"/>
    <n v="82"/>
    <n v="74"/>
    <n v="96"/>
    <n v="1375.4"/>
    <n v="2"/>
    <n v="2"/>
    <x v="1"/>
    <x v="1"/>
    <x v="0"/>
    <n v="101779.6"/>
  </r>
  <r>
    <s v="ORD00938"/>
    <d v="2026-04-17T00:00:00"/>
    <x v="16"/>
    <x v="0"/>
    <x v="3"/>
    <s v="Bangalore"/>
    <x v="1"/>
    <n v="127"/>
    <n v="43"/>
    <n v="102"/>
    <n v="68"/>
    <n v="91"/>
    <n v="1309.8599999999999"/>
    <n v="7"/>
    <n v="8"/>
    <x v="1"/>
    <x v="1"/>
    <x v="0"/>
    <n v="89070.48"/>
  </r>
  <r>
    <s v="ORD00939"/>
    <d v="2026-02-06T00:00:00"/>
    <x v="10"/>
    <x v="4"/>
    <x v="1"/>
    <s v="Delhi"/>
    <x v="2"/>
    <n v="131"/>
    <n v="99"/>
    <n v="86"/>
    <n v="144"/>
    <n v="99"/>
    <n v="556.54"/>
    <n v="2"/>
    <n v="0"/>
    <x v="1"/>
    <x v="1"/>
    <x v="0"/>
    <n v="80141.759999999995"/>
  </r>
  <r>
    <s v="ORD00940"/>
    <d v="2026-05-29T00:00:00"/>
    <x v="12"/>
    <x v="4"/>
    <x v="2"/>
    <s v="Delhi"/>
    <x v="2"/>
    <n v="65"/>
    <n v="35"/>
    <n v="78"/>
    <n v="22"/>
    <n v="59"/>
    <n v="455.15"/>
    <n v="6"/>
    <n v="4"/>
    <x v="1"/>
    <x v="0"/>
    <x v="1"/>
    <n v="10013.299999999999"/>
  </r>
  <r>
    <s v="ORD00941"/>
    <d v="2026-06-09T00:00:00"/>
    <x v="19"/>
    <x v="2"/>
    <x v="0"/>
    <s v="Bangalore"/>
    <x v="1"/>
    <n v="80"/>
    <n v="56"/>
    <n v="24"/>
    <n v="112"/>
    <n v="79"/>
    <n v="1522.61"/>
    <n v="8"/>
    <n v="0"/>
    <x v="1"/>
    <x v="1"/>
    <x v="0"/>
    <n v="170532.31999999998"/>
  </r>
  <r>
    <s v="ORD00942"/>
    <d v="2026-01-31T00:00:00"/>
    <x v="8"/>
    <x v="3"/>
    <x v="1"/>
    <s v="Bangalore"/>
    <x v="1"/>
    <n v="189"/>
    <n v="80"/>
    <n v="48"/>
    <n v="221"/>
    <n v="86"/>
    <n v="2536.79"/>
    <n v="4"/>
    <n v="0"/>
    <x v="1"/>
    <x v="2"/>
    <x v="0"/>
    <n v="560630.59"/>
  </r>
  <r>
    <s v="ORD00943"/>
    <d v="2026-01-19T00:00:00"/>
    <x v="1"/>
    <x v="1"/>
    <x v="1"/>
    <s v="Delhi"/>
    <x v="2"/>
    <n v="209"/>
    <n v="27"/>
    <n v="45"/>
    <n v="191"/>
    <n v="76"/>
    <n v="1188.96"/>
    <n v="6"/>
    <n v="0"/>
    <x v="1"/>
    <x v="2"/>
    <x v="2"/>
    <n v="227091.36000000002"/>
  </r>
  <r>
    <s v="ORD00944"/>
    <d v="2026-06-05T00:00:00"/>
    <x v="18"/>
    <x v="2"/>
    <x v="3"/>
    <s v="Bangalore"/>
    <x v="1"/>
    <n v="181"/>
    <n v="81"/>
    <n v="31"/>
    <n v="231"/>
    <n v="62"/>
    <n v="3342.93"/>
    <n v="4"/>
    <n v="2"/>
    <x v="0"/>
    <x v="2"/>
    <x v="0"/>
    <n v="772216.83"/>
  </r>
  <r>
    <s v="ORD00945"/>
    <d v="2026-07-13T00:00:00"/>
    <x v="9"/>
    <x v="1"/>
    <x v="4"/>
    <s v="Bangalore"/>
    <x v="1"/>
    <n v="90"/>
    <n v="88"/>
    <n v="92"/>
    <n v="86"/>
    <n v="100"/>
    <n v="683.11"/>
    <n v="7"/>
    <n v="8"/>
    <x v="1"/>
    <x v="1"/>
    <x v="0"/>
    <n v="58747.46"/>
  </r>
  <r>
    <s v="ORD00946"/>
    <d v="2026-04-29T00:00:00"/>
    <x v="2"/>
    <x v="1"/>
    <x v="3"/>
    <s v="Mumbai"/>
    <x v="0"/>
    <n v="69"/>
    <n v="76"/>
    <n v="30"/>
    <n v="115"/>
    <n v="84"/>
    <n v="2631.62"/>
    <n v="7"/>
    <n v="0"/>
    <x v="0"/>
    <x v="1"/>
    <x v="0"/>
    <n v="302636.3"/>
  </r>
  <r>
    <s v="ORD00947"/>
    <d v="2026-01-30T00:00:00"/>
    <x v="0"/>
    <x v="0"/>
    <x v="2"/>
    <s v="Kolkata"/>
    <x v="3"/>
    <n v="177"/>
    <n v="92"/>
    <n v="20"/>
    <n v="249"/>
    <n v="96"/>
    <n v="1625.36"/>
    <n v="7"/>
    <n v="0"/>
    <x v="1"/>
    <x v="2"/>
    <x v="0"/>
    <n v="404714.63999999996"/>
  </r>
  <r>
    <s v="ORD00948"/>
    <d v="2026-09-03T00:00:00"/>
    <x v="2"/>
    <x v="1"/>
    <x v="2"/>
    <s v="Delhi"/>
    <x v="2"/>
    <n v="51"/>
    <n v="60"/>
    <n v="59"/>
    <n v="52"/>
    <n v="83"/>
    <n v="2474.5"/>
    <n v="3"/>
    <n v="3"/>
    <x v="1"/>
    <x v="0"/>
    <x v="0"/>
    <n v="128674"/>
  </r>
  <r>
    <s v="ORD00949"/>
    <d v="2026-10-10T00:00:00"/>
    <x v="0"/>
    <x v="0"/>
    <x v="4"/>
    <s v="Delhi"/>
    <x v="2"/>
    <n v="179"/>
    <n v="46"/>
    <n v="78"/>
    <n v="147"/>
    <n v="90"/>
    <n v="1884.68"/>
    <n v="6"/>
    <n v="0"/>
    <x v="0"/>
    <x v="1"/>
    <x v="0"/>
    <n v="277047.96000000002"/>
  </r>
  <r>
    <s v="ORD00950"/>
    <d v="2026-11-15T00:00:00"/>
    <x v="13"/>
    <x v="2"/>
    <x v="1"/>
    <s v="Delhi"/>
    <x v="2"/>
    <n v="121"/>
    <n v="109"/>
    <n v="84"/>
    <n v="146"/>
    <n v="77"/>
    <n v="1012.96"/>
    <n v="4"/>
    <n v="0"/>
    <x v="1"/>
    <x v="1"/>
    <x v="2"/>
    <n v="147892.16"/>
  </r>
  <r>
    <s v="ORD00951"/>
    <d v="2026-03-14T00:00:00"/>
    <x v="5"/>
    <x v="3"/>
    <x v="4"/>
    <s v="Mumbai"/>
    <x v="0"/>
    <n v="75"/>
    <n v="127"/>
    <n v="81"/>
    <n v="121"/>
    <n v="59"/>
    <n v="1249.28"/>
    <n v="6"/>
    <n v="0"/>
    <x v="1"/>
    <x v="1"/>
    <x v="0"/>
    <n v="151162.88"/>
  </r>
  <r>
    <s v="ORD00952"/>
    <d v="2026-02-13T00:00:00"/>
    <x v="17"/>
    <x v="0"/>
    <x v="3"/>
    <s v="Kolkata"/>
    <x v="3"/>
    <n v="69"/>
    <n v="22"/>
    <n v="78"/>
    <n v="13"/>
    <n v="98"/>
    <n v="1269.45"/>
    <n v="4"/>
    <n v="5"/>
    <x v="1"/>
    <x v="0"/>
    <x v="1"/>
    <n v="16502.850000000002"/>
  </r>
  <r>
    <s v="ORD00953"/>
    <d v="2026-08-09T00:00:00"/>
    <x v="16"/>
    <x v="0"/>
    <x v="1"/>
    <s v="Kolkata"/>
    <x v="3"/>
    <n v="166"/>
    <n v="22"/>
    <n v="63"/>
    <n v="125"/>
    <n v="69"/>
    <n v="1186.56"/>
    <n v="3"/>
    <n v="0"/>
    <x v="1"/>
    <x v="1"/>
    <x v="0"/>
    <n v="148320"/>
  </r>
  <r>
    <s v="ORD00954"/>
    <d v="2026-05-15T00:00:00"/>
    <x v="12"/>
    <x v="4"/>
    <x v="0"/>
    <s v="Bangalore"/>
    <x v="1"/>
    <n v="178"/>
    <n v="117"/>
    <n v="59"/>
    <n v="236"/>
    <n v="46"/>
    <n v="541.01"/>
    <n v="8"/>
    <n v="0"/>
    <x v="1"/>
    <x v="2"/>
    <x v="3"/>
    <n v="127678.36"/>
  </r>
  <r>
    <s v="ORD00955"/>
    <d v="2026-10-11T00:00:00"/>
    <x v="15"/>
    <x v="4"/>
    <x v="4"/>
    <s v="Delhi"/>
    <x v="2"/>
    <n v="199"/>
    <n v="75"/>
    <n v="69"/>
    <n v="205"/>
    <n v="95"/>
    <n v="470.63"/>
    <n v="7"/>
    <n v="0"/>
    <x v="1"/>
    <x v="1"/>
    <x v="1"/>
    <n v="96479.15"/>
  </r>
  <r>
    <s v="ORD00956"/>
    <d v="2026-05-02T00:00:00"/>
    <x v="5"/>
    <x v="3"/>
    <x v="1"/>
    <s v="Kolkata"/>
    <x v="3"/>
    <n v="148"/>
    <n v="93"/>
    <n v="107"/>
    <n v="134"/>
    <n v="81"/>
    <n v="1369.94"/>
    <n v="4"/>
    <n v="0"/>
    <x v="0"/>
    <x v="1"/>
    <x v="0"/>
    <n v="183571.96000000002"/>
  </r>
  <r>
    <s v="ORD00957"/>
    <d v="2026-12-04T00:00:00"/>
    <x v="9"/>
    <x v="1"/>
    <x v="0"/>
    <s v="Delhi"/>
    <x v="2"/>
    <n v="61"/>
    <n v="51"/>
    <n v="84"/>
    <n v="28"/>
    <n v="63"/>
    <n v="677.25"/>
    <n v="5"/>
    <n v="5"/>
    <x v="0"/>
    <x v="0"/>
    <x v="0"/>
    <n v="18963"/>
  </r>
  <r>
    <s v="ORD00958"/>
    <d v="2026-01-05T00:00:00"/>
    <x v="18"/>
    <x v="2"/>
    <x v="4"/>
    <s v="Delhi"/>
    <x v="2"/>
    <n v="185"/>
    <n v="104"/>
    <n v="56"/>
    <n v="233"/>
    <n v="98"/>
    <n v="3049.29"/>
    <n v="3"/>
    <n v="0"/>
    <x v="1"/>
    <x v="2"/>
    <x v="0"/>
    <n v="710484.57"/>
  </r>
  <r>
    <s v="ORD00959"/>
    <d v="2026-11-09T00:00:00"/>
    <x v="8"/>
    <x v="3"/>
    <x v="0"/>
    <s v="Kolkata"/>
    <x v="3"/>
    <n v="203"/>
    <n v="128"/>
    <n v="86"/>
    <n v="245"/>
    <n v="58"/>
    <n v="2748.82"/>
    <n v="6"/>
    <n v="0"/>
    <x v="1"/>
    <x v="2"/>
    <x v="0"/>
    <n v="673460.9"/>
  </r>
  <r>
    <s v="ORD00960"/>
    <d v="2026-11-13T00:00:00"/>
    <x v="6"/>
    <x v="4"/>
    <x v="4"/>
    <s v="Kolkata"/>
    <x v="3"/>
    <n v="86"/>
    <n v="53"/>
    <n v="50"/>
    <n v="89"/>
    <n v="61"/>
    <n v="697.98"/>
    <n v="3"/>
    <n v="0"/>
    <x v="1"/>
    <x v="1"/>
    <x v="0"/>
    <n v="62120.22"/>
  </r>
  <r>
    <s v="ORD00961"/>
    <d v="2026-02-01T00:00:00"/>
    <x v="17"/>
    <x v="0"/>
    <x v="4"/>
    <s v="Bangalore"/>
    <x v="1"/>
    <n v="87"/>
    <n v="107"/>
    <n v="79"/>
    <n v="115"/>
    <n v="100"/>
    <n v="1383.29"/>
    <n v="4"/>
    <n v="0"/>
    <x v="0"/>
    <x v="1"/>
    <x v="2"/>
    <n v="159078.35"/>
  </r>
  <r>
    <s v="ORD00962"/>
    <d v="2026-09-19T00:00:00"/>
    <x v="4"/>
    <x v="2"/>
    <x v="4"/>
    <s v="Delhi"/>
    <x v="2"/>
    <n v="178"/>
    <n v="111"/>
    <n v="20"/>
    <n v="269"/>
    <n v="83"/>
    <n v="757.55"/>
    <n v="2"/>
    <n v="0"/>
    <x v="0"/>
    <x v="2"/>
    <x v="0"/>
    <n v="203780.94999999998"/>
  </r>
  <r>
    <s v="ORD00963"/>
    <d v="2026-06-17T00:00:00"/>
    <x v="17"/>
    <x v="0"/>
    <x v="2"/>
    <s v="Delhi"/>
    <x v="2"/>
    <n v="186"/>
    <n v="67"/>
    <n v="102"/>
    <n v="151"/>
    <n v="71"/>
    <n v="1279.99"/>
    <n v="5"/>
    <n v="0"/>
    <x v="1"/>
    <x v="1"/>
    <x v="0"/>
    <n v="193278.49"/>
  </r>
  <r>
    <s v="ORD00964"/>
    <d v="2026-03-18T00:00:00"/>
    <x v="6"/>
    <x v="4"/>
    <x v="0"/>
    <s v="Kolkata"/>
    <x v="3"/>
    <n v="206"/>
    <n v="67"/>
    <n v="75"/>
    <n v="198"/>
    <n v="63"/>
    <n v="665.85"/>
    <n v="3"/>
    <n v="0"/>
    <x v="1"/>
    <x v="2"/>
    <x v="0"/>
    <n v="131838.30000000002"/>
  </r>
  <r>
    <s v="ORD00965"/>
    <d v="2026-04-21T00:00:00"/>
    <x v="12"/>
    <x v="4"/>
    <x v="4"/>
    <s v="Mumbai"/>
    <x v="0"/>
    <n v="120"/>
    <n v="85"/>
    <n v="106"/>
    <n v="99"/>
    <n v="94"/>
    <n v="524.20000000000005"/>
    <n v="8"/>
    <n v="0"/>
    <x v="1"/>
    <x v="1"/>
    <x v="0"/>
    <n v="51895.8"/>
  </r>
  <r>
    <s v="ORD00966"/>
    <d v="2026-10-03T00:00:00"/>
    <x v="8"/>
    <x v="3"/>
    <x v="2"/>
    <s v="Kolkata"/>
    <x v="3"/>
    <n v="206"/>
    <n v="30"/>
    <n v="24"/>
    <n v="212"/>
    <n v="59"/>
    <n v="2836.63"/>
    <n v="6"/>
    <n v="0"/>
    <x v="1"/>
    <x v="2"/>
    <x v="2"/>
    <n v="601365.56000000006"/>
  </r>
  <r>
    <s v="ORD00967"/>
    <d v="2026-05-05T00:00:00"/>
    <x v="0"/>
    <x v="0"/>
    <x v="1"/>
    <s v="Kolkata"/>
    <x v="3"/>
    <n v="208"/>
    <n v="87"/>
    <n v="81"/>
    <n v="214"/>
    <n v="73"/>
    <n v="1734.1"/>
    <n v="3"/>
    <n v="0"/>
    <x v="1"/>
    <x v="2"/>
    <x v="0"/>
    <n v="371097.39999999997"/>
  </r>
  <r>
    <s v="ORD00968"/>
    <d v="2026-07-05T00:00:00"/>
    <x v="13"/>
    <x v="2"/>
    <x v="0"/>
    <s v="Mumbai"/>
    <x v="0"/>
    <n v="156"/>
    <n v="60"/>
    <n v="110"/>
    <n v="106"/>
    <n v="52"/>
    <n v="1142.48"/>
    <n v="5"/>
    <n v="0"/>
    <x v="1"/>
    <x v="1"/>
    <x v="1"/>
    <n v="121102.88"/>
  </r>
  <r>
    <s v="ORD00969"/>
    <d v="2026-03-06T00:00:00"/>
    <x v="16"/>
    <x v="0"/>
    <x v="1"/>
    <s v="Bangalore"/>
    <x v="1"/>
    <n v="132"/>
    <n v="103"/>
    <n v="76"/>
    <n v="159"/>
    <n v="83"/>
    <n v="1135.28"/>
    <n v="8"/>
    <n v="0"/>
    <x v="1"/>
    <x v="1"/>
    <x v="0"/>
    <n v="180509.52"/>
  </r>
  <r>
    <s v="ORD00970"/>
    <d v="2026-03-17T00:00:00"/>
    <x v="15"/>
    <x v="4"/>
    <x v="3"/>
    <s v="Mumbai"/>
    <x v="0"/>
    <n v="195"/>
    <n v="53"/>
    <n v="51"/>
    <n v="197"/>
    <n v="66"/>
    <n v="433.25"/>
    <n v="2"/>
    <n v="0"/>
    <x v="1"/>
    <x v="2"/>
    <x v="0"/>
    <n v="85350.25"/>
  </r>
  <r>
    <s v="ORD00971"/>
    <d v="2026-02-21T00:00:00"/>
    <x v="10"/>
    <x v="4"/>
    <x v="2"/>
    <s v="Mumbai"/>
    <x v="0"/>
    <n v="156"/>
    <n v="21"/>
    <n v="36"/>
    <n v="141"/>
    <n v="52"/>
    <n v="590.24"/>
    <n v="8"/>
    <n v="0"/>
    <x v="1"/>
    <x v="2"/>
    <x v="3"/>
    <n v="83223.839999999997"/>
  </r>
  <r>
    <s v="ORD00972"/>
    <d v="2026-07-01T00:00:00"/>
    <x v="9"/>
    <x v="1"/>
    <x v="3"/>
    <s v="Bangalore"/>
    <x v="1"/>
    <n v="216"/>
    <n v="41"/>
    <n v="24"/>
    <n v="233"/>
    <n v="53"/>
    <n v="702.09"/>
    <n v="6"/>
    <n v="0"/>
    <x v="1"/>
    <x v="2"/>
    <x v="1"/>
    <n v="163586.97"/>
  </r>
  <r>
    <s v="ORD00973"/>
    <d v="2026-01-24T00:00:00"/>
    <x v="2"/>
    <x v="1"/>
    <x v="1"/>
    <s v="Mumbai"/>
    <x v="0"/>
    <n v="115"/>
    <n v="35"/>
    <n v="58"/>
    <n v="92"/>
    <n v="97"/>
    <n v="2591.21"/>
    <n v="6"/>
    <n v="2"/>
    <x v="1"/>
    <x v="1"/>
    <x v="3"/>
    <n v="238391.32"/>
  </r>
  <r>
    <s v="ORD00974"/>
    <d v="2026-04-04T00:00:00"/>
    <x v="16"/>
    <x v="0"/>
    <x v="3"/>
    <s v="Kolkata"/>
    <x v="3"/>
    <n v="201"/>
    <n v="77"/>
    <n v="109"/>
    <n v="169"/>
    <n v="98"/>
    <n v="1184.57"/>
    <n v="8"/>
    <n v="0"/>
    <x v="1"/>
    <x v="1"/>
    <x v="0"/>
    <n v="200192.33"/>
  </r>
  <r>
    <s v="ORD00975"/>
    <d v="2026-10-29T00:00:00"/>
    <x v="12"/>
    <x v="4"/>
    <x v="2"/>
    <s v="Bangalore"/>
    <x v="1"/>
    <n v="191"/>
    <n v="95"/>
    <n v="62"/>
    <n v="224"/>
    <n v="88"/>
    <n v="514.94000000000005"/>
    <n v="5"/>
    <n v="0"/>
    <x v="1"/>
    <x v="2"/>
    <x v="0"/>
    <n v="115346.56000000001"/>
  </r>
  <r>
    <s v="ORD00976"/>
    <d v="2026-08-07T00:00:00"/>
    <x v="18"/>
    <x v="2"/>
    <x v="2"/>
    <s v="Delhi"/>
    <x v="2"/>
    <n v="166"/>
    <n v="63"/>
    <n v="21"/>
    <n v="208"/>
    <n v="81"/>
    <n v="3211.31"/>
    <n v="6"/>
    <n v="0"/>
    <x v="1"/>
    <x v="2"/>
    <x v="1"/>
    <n v="667952.48"/>
  </r>
  <r>
    <s v="ORD00977"/>
    <d v="2026-10-22T00:00:00"/>
    <x v="4"/>
    <x v="2"/>
    <x v="3"/>
    <s v="Delhi"/>
    <x v="2"/>
    <n v="85"/>
    <n v="38"/>
    <n v="20"/>
    <n v="103"/>
    <n v="97"/>
    <n v="871.21"/>
    <n v="7"/>
    <n v="0"/>
    <x v="1"/>
    <x v="1"/>
    <x v="0"/>
    <n v="89734.63"/>
  </r>
  <r>
    <s v="ORD00978"/>
    <d v="2026-05-13T00:00:00"/>
    <x v="6"/>
    <x v="4"/>
    <x v="4"/>
    <s v="Delhi"/>
    <x v="2"/>
    <n v="112"/>
    <n v="41"/>
    <n v="30"/>
    <n v="123"/>
    <n v="63"/>
    <n v="620.6"/>
    <n v="5"/>
    <n v="0"/>
    <x v="1"/>
    <x v="1"/>
    <x v="0"/>
    <n v="76333.8"/>
  </r>
  <r>
    <s v="ORD00979"/>
    <d v="2026-10-04T00:00:00"/>
    <x v="12"/>
    <x v="4"/>
    <x v="2"/>
    <s v="Delhi"/>
    <x v="2"/>
    <n v="76"/>
    <n v="32"/>
    <n v="41"/>
    <n v="67"/>
    <n v="80"/>
    <n v="533.88"/>
    <n v="8"/>
    <n v="1"/>
    <x v="0"/>
    <x v="1"/>
    <x v="3"/>
    <n v="35769.96"/>
  </r>
  <r>
    <s v="ORD00980"/>
    <d v="2026-03-06T00:00:00"/>
    <x v="15"/>
    <x v="4"/>
    <x v="4"/>
    <s v="Kolkata"/>
    <x v="3"/>
    <n v="46"/>
    <n v="67"/>
    <n v="41"/>
    <n v="72"/>
    <n v="63"/>
    <n v="489.76"/>
    <n v="6"/>
    <n v="0"/>
    <x v="1"/>
    <x v="1"/>
    <x v="0"/>
    <n v="35262.720000000001"/>
  </r>
  <r>
    <s v="ORD00981"/>
    <d v="2026-03-01T00:00:00"/>
    <x v="5"/>
    <x v="3"/>
    <x v="4"/>
    <s v="Bangalore"/>
    <x v="1"/>
    <n v="153"/>
    <n v="75"/>
    <n v="78"/>
    <n v="150"/>
    <n v="61"/>
    <n v="1192.58"/>
    <n v="3"/>
    <n v="0"/>
    <x v="1"/>
    <x v="2"/>
    <x v="2"/>
    <n v="178887"/>
  </r>
  <r>
    <s v="ORD00982"/>
    <d v="2026-02-07T00:00:00"/>
    <x v="18"/>
    <x v="2"/>
    <x v="2"/>
    <s v="Bangalore"/>
    <x v="1"/>
    <n v="123"/>
    <n v="40"/>
    <n v="79"/>
    <n v="84"/>
    <n v="66"/>
    <n v="3056.71"/>
    <n v="7"/>
    <n v="0"/>
    <x v="1"/>
    <x v="1"/>
    <x v="0"/>
    <n v="256763.64"/>
  </r>
  <r>
    <s v="ORD00983"/>
    <d v="2026-11-18T00:00:00"/>
    <x v="18"/>
    <x v="2"/>
    <x v="3"/>
    <s v="Bangalore"/>
    <x v="1"/>
    <n v="220"/>
    <n v="121"/>
    <n v="81"/>
    <n v="260"/>
    <n v="65"/>
    <n v="3001.86"/>
    <n v="10"/>
    <n v="0"/>
    <x v="1"/>
    <x v="2"/>
    <x v="3"/>
    <n v="780483.6"/>
  </r>
  <r>
    <s v="ORD00984"/>
    <d v="2026-05-25T00:00:00"/>
    <x v="17"/>
    <x v="0"/>
    <x v="2"/>
    <s v="Kolkata"/>
    <x v="3"/>
    <n v="96"/>
    <n v="106"/>
    <n v="40"/>
    <n v="162"/>
    <n v="61"/>
    <n v="1391.63"/>
    <n v="5"/>
    <n v="0"/>
    <x v="1"/>
    <x v="2"/>
    <x v="2"/>
    <n v="225444.06000000003"/>
  </r>
  <r>
    <s v="ORD00985"/>
    <d v="2026-12-19T00:00:00"/>
    <x v="1"/>
    <x v="1"/>
    <x v="4"/>
    <s v="Mumbai"/>
    <x v="0"/>
    <n v="40"/>
    <n v="75"/>
    <n v="23"/>
    <n v="92"/>
    <n v="76"/>
    <n v="1315.01"/>
    <n v="3"/>
    <n v="0"/>
    <x v="1"/>
    <x v="1"/>
    <x v="0"/>
    <n v="120980.92"/>
  </r>
  <r>
    <s v="ORD00986"/>
    <d v="2026-05-30T00:00:00"/>
    <x v="19"/>
    <x v="2"/>
    <x v="1"/>
    <s v="Mumbai"/>
    <x v="0"/>
    <n v="203"/>
    <n v="64"/>
    <n v="76"/>
    <n v="191"/>
    <n v="78"/>
    <n v="1547.08"/>
    <n v="3"/>
    <n v="0"/>
    <x v="1"/>
    <x v="2"/>
    <x v="1"/>
    <n v="295492.27999999997"/>
  </r>
  <r>
    <s v="ORD00987"/>
    <d v="2026-08-17T00:00:00"/>
    <x v="7"/>
    <x v="3"/>
    <x v="3"/>
    <s v="Delhi"/>
    <x v="2"/>
    <n v="179"/>
    <n v="81"/>
    <n v="52"/>
    <n v="208"/>
    <n v="51"/>
    <n v="943.79"/>
    <n v="8"/>
    <n v="0"/>
    <x v="1"/>
    <x v="2"/>
    <x v="0"/>
    <n v="196308.32"/>
  </r>
  <r>
    <s v="ORD00988"/>
    <d v="2026-09-05T00:00:00"/>
    <x v="13"/>
    <x v="2"/>
    <x v="3"/>
    <s v="Bangalore"/>
    <x v="1"/>
    <n v="85"/>
    <n v="79"/>
    <n v="55"/>
    <n v="109"/>
    <n v="87"/>
    <n v="1014.98"/>
    <n v="7"/>
    <n v="0"/>
    <x v="1"/>
    <x v="1"/>
    <x v="0"/>
    <n v="110632.82"/>
  </r>
  <r>
    <s v="ORD00989"/>
    <d v="2026-06-15T00:00:00"/>
    <x v="7"/>
    <x v="3"/>
    <x v="2"/>
    <s v="Bangalore"/>
    <x v="1"/>
    <n v="114"/>
    <n v="54"/>
    <n v="79"/>
    <n v="89"/>
    <n v="58"/>
    <n v="1077.96"/>
    <n v="8"/>
    <n v="0"/>
    <x v="1"/>
    <x v="1"/>
    <x v="0"/>
    <n v="95938.44"/>
  </r>
  <r>
    <s v="ORD00990"/>
    <d v="2026-11-22T00:00:00"/>
    <x v="4"/>
    <x v="2"/>
    <x v="3"/>
    <s v="Kolkata"/>
    <x v="3"/>
    <n v="153"/>
    <n v="74"/>
    <n v="66"/>
    <n v="161"/>
    <n v="61"/>
    <n v="865.98"/>
    <n v="4"/>
    <n v="0"/>
    <x v="1"/>
    <x v="2"/>
    <x v="0"/>
    <n v="139422.78"/>
  </r>
  <r>
    <s v="ORD00991"/>
    <d v="2026-11-09T00:00:00"/>
    <x v="16"/>
    <x v="0"/>
    <x v="3"/>
    <s v="Kolkata"/>
    <x v="3"/>
    <n v="96"/>
    <n v="93"/>
    <n v="36"/>
    <n v="153"/>
    <n v="79"/>
    <n v="1129.49"/>
    <n v="7"/>
    <n v="0"/>
    <x v="0"/>
    <x v="1"/>
    <x v="3"/>
    <n v="172811.97"/>
  </r>
  <r>
    <s v="ORD00992"/>
    <d v="2026-10-11T00:00:00"/>
    <x v="13"/>
    <x v="2"/>
    <x v="1"/>
    <s v="Bangalore"/>
    <x v="1"/>
    <n v="45"/>
    <n v="122"/>
    <n v="63"/>
    <n v="104"/>
    <n v="50"/>
    <n v="1161.7"/>
    <n v="4"/>
    <n v="0"/>
    <x v="1"/>
    <x v="1"/>
    <x v="2"/>
    <n v="120816.8"/>
  </r>
  <r>
    <s v="ORD00993"/>
    <d v="2026-03-24T00:00:00"/>
    <x v="0"/>
    <x v="0"/>
    <x v="1"/>
    <s v="Mumbai"/>
    <x v="0"/>
    <n v="132"/>
    <n v="88"/>
    <n v="40"/>
    <n v="180"/>
    <n v="55"/>
    <n v="1921.73"/>
    <n v="5"/>
    <n v="0"/>
    <x v="1"/>
    <x v="2"/>
    <x v="0"/>
    <n v="345911.4"/>
  </r>
  <r>
    <s v="ORD00994"/>
    <d v="2026-09-14T00:00:00"/>
    <x v="4"/>
    <x v="2"/>
    <x v="3"/>
    <s v="Mumbai"/>
    <x v="0"/>
    <n v="181"/>
    <n v="113"/>
    <n v="46"/>
    <n v="248"/>
    <n v="45"/>
    <n v="725.77"/>
    <n v="2"/>
    <n v="0"/>
    <x v="1"/>
    <x v="2"/>
    <x v="0"/>
    <n v="179990.96"/>
  </r>
  <r>
    <s v="ORD00995"/>
    <d v="2026-03-05T00:00:00"/>
    <x v="7"/>
    <x v="3"/>
    <x v="4"/>
    <s v="Mumbai"/>
    <x v="0"/>
    <n v="112"/>
    <n v="58"/>
    <n v="18"/>
    <n v="152"/>
    <n v="59"/>
    <n v="1026.31"/>
    <n v="7"/>
    <n v="0"/>
    <x v="1"/>
    <x v="2"/>
    <x v="0"/>
    <n v="155999.12"/>
  </r>
  <r>
    <s v="ORD00996"/>
    <d v="2026-10-05T00:00:00"/>
    <x v="7"/>
    <x v="3"/>
    <x v="2"/>
    <s v="Delhi"/>
    <x v="2"/>
    <n v="61"/>
    <n v="29"/>
    <n v="24"/>
    <n v="66"/>
    <n v="77"/>
    <n v="1044.42"/>
    <n v="8"/>
    <n v="1"/>
    <x v="1"/>
    <x v="1"/>
    <x v="0"/>
    <n v="68931.72"/>
  </r>
  <r>
    <s v="ORD00997"/>
    <d v="2026-06-04T00:00:00"/>
    <x v="15"/>
    <x v="4"/>
    <x v="4"/>
    <s v="Kolkata"/>
    <x v="3"/>
    <n v="89"/>
    <n v="126"/>
    <n v="92"/>
    <n v="123"/>
    <n v="99"/>
    <n v="433.1"/>
    <n v="4"/>
    <n v="0"/>
    <x v="1"/>
    <x v="1"/>
    <x v="2"/>
    <n v="53271.3"/>
  </r>
  <r>
    <s v="ORD00998"/>
    <d v="2026-10-15T00:00:00"/>
    <x v="19"/>
    <x v="2"/>
    <x v="2"/>
    <s v="Bangalore"/>
    <x v="1"/>
    <n v="107"/>
    <n v="103"/>
    <n v="88"/>
    <n v="122"/>
    <n v="75"/>
    <n v="1462.97"/>
    <n v="5"/>
    <n v="0"/>
    <x v="0"/>
    <x v="1"/>
    <x v="3"/>
    <n v="178482.34"/>
  </r>
  <r>
    <s v="ORD00999"/>
    <d v="2026-10-23T00:00:00"/>
    <x v="19"/>
    <x v="2"/>
    <x v="0"/>
    <s v="Mumbai"/>
    <x v="0"/>
    <n v="137"/>
    <n v="22"/>
    <n v="78"/>
    <n v="81"/>
    <n v="91"/>
    <n v="1468.09"/>
    <n v="4"/>
    <n v="2"/>
    <x v="1"/>
    <x v="1"/>
    <x v="0"/>
    <n v="118915.29"/>
  </r>
  <r>
    <s v="ORD01000"/>
    <d v="2026-02-12T00:00:00"/>
    <x v="3"/>
    <x v="0"/>
    <x v="2"/>
    <s v="Kolkata"/>
    <x v="3"/>
    <n v="134"/>
    <n v="81"/>
    <n v="87"/>
    <n v="128"/>
    <n v="51"/>
    <n v="925.71"/>
    <n v="4"/>
    <n v="0"/>
    <x v="0"/>
    <x v="2"/>
    <x v="0"/>
    <n v="118490.88"/>
  </r>
  <r>
    <s v="ORD01001"/>
    <d v="2026-10-18T00:00:00"/>
    <x v="17"/>
    <x v="0"/>
    <x v="2"/>
    <s v="Kolkata"/>
    <x v="3"/>
    <n v="191"/>
    <n v="51"/>
    <n v="25"/>
    <n v="217"/>
    <n v="54"/>
    <n v="1372.89"/>
    <n v="8"/>
    <n v="0"/>
    <x v="1"/>
    <x v="2"/>
    <x v="2"/>
    <n v="297917.13"/>
  </r>
  <r>
    <s v="ORD01002"/>
    <d v="2026-07-28T00:00:00"/>
    <x v="9"/>
    <x v="1"/>
    <x v="3"/>
    <s v="Delhi"/>
    <x v="2"/>
    <n v="145"/>
    <n v="59"/>
    <n v="109"/>
    <n v="95"/>
    <n v="66"/>
    <n v="746.81"/>
    <n v="2"/>
    <n v="0"/>
    <x v="1"/>
    <x v="1"/>
    <x v="0"/>
    <n v="70946.95"/>
  </r>
  <r>
    <s v="ORD01003"/>
    <d v="2026-02-11T00:00:00"/>
    <x v="16"/>
    <x v="0"/>
    <x v="2"/>
    <s v="Kolkata"/>
    <x v="3"/>
    <n v="179"/>
    <n v="83"/>
    <n v="55"/>
    <n v="207"/>
    <n v="86"/>
    <n v="1136.58"/>
    <n v="5"/>
    <n v="0"/>
    <x v="1"/>
    <x v="2"/>
    <x v="0"/>
    <n v="235272.06"/>
  </r>
  <r>
    <s v="ORD01004"/>
    <d v="2026-02-28T00:00:00"/>
    <x v="3"/>
    <x v="0"/>
    <x v="4"/>
    <s v="Kolkata"/>
    <x v="3"/>
    <n v="72"/>
    <n v="116"/>
    <n v="16"/>
    <n v="172"/>
    <n v="55"/>
    <n v="903.59"/>
    <n v="2"/>
    <n v="0"/>
    <x v="0"/>
    <x v="2"/>
    <x v="0"/>
    <n v="155417.48000000001"/>
  </r>
  <r>
    <s v="ORD01005"/>
    <d v="2026-06-01T00:00:00"/>
    <x v="3"/>
    <x v="0"/>
    <x v="3"/>
    <s v="Mumbai"/>
    <x v="0"/>
    <n v="200"/>
    <n v="122"/>
    <n v="82"/>
    <n v="240"/>
    <n v="76"/>
    <n v="835.18"/>
    <n v="8"/>
    <n v="0"/>
    <x v="1"/>
    <x v="2"/>
    <x v="0"/>
    <n v="200443.19999999998"/>
  </r>
  <r>
    <s v="ORD01006"/>
    <d v="2026-04-15T00:00:00"/>
    <x v="3"/>
    <x v="0"/>
    <x v="0"/>
    <s v="Delhi"/>
    <x v="2"/>
    <n v="173"/>
    <n v="61"/>
    <n v="93"/>
    <n v="141"/>
    <n v="68"/>
    <n v="911.49"/>
    <n v="3"/>
    <n v="0"/>
    <x v="0"/>
    <x v="1"/>
    <x v="0"/>
    <n v="128520.09"/>
  </r>
  <r>
    <s v="ORD01007"/>
    <d v="2026-03-26T00:00:00"/>
    <x v="6"/>
    <x v="4"/>
    <x v="1"/>
    <s v="Delhi"/>
    <x v="2"/>
    <n v="160"/>
    <n v="79"/>
    <n v="41"/>
    <n v="198"/>
    <n v="66"/>
    <n v="705.52"/>
    <n v="7"/>
    <n v="0"/>
    <x v="1"/>
    <x v="2"/>
    <x v="3"/>
    <n v="139692.96"/>
  </r>
  <r>
    <s v="ORD01008"/>
    <d v="2026-12-22T00:00:00"/>
    <x v="10"/>
    <x v="4"/>
    <x v="4"/>
    <s v="Delhi"/>
    <x v="2"/>
    <n v="146"/>
    <n v="42"/>
    <n v="34"/>
    <n v="154"/>
    <n v="75"/>
    <n v="548.04999999999995"/>
    <n v="2"/>
    <n v="0"/>
    <x v="1"/>
    <x v="1"/>
    <x v="0"/>
    <n v="84399.7"/>
  </r>
  <r>
    <s v="ORD01009"/>
    <d v="2026-01-08T00:00:00"/>
    <x v="3"/>
    <x v="0"/>
    <x v="0"/>
    <s v="Bangalore"/>
    <x v="1"/>
    <n v="55"/>
    <n v="99"/>
    <n v="74"/>
    <n v="80"/>
    <n v="83"/>
    <n v="838.16"/>
    <n v="4"/>
    <n v="4"/>
    <x v="1"/>
    <x v="1"/>
    <x v="0"/>
    <n v="67052.800000000003"/>
  </r>
  <r>
    <s v="ORD01010"/>
    <d v="2026-11-25T00:00:00"/>
    <x v="14"/>
    <x v="1"/>
    <x v="0"/>
    <s v="Kolkata"/>
    <x v="3"/>
    <n v="189"/>
    <n v="113"/>
    <n v="54"/>
    <n v="248"/>
    <n v="68"/>
    <n v="1639.84"/>
    <n v="5"/>
    <n v="0"/>
    <x v="1"/>
    <x v="2"/>
    <x v="0"/>
    <n v="406680.32000000001"/>
  </r>
  <r>
    <s v="ORD01011"/>
    <d v="2026-10-28T00:00:00"/>
    <x v="9"/>
    <x v="1"/>
    <x v="1"/>
    <s v="Mumbai"/>
    <x v="0"/>
    <n v="66"/>
    <n v="113"/>
    <n v="42"/>
    <n v="137"/>
    <n v="62"/>
    <n v="654.97"/>
    <n v="6"/>
    <n v="0"/>
    <x v="0"/>
    <x v="2"/>
    <x v="2"/>
    <n v="89730.89"/>
  </r>
  <r>
    <s v="ORD01012"/>
    <d v="2026-11-11T00:00:00"/>
    <x v="5"/>
    <x v="3"/>
    <x v="1"/>
    <s v="Delhi"/>
    <x v="2"/>
    <n v="197"/>
    <n v="105"/>
    <n v="75"/>
    <n v="227"/>
    <n v="58"/>
    <n v="1213.71"/>
    <n v="8"/>
    <n v="0"/>
    <x v="1"/>
    <x v="2"/>
    <x v="0"/>
    <n v="275512.17"/>
  </r>
  <r>
    <s v="ORD01013"/>
    <d v="2026-06-17T00:00:00"/>
    <x v="1"/>
    <x v="1"/>
    <x v="2"/>
    <s v="Kolkata"/>
    <x v="3"/>
    <n v="40"/>
    <n v="61"/>
    <n v="24"/>
    <n v="77"/>
    <n v="48"/>
    <n v="1205.6099999999999"/>
    <n v="8"/>
    <n v="0"/>
    <x v="1"/>
    <x v="1"/>
    <x v="0"/>
    <n v="92831.969999999987"/>
  </r>
  <r>
    <s v="ORD01014"/>
    <d v="2026-02-10T00:00:00"/>
    <x v="18"/>
    <x v="2"/>
    <x v="2"/>
    <s v="Kolkata"/>
    <x v="3"/>
    <n v="136"/>
    <n v="119"/>
    <n v="64"/>
    <n v="191"/>
    <n v="90"/>
    <n v="3183.67"/>
    <n v="4"/>
    <n v="0"/>
    <x v="1"/>
    <x v="1"/>
    <x v="0"/>
    <n v="608080.97"/>
  </r>
  <r>
    <s v="ORD01015"/>
    <d v="2026-10-13T00:00:00"/>
    <x v="15"/>
    <x v="4"/>
    <x v="2"/>
    <s v="Delhi"/>
    <x v="2"/>
    <n v="76"/>
    <n v="127"/>
    <n v="70"/>
    <n v="133"/>
    <n v="80"/>
    <n v="444.75"/>
    <n v="7"/>
    <n v="0"/>
    <x v="1"/>
    <x v="1"/>
    <x v="2"/>
    <n v="59151.75"/>
  </r>
  <r>
    <s v="ORD01016"/>
    <d v="2026-04-08T00:00:00"/>
    <x v="5"/>
    <x v="3"/>
    <x v="2"/>
    <s v="Bangalore"/>
    <x v="1"/>
    <n v="133"/>
    <n v="129"/>
    <n v="74"/>
    <n v="188"/>
    <n v="94"/>
    <n v="1344.21"/>
    <n v="7"/>
    <n v="0"/>
    <x v="1"/>
    <x v="1"/>
    <x v="0"/>
    <n v="252711.48"/>
  </r>
  <r>
    <s v="ORD01017"/>
    <d v="2026-07-08T00:00:00"/>
    <x v="5"/>
    <x v="3"/>
    <x v="2"/>
    <s v="Bangalore"/>
    <x v="1"/>
    <n v="90"/>
    <n v="76"/>
    <n v="61"/>
    <n v="105"/>
    <n v="78"/>
    <n v="1220.67"/>
    <n v="6"/>
    <n v="0"/>
    <x v="1"/>
    <x v="1"/>
    <x v="0"/>
    <n v="128170.35"/>
  </r>
  <r>
    <s v="ORD01018"/>
    <d v="2026-05-21T00:00:00"/>
    <x v="18"/>
    <x v="2"/>
    <x v="1"/>
    <s v="Delhi"/>
    <x v="2"/>
    <n v="48"/>
    <n v="102"/>
    <n v="50"/>
    <n v="100"/>
    <n v="86"/>
    <n v="3186.39"/>
    <n v="2"/>
    <n v="0"/>
    <x v="1"/>
    <x v="1"/>
    <x v="2"/>
    <n v="318639"/>
  </r>
  <r>
    <s v="ORD01019"/>
    <d v="2026-07-09T00:00:00"/>
    <x v="0"/>
    <x v="0"/>
    <x v="3"/>
    <s v="Kolkata"/>
    <x v="3"/>
    <n v="165"/>
    <n v="42"/>
    <n v="75"/>
    <n v="132"/>
    <n v="92"/>
    <n v="1934.98"/>
    <n v="8"/>
    <n v="0"/>
    <x v="1"/>
    <x v="1"/>
    <x v="0"/>
    <n v="255417.36000000002"/>
  </r>
  <r>
    <s v="ORD01020"/>
    <d v="2026-10-06T00:00:00"/>
    <x v="17"/>
    <x v="0"/>
    <x v="2"/>
    <s v="Mumbai"/>
    <x v="0"/>
    <n v="61"/>
    <n v="73"/>
    <n v="30"/>
    <n v="104"/>
    <n v="48"/>
    <n v="1384.15"/>
    <n v="7"/>
    <n v="0"/>
    <x v="0"/>
    <x v="1"/>
    <x v="0"/>
    <n v="143951.6"/>
  </r>
  <r>
    <s v="ORD01021"/>
    <d v="2026-07-07T00:00:00"/>
    <x v="13"/>
    <x v="2"/>
    <x v="1"/>
    <s v="Bangalore"/>
    <x v="1"/>
    <n v="125"/>
    <n v="127"/>
    <n v="101"/>
    <n v="151"/>
    <n v="99"/>
    <n v="1187.93"/>
    <n v="7"/>
    <n v="0"/>
    <x v="0"/>
    <x v="1"/>
    <x v="3"/>
    <n v="179377.43000000002"/>
  </r>
  <r>
    <s v="ORD01022"/>
    <d v="2026-02-12T00:00:00"/>
    <x v="12"/>
    <x v="4"/>
    <x v="3"/>
    <s v="Kolkata"/>
    <x v="3"/>
    <n v="210"/>
    <n v="105"/>
    <n v="22"/>
    <n v="293"/>
    <n v="49"/>
    <n v="469.29"/>
    <n v="8"/>
    <n v="0"/>
    <x v="1"/>
    <x v="2"/>
    <x v="2"/>
    <n v="137501.97"/>
  </r>
  <r>
    <s v="ORD01023"/>
    <d v="2026-01-02T00:00:00"/>
    <x v="2"/>
    <x v="1"/>
    <x v="4"/>
    <s v="Delhi"/>
    <x v="2"/>
    <n v="195"/>
    <n v="45"/>
    <n v="103"/>
    <n v="137"/>
    <n v="77"/>
    <n v="2356.44"/>
    <n v="7"/>
    <n v="0"/>
    <x v="1"/>
    <x v="1"/>
    <x v="1"/>
    <n v="322832.28000000003"/>
  </r>
  <r>
    <s v="ORD01024"/>
    <d v="2026-02-16T00:00:00"/>
    <x v="4"/>
    <x v="2"/>
    <x v="1"/>
    <s v="Delhi"/>
    <x v="2"/>
    <n v="70"/>
    <n v="63"/>
    <n v="74"/>
    <n v="59"/>
    <n v="81"/>
    <n v="853.78"/>
    <n v="2"/>
    <n v="8"/>
    <x v="1"/>
    <x v="1"/>
    <x v="0"/>
    <n v="50373.02"/>
  </r>
  <r>
    <s v="ORD01025"/>
    <d v="2026-02-11T00:00:00"/>
    <x v="9"/>
    <x v="1"/>
    <x v="2"/>
    <s v="Delhi"/>
    <x v="2"/>
    <n v="191"/>
    <n v="100"/>
    <n v="17"/>
    <n v="274"/>
    <n v="94"/>
    <n v="653.71"/>
    <n v="2"/>
    <n v="0"/>
    <x v="1"/>
    <x v="2"/>
    <x v="0"/>
    <n v="179116.54"/>
  </r>
  <r>
    <s v="ORD01026"/>
    <d v="2026-04-07T00:00:00"/>
    <x v="14"/>
    <x v="1"/>
    <x v="2"/>
    <s v="Mumbai"/>
    <x v="0"/>
    <n v="119"/>
    <n v="26"/>
    <n v="63"/>
    <n v="82"/>
    <n v="90"/>
    <n v="1531.86"/>
    <n v="4"/>
    <n v="6"/>
    <x v="0"/>
    <x v="1"/>
    <x v="0"/>
    <n v="125612.51999999999"/>
  </r>
  <r>
    <s v="ORD01027"/>
    <d v="2026-11-25T00:00:00"/>
    <x v="13"/>
    <x v="2"/>
    <x v="2"/>
    <s v="Delhi"/>
    <x v="2"/>
    <n v="106"/>
    <n v="109"/>
    <n v="71"/>
    <n v="144"/>
    <n v="61"/>
    <n v="1010.33"/>
    <n v="4"/>
    <n v="0"/>
    <x v="1"/>
    <x v="2"/>
    <x v="0"/>
    <n v="145487.52000000002"/>
  </r>
  <r>
    <s v="ORD01028"/>
    <d v="2026-12-16T00:00:00"/>
    <x v="10"/>
    <x v="4"/>
    <x v="2"/>
    <s v="Bangalore"/>
    <x v="1"/>
    <n v="189"/>
    <n v="69"/>
    <n v="34"/>
    <n v="224"/>
    <n v="79"/>
    <n v="608.25"/>
    <n v="7"/>
    <n v="0"/>
    <x v="1"/>
    <x v="2"/>
    <x v="0"/>
    <n v="136248"/>
  </r>
  <r>
    <s v="ORD01029"/>
    <d v="2026-12-04T00:00:00"/>
    <x v="13"/>
    <x v="2"/>
    <x v="0"/>
    <s v="Delhi"/>
    <x v="2"/>
    <n v="63"/>
    <n v="85"/>
    <n v="41"/>
    <n v="107"/>
    <n v="61"/>
    <n v="1038.02"/>
    <n v="4"/>
    <n v="0"/>
    <x v="0"/>
    <x v="1"/>
    <x v="0"/>
    <n v="111068.14"/>
  </r>
  <r>
    <s v="ORD01030"/>
    <d v="2026-02-23T00:00:00"/>
    <x v="2"/>
    <x v="1"/>
    <x v="2"/>
    <s v="Kolkata"/>
    <x v="3"/>
    <n v="190"/>
    <n v="61"/>
    <n v="62"/>
    <n v="189"/>
    <n v="81"/>
    <n v="2341.4"/>
    <n v="6"/>
    <n v="0"/>
    <x v="1"/>
    <x v="2"/>
    <x v="0"/>
    <n v="442524.60000000003"/>
  </r>
  <r>
    <s v="ORD01031"/>
    <d v="2026-08-28T00:00:00"/>
    <x v="18"/>
    <x v="2"/>
    <x v="2"/>
    <s v="Kolkata"/>
    <x v="3"/>
    <n v="161"/>
    <n v="62"/>
    <n v="58"/>
    <n v="165"/>
    <n v="86"/>
    <n v="3457.91"/>
    <n v="3"/>
    <n v="0"/>
    <x v="1"/>
    <x v="1"/>
    <x v="0"/>
    <n v="570555.15"/>
  </r>
  <r>
    <s v="ORD01032"/>
    <d v="2026-05-10T00:00:00"/>
    <x v="15"/>
    <x v="4"/>
    <x v="4"/>
    <s v="Kolkata"/>
    <x v="3"/>
    <n v="197"/>
    <n v="78"/>
    <n v="90"/>
    <n v="185"/>
    <n v="81"/>
    <n v="467.5"/>
    <n v="7"/>
    <n v="0"/>
    <x v="1"/>
    <x v="2"/>
    <x v="1"/>
    <n v="86487.5"/>
  </r>
  <r>
    <s v="ORD01033"/>
    <d v="2026-05-18T00:00:00"/>
    <x v="4"/>
    <x v="2"/>
    <x v="3"/>
    <s v="Kolkata"/>
    <x v="3"/>
    <n v="116"/>
    <n v="25"/>
    <n v="44"/>
    <n v="97"/>
    <n v="93"/>
    <n v="869.56"/>
    <n v="6"/>
    <n v="0"/>
    <x v="0"/>
    <x v="1"/>
    <x v="0"/>
    <n v="84347.319999999992"/>
  </r>
  <r>
    <s v="ORD01034"/>
    <d v="2026-10-18T00:00:00"/>
    <x v="10"/>
    <x v="4"/>
    <x v="1"/>
    <s v="Bangalore"/>
    <x v="1"/>
    <n v="81"/>
    <n v="85"/>
    <n v="36"/>
    <n v="130"/>
    <n v="64"/>
    <n v="646.39"/>
    <n v="7"/>
    <n v="0"/>
    <x v="1"/>
    <x v="1"/>
    <x v="0"/>
    <n v="84030.7"/>
  </r>
  <r>
    <s v="ORD01035"/>
    <d v="2026-06-04T00:00:00"/>
    <x v="1"/>
    <x v="1"/>
    <x v="0"/>
    <s v="Bangalore"/>
    <x v="1"/>
    <n v="63"/>
    <n v="59"/>
    <n v="33"/>
    <n v="89"/>
    <n v="96"/>
    <n v="1259.99"/>
    <n v="7"/>
    <n v="5"/>
    <x v="0"/>
    <x v="1"/>
    <x v="1"/>
    <n v="112139.11"/>
  </r>
  <r>
    <s v="ORD01036"/>
    <d v="2026-01-03T00:00:00"/>
    <x v="18"/>
    <x v="2"/>
    <x v="2"/>
    <s v="Mumbai"/>
    <x v="0"/>
    <n v="92"/>
    <n v="75"/>
    <n v="26"/>
    <n v="141"/>
    <n v="91"/>
    <n v="3036.63"/>
    <n v="7"/>
    <n v="0"/>
    <x v="1"/>
    <x v="1"/>
    <x v="2"/>
    <n v="428164.83"/>
  </r>
  <r>
    <s v="ORD01037"/>
    <d v="2026-12-28T00:00:00"/>
    <x v="11"/>
    <x v="3"/>
    <x v="0"/>
    <s v="Bangalore"/>
    <x v="1"/>
    <n v="160"/>
    <n v="90"/>
    <n v="102"/>
    <n v="148"/>
    <n v="70"/>
    <n v="2287.46"/>
    <n v="5"/>
    <n v="0"/>
    <x v="1"/>
    <x v="1"/>
    <x v="1"/>
    <n v="338544.08"/>
  </r>
  <r>
    <s v="ORD01038"/>
    <d v="2026-08-06T00:00:00"/>
    <x v="9"/>
    <x v="1"/>
    <x v="3"/>
    <s v="Mumbai"/>
    <x v="0"/>
    <n v="121"/>
    <n v="117"/>
    <n v="32"/>
    <n v="206"/>
    <n v="70"/>
    <n v="738.26"/>
    <n v="4"/>
    <n v="0"/>
    <x v="1"/>
    <x v="2"/>
    <x v="2"/>
    <n v="152081.56"/>
  </r>
  <r>
    <s v="ORD01039"/>
    <d v="2026-05-01T00:00:00"/>
    <x v="10"/>
    <x v="4"/>
    <x v="1"/>
    <s v="Bangalore"/>
    <x v="1"/>
    <n v="128"/>
    <n v="82"/>
    <n v="100"/>
    <n v="110"/>
    <n v="92"/>
    <n v="656.43"/>
    <n v="2"/>
    <n v="0"/>
    <x v="1"/>
    <x v="1"/>
    <x v="0"/>
    <n v="72207.299999999988"/>
  </r>
  <r>
    <s v="ORD01040"/>
    <d v="2026-06-04T00:00:00"/>
    <x v="4"/>
    <x v="2"/>
    <x v="0"/>
    <s v="Bangalore"/>
    <x v="1"/>
    <n v="196"/>
    <n v="96"/>
    <n v="65"/>
    <n v="227"/>
    <n v="49"/>
    <n v="823.29"/>
    <n v="3"/>
    <n v="0"/>
    <x v="1"/>
    <x v="2"/>
    <x v="0"/>
    <n v="186886.83"/>
  </r>
  <r>
    <s v="ORD01041"/>
    <d v="2026-05-14T00:00:00"/>
    <x v="8"/>
    <x v="3"/>
    <x v="0"/>
    <s v="Kolkata"/>
    <x v="3"/>
    <n v="207"/>
    <n v="43"/>
    <n v="69"/>
    <n v="181"/>
    <n v="54"/>
    <n v="2679.58"/>
    <n v="5"/>
    <n v="0"/>
    <x v="1"/>
    <x v="2"/>
    <x v="0"/>
    <n v="485003.98"/>
  </r>
  <r>
    <s v="ORD01042"/>
    <d v="2026-01-07T00:00:00"/>
    <x v="11"/>
    <x v="3"/>
    <x v="2"/>
    <s v="Kolkata"/>
    <x v="3"/>
    <n v="214"/>
    <n v="86"/>
    <n v="28"/>
    <n v="272"/>
    <n v="74"/>
    <n v="2334.7399999999998"/>
    <n v="8"/>
    <n v="0"/>
    <x v="1"/>
    <x v="2"/>
    <x v="0"/>
    <n v="635049.27999999991"/>
  </r>
  <r>
    <s v="ORD01043"/>
    <d v="2026-06-05T00:00:00"/>
    <x v="14"/>
    <x v="1"/>
    <x v="2"/>
    <s v="Kolkata"/>
    <x v="3"/>
    <n v="215"/>
    <n v="78"/>
    <n v="16"/>
    <n v="277"/>
    <n v="76"/>
    <n v="1649.22"/>
    <n v="7"/>
    <n v="0"/>
    <x v="1"/>
    <x v="2"/>
    <x v="2"/>
    <n v="456833.94"/>
  </r>
  <r>
    <s v="ORD01044"/>
    <d v="2026-04-02T00:00:00"/>
    <x v="5"/>
    <x v="3"/>
    <x v="4"/>
    <s v="Kolkata"/>
    <x v="3"/>
    <n v="168"/>
    <n v="67"/>
    <n v="75"/>
    <n v="160"/>
    <n v="90"/>
    <n v="1257.1199999999999"/>
    <n v="6"/>
    <n v="0"/>
    <x v="1"/>
    <x v="1"/>
    <x v="0"/>
    <n v="201139.19999999998"/>
  </r>
  <r>
    <s v="ORD01045"/>
    <d v="2026-08-26T00:00:00"/>
    <x v="7"/>
    <x v="3"/>
    <x v="4"/>
    <s v="Mumbai"/>
    <x v="0"/>
    <n v="41"/>
    <n v="63"/>
    <n v="105"/>
    <n v="0"/>
    <n v="82"/>
    <n v="951.57"/>
    <n v="6"/>
    <n v="8"/>
    <x v="1"/>
    <x v="0"/>
    <x v="0"/>
    <n v="0"/>
  </r>
  <r>
    <s v="ORD01046"/>
    <d v="2026-01-13T00:00:00"/>
    <x v="18"/>
    <x v="2"/>
    <x v="4"/>
    <s v="Kolkata"/>
    <x v="3"/>
    <n v="157"/>
    <n v="66"/>
    <n v="21"/>
    <n v="202"/>
    <n v="83"/>
    <n v="3319.29"/>
    <n v="4"/>
    <n v="0"/>
    <x v="1"/>
    <x v="2"/>
    <x v="0"/>
    <n v="670496.57999999996"/>
  </r>
  <r>
    <s v="ORD01047"/>
    <d v="2026-01-19T00:00:00"/>
    <x v="6"/>
    <x v="4"/>
    <x v="2"/>
    <s v="Delhi"/>
    <x v="2"/>
    <n v="131"/>
    <n v="73"/>
    <n v="17"/>
    <n v="187"/>
    <n v="73"/>
    <n v="627.20000000000005"/>
    <n v="7"/>
    <n v="0"/>
    <x v="0"/>
    <x v="2"/>
    <x v="0"/>
    <n v="117286.40000000001"/>
  </r>
  <r>
    <s v="ORD01048"/>
    <d v="2026-06-26T00:00:00"/>
    <x v="10"/>
    <x v="4"/>
    <x v="2"/>
    <s v="Mumbai"/>
    <x v="0"/>
    <n v="61"/>
    <n v="88"/>
    <n v="27"/>
    <n v="122"/>
    <n v="53"/>
    <n v="627.21"/>
    <n v="7"/>
    <n v="0"/>
    <x v="1"/>
    <x v="2"/>
    <x v="1"/>
    <n v="76519.62000000001"/>
  </r>
  <r>
    <s v="ORD01049"/>
    <d v="2026-02-10T00:00:00"/>
    <x v="11"/>
    <x v="3"/>
    <x v="1"/>
    <s v="Kolkata"/>
    <x v="3"/>
    <n v="50"/>
    <n v="29"/>
    <n v="56"/>
    <n v="23"/>
    <n v="68"/>
    <n v="1996.85"/>
    <n v="6"/>
    <n v="2"/>
    <x v="1"/>
    <x v="0"/>
    <x v="0"/>
    <n v="45927.549999999996"/>
  </r>
  <r>
    <s v="ORD01050"/>
    <d v="2026-04-09T00:00:00"/>
    <x v="4"/>
    <x v="2"/>
    <x v="3"/>
    <s v="Kolkata"/>
    <x v="3"/>
    <n v="45"/>
    <n v="43"/>
    <n v="110"/>
    <n v="0"/>
    <n v="61"/>
    <n v="835.46"/>
    <n v="7"/>
    <n v="7"/>
    <x v="1"/>
    <x v="0"/>
    <x v="3"/>
    <n v="0"/>
  </r>
  <r>
    <s v="ORD01051"/>
    <d v="2026-12-19T00:00:00"/>
    <x v="6"/>
    <x v="4"/>
    <x v="0"/>
    <s v="Mumbai"/>
    <x v="0"/>
    <n v="217"/>
    <n v="122"/>
    <n v="21"/>
    <n v="318"/>
    <n v="68"/>
    <n v="659.53"/>
    <n v="3"/>
    <n v="0"/>
    <x v="1"/>
    <x v="2"/>
    <x v="0"/>
    <n v="209730.53999999998"/>
  </r>
  <r>
    <s v="ORD01052"/>
    <d v="2026-08-01T00:00:00"/>
    <x v="14"/>
    <x v="1"/>
    <x v="1"/>
    <s v="Bangalore"/>
    <x v="1"/>
    <n v="194"/>
    <n v="71"/>
    <n v="38"/>
    <n v="227"/>
    <n v="88"/>
    <n v="1531.17"/>
    <n v="2"/>
    <n v="0"/>
    <x v="1"/>
    <x v="2"/>
    <x v="0"/>
    <n v="347575.59"/>
  </r>
  <r>
    <s v="ORD01053"/>
    <d v="2026-02-02T00:00:00"/>
    <x v="14"/>
    <x v="1"/>
    <x v="0"/>
    <s v="Kolkata"/>
    <x v="3"/>
    <n v="193"/>
    <n v="121"/>
    <n v="96"/>
    <n v="218"/>
    <n v="65"/>
    <n v="1471.09"/>
    <n v="3"/>
    <n v="0"/>
    <x v="0"/>
    <x v="2"/>
    <x v="0"/>
    <n v="320697.62"/>
  </r>
  <r>
    <s v="ORD01054"/>
    <d v="2026-06-25T00:00:00"/>
    <x v="6"/>
    <x v="4"/>
    <x v="1"/>
    <s v="Kolkata"/>
    <x v="3"/>
    <n v="190"/>
    <n v="73"/>
    <n v="96"/>
    <n v="167"/>
    <n v="83"/>
    <n v="627.74"/>
    <n v="5"/>
    <n v="0"/>
    <x v="1"/>
    <x v="1"/>
    <x v="0"/>
    <n v="104832.58"/>
  </r>
  <r>
    <s v="ORD01055"/>
    <d v="2026-01-17T00:00:00"/>
    <x v="4"/>
    <x v="2"/>
    <x v="0"/>
    <s v="Kolkata"/>
    <x v="3"/>
    <n v="78"/>
    <n v="79"/>
    <n v="110"/>
    <n v="47"/>
    <n v="76"/>
    <n v="753.7"/>
    <n v="7"/>
    <n v="7"/>
    <x v="1"/>
    <x v="0"/>
    <x v="0"/>
    <n v="35423.9"/>
  </r>
  <r>
    <s v="ORD01056"/>
    <d v="2026-01-16T00:00:00"/>
    <x v="12"/>
    <x v="4"/>
    <x v="3"/>
    <s v="Delhi"/>
    <x v="2"/>
    <n v="61"/>
    <n v="46"/>
    <n v="110"/>
    <n v="0"/>
    <n v="78"/>
    <n v="486.92"/>
    <n v="4"/>
    <n v="8"/>
    <x v="1"/>
    <x v="0"/>
    <x v="0"/>
    <n v="0"/>
  </r>
  <r>
    <s v="ORD01057"/>
    <d v="2026-05-01T00:00:00"/>
    <x v="1"/>
    <x v="1"/>
    <x v="1"/>
    <s v="Delhi"/>
    <x v="2"/>
    <n v="184"/>
    <n v="75"/>
    <n v="68"/>
    <n v="191"/>
    <n v="93"/>
    <n v="1176.0899999999999"/>
    <n v="4"/>
    <n v="0"/>
    <x v="1"/>
    <x v="1"/>
    <x v="0"/>
    <n v="224633.18999999997"/>
  </r>
  <r>
    <s v="ORD01058"/>
    <d v="2026-07-25T00:00:00"/>
    <x v="11"/>
    <x v="3"/>
    <x v="3"/>
    <s v="Bangalore"/>
    <x v="1"/>
    <n v="64"/>
    <n v="70"/>
    <n v="42"/>
    <n v="92"/>
    <n v="58"/>
    <n v="2416.54"/>
    <n v="6"/>
    <n v="0"/>
    <x v="1"/>
    <x v="1"/>
    <x v="1"/>
    <n v="222321.68"/>
  </r>
  <r>
    <s v="ORD01059"/>
    <d v="2026-11-21T00:00:00"/>
    <x v="10"/>
    <x v="4"/>
    <x v="0"/>
    <s v="Mumbai"/>
    <x v="0"/>
    <n v="147"/>
    <n v="96"/>
    <n v="50"/>
    <n v="193"/>
    <n v="65"/>
    <n v="632.46"/>
    <n v="7"/>
    <n v="0"/>
    <x v="0"/>
    <x v="2"/>
    <x v="1"/>
    <n v="122064.78000000001"/>
  </r>
  <r>
    <s v="ORD01060"/>
    <d v="2026-07-24T00:00:00"/>
    <x v="19"/>
    <x v="2"/>
    <x v="2"/>
    <s v="Kolkata"/>
    <x v="3"/>
    <n v="166"/>
    <n v="116"/>
    <n v="74"/>
    <n v="208"/>
    <n v="63"/>
    <n v="1597.84"/>
    <n v="5"/>
    <n v="0"/>
    <x v="0"/>
    <x v="2"/>
    <x v="1"/>
    <n v="332350.71999999997"/>
  </r>
  <r>
    <s v="ORD01061"/>
    <d v="2026-08-03T00:00:00"/>
    <x v="18"/>
    <x v="2"/>
    <x v="1"/>
    <s v="Delhi"/>
    <x v="2"/>
    <n v="158"/>
    <n v="103"/>
    <n v="37"/>
    <n v="224"/>
    <n v="88"/>
    <n v="3460.66"/>
    <n v="5"/>
    <n v="0"/>
    <x v="1"/>
    <x v="2"/>
    <x v="0"/>
    <n v="775187.84"/>
  </r>
  <r>
    <s v="ORD01062"/>
    <d v="2026-01-12T00:00:00"/>
    <x v="11"/>
    <x v="3"/>
    <x v="4"/>
    <s v="Mumbai"/>
    <x v="0"/>
    <n v="75"/>
    <n v="98"/>
    <n v="94"/>
    <n v="79"/>
    <n v="77"/>
    <n v="2419.52"/>
    <n v="6"/>
    <n v="0"/>
    <x v="1"/>
    <x v="1"/>
    <x v="0"/>
    <n v="191142.08"/>
  </r>
  <r>
    <s v="ORD01063"/>
    <d v="2026-04-09T00:00:00"/>
    <x v="13"/>
    <x v="2"/>
    <x v="2"/>
    <s v="Kolkata"/>
    <x v="3"/>
    <n v="215"/>
    <n v="31"/>
    <n v="62"/>
    <n v="184"/>
    <n v="46"/>
    <n v="1153.45"/>
    <n v="8"/>
    <n v="0"/>
    <x v="1"/>
    <x v="2"/>
    <x v="0"/>
    <n v="212234.80000000002"/>
  </r>
  <r>
    <s v="ORD01064"/>
    <d v="2026-10-23T00:00:00"/>
    <x v="2"/>
    <x v="1"/>
    <x v="0"/>
    <s v="Mumbai"/>
    <x v="0"/>
    <n v="84"/>
    <n v="80"/>
    <n v="106"/>
    <n v="58"/>
    <n v="57"/>
    <n v="2314.91"/>
    <n v="4"/>
    <n v="0"/>
    <x v="0"/>
    <x v="1"/>
    <x v="0"/>
    <n v="134264.78"/>
  </r>
  <r>
    <s v="ORD01065"/>
    <d v="2026-03-23T00:00:00"/>
    <x v="7"/>
    <x v="3"/>
    <x v="2"/>
    <s v="Kolkata"/>
    <x v="3"/>
    <n v="101"/>
    <n v="121"/>
    <n v="37"/>
    <n v="185"/>
    <n v="74"/>
    <n v="1000.04"/>
    <n v="2"/>
    <n v="0"/>
    <x v="1"/>
    <x v="2"/>
    <x v="1"/>
    <n v="185007.4"/>
  </r>
  <r>
    <s v="ORD01066"/>
    <d v="2026-05-14T00:00:00"/>
    <x v="2"/>
    <x v="1"/>
    <x v="4"/>
    <s v="Bangalore"/>
    <x v="1"/>
    <n v="48"/>
    <n v="107"/>
    <n v="101"/>
    <n v="54"/>
    <n v="71"/>
    <n v="2576.19"/>
    <n v="5"/>
    <n v="2"/>
    <x v="1"/>
    <x v="1"/>
    <x v="2"/>
    <n v="139114.26"/>
  </r>
  <r>
    <s v="ORD01067"/>
    <d v="2026-01-21T00:00:00"/>
    <x v="12"/>
    <x v="4"/>
    <x v="1"/>
    <s v="Bangalore"/>
    <x v="1"/>
    <n v="152"/>
    <n v="81"/>
    <n v="107"/>
    <n v="126"/>
    <n v="48"/>
    <n v="479.3"/>
    <n v="5"/>
    <n v="0"/>
    <x v="1"/>
    <x v="2"/>
    <x v="2"/>
    <n v="60391.8"/>
  </r>
  <r>
    <s v="ORD01068"/>
    <d v="2026-02-27T00:00:00"/>
    <x v="19"/>
    <x v="2"/>
    <x v="1"/>
    <s v="Kolkata"/>
    <x v="3"/>
    <n v="149"/>
    <n v="120"/>
    <n v="30"/>
    <n v="239"/>
    <n v="51"/>
    <n v="1393.8"/>
    <n v="4"/>
    <n v="0"/>
    <x v="1"/>
    <x v="2"/>
    <x v="0"/>
    <n v="333118.2"/>
  </r>
  <r>
    <s v="ORD01069"/>
    <d v="2026-12-30T00:00:00"/>
    <x v="14"/>
    <x v="1"/>
    <x v="3"/>
    <s v="Delhi"/>
    <x v="2"/>
    <n v="76"/>
    <n v="51"/>
    <n v="76"/>
    <n v="51"/>
    <n v="58"/>
    <n v="1524.64"/>
    <n v="4"/>
    <n v="2"/>
    <x v="1"/>
    <x v="1"/>
    <x v="0"/>
    <n v="77756.639999999999"/>
  </r>
  <r>
    <s v="ORD01070"/>
    <d v="2026-01-19T00:00:00"/>
    <x v="11"/>
    <x v="3"/>
    <x v="0"/>
    <s v="Delhi"/>
    <x v="2"/>
    <n v="115"/>
    <n v="108"/>
    <n v="71"/>
    <n v="152"/>
    <n v="66"/>
    <n v="2326.44"/>
    <n v="7"/>
    <n v="0"/>
    <x v="1"/>
    <x v="2"/>
    <x v="0"/>
    <n v="353618.88"/>
  </r>
  <r>
    <s v="ORD01071"/>
    <d v="2026-06-06T00:00:00"/>
    <x v="1"/>
    <x v="1"/>
    <x v="1"/>
    <s v="Delhi"/>
    <x v="2"/>
    <n v="46"/>
    <n v="48"/>
    <n v="62"/>
    <n v="32"/>
    <n v="81"/>
    <n v="1264.31"/>
    <n v="4"/>
    <n v="3"/>
    <x v="1"/>
    <x v="0"/>
    <x v="0"/>
    <n v="40457.919999999998"/>
  </r>
  <r>
    <s v="ORD01072"/>
    <d v="2026-04-19T00:00:00"/>
    <x v="7"/>
    <x v="3"/>
    <x v="0"/>
    <s v="Mumbai"/>
    <x v="0"/>
    <n v="217"/>
    <n v="36"/>
    <n v="33"/>
    <n v="220"/>
    <n v="83"/>
    <n v="958.47"/>
    <n v="5"/>
    <n v="0"/>
    <x v="1"/>
    <x v="2"/>
    <x v="0"/>
    <n v="210863.4"/>
  </r>
  <r>
    <s v="ORD01073"/>
    <d v="2026-11-26T00:00:00"/>
    <x v="6"/>
    <x v="4"/>
    <x v="2"/>
    <s v="Bangalore"/>
    <x v="1"/>
    <n v="106"/>
    <n v="66"/>
    <n v="107"/>
    <n v="65"/>
    <n v="77"/>
    <n v="681.91"/>
    <n v="6"/>
    <n v="3"/>
    <x v="1"/>
    <x v="1"/>
    <x v="3"/>
    <n v="44324.15"/>
  </r>
  <r>
    <s v="ORD01074"/>
    <d v="2026-07-14T00:00:00"/>
    <x v="14"/>
    <x v="1"/>
    <x v="1"/>
    <s v="Delhi"/>
    <x v="2"/>
    <n v="136"/>
    <n v="130"/>
    <n v="77"/>
    <n v="189"/>
    <n v="86"/>
    <n v="1494.12"/>
    <n v="6"/>
    <n v="0"/>
    <x v="1"/>
    <x v="1"/>
    <x v="0"/>
    <n v="282388.68"/>
  </r>
  <r>
    <s v="ORD01075"/>
    <d v="2026-04-11T00:00:00"/>
    <x v="0"/>
    <x v="0"/>
    <x v="0"/>
    <s v="Mumbai"/>
    <x v="0"/>
    <n v="119"/>
    <n v="46"/>
    <n v="43"/>
    <n v="122"/>
    <n v="54"/>
    <n v="1720.19"/>
    <n v="8"/>
    <n v="0"/>
    <x v="1"/>
    <x v="2"/>
    <x v="0"/>
    <n v="209863.18"/>
  </r>
  <r>
    <s v="ORD01076"/>
    <d v="2026-06-18T00:00:00"/>
    <x v="19"/>
    <x v="2"/>
    <x v="3"/>
    <s v="Bangalore"/>
    <x v="1"/>
    <n v="174"/>
    <n v="49"/>
    <n v="109"/>
    <n v="114"/>
    <n v="57"/>
    <n v="1459.07"/>
    <n v="2"/>
    <n v="0"/>
    <x v="1"/>
    <x v="1"/>
    <x v="0"/>
    <n v="166333.97999999998"/>
  </r>
  <r>
    <s v="ORD01077"/>
    <d v="2026-11-30T00:00:00"/>
    <x v="12"/>
    <x v="4"/>
    <x v="0"/>
    <s v="Bangalore"/>
    <x v="1"/>
    <n v="54"/>
    <n v="77"/>
    <n v="87"/>
    <n v="44"/>
    <n v="78"/>
    <n v="474.8"/>
    <n v="4"/>
    <n v="3"/>
    <x v="1"/>
    <x v="0"/>
    <x v="2"/>
    <n v="20891.2"/>
  </r>
  <r>
    <s v="ORD01078"/>
    <d v="2026-02-02T00:00:00"/>
    <x v="1"/>
    <x v="1"/>
    <x v="3"/>
    <s v="Mumbai"/>
    <x v="0"/>
    <n v="50"/>
    <n v="97"/>
    <n v="49"/>
    <n v="98"/>
    <n v="80"/>
    <n v="1242.1400000000001"/>
    <n v="7"/>
    <n v="0"/>
    <x v="1"/>
    <x v="1"/>
    <x v="1"/>
    <n v="121729.72000000002"/>
  </r>
  <r>
    <s v="ORD01079"/>
    <d v="2026-11-21T00:00:00"/>
    <x v="14"/>
    <x v="1"/>
    <x v="4"/>
    <s v="Mumbai"/>
    <x v="0"/>
    <n v="98"/>
    <n v="51"/>
    <n v="89"/>
    <n v="60"/>
    <n v="93"/>
    <n v="1626.01"/>
    <n v="5"/>
    <n v="1"/>
    <x v="0"/>
    <x v="0"/>
    <x v="0"/>
    <n v="97560.6"/>
  </r>
  <r>
    <s v="ORD01080"/>
    <d v="2026-10-19T00:00:00"/>
    <x v="17"/>
    <x v="0"/>
    <x v="3"/>
    <s v="Bangalore"/>
    <x v="1"/>
    <n v="153"/>
    <n v="30"/>
    <n v="75"/>
    <n v="108"/>
    <n v="57"/>
    <n v="1287.97"/>
    <n v="6"/>
    <n v="0"/>
    <x v="1"/>
    <x v="1"/>
    <x v="0"/>
    <n v="139100.76"/>
  </r>
  <r>
    <s v="ORD01081"/>
    <d v="2026-07-28T00:00:00"/>
    <x v="3"/>
    <x v="0"/>
    <x v="4"/>
    <s v="Kolkata"/>
    <x v="3"/>
    <n v="204"/>
    <n v="44"/>
    <n v="90"/>
    <n v="158"/>
    <n v="96"/>
    <n v="924.29"/>
    <n v="8"/>
    <n v="0"/>
    <x v="1"/>
    <x v="1"/>
    <x v="0"/>
    <n v="146037.82"/>
  </r>
  <r>
    <s v="ORD01082"/>
    <d v="2026-05-08T00:00:00"/>
    <x v="6"/>
    <x v="4"/>
    <x v="3"/>
    <s v="Mumbai"/>
    <x v="0"/>
    <n v="124"/>
    <n v="84"/>
    <n v="76"/>
    <n v="132"/>
    <n v="77"/>
    <n v="621.89"/>
    <n v="7"/>
    <n v="0"/>
    <x v="1"/>
    <x v="1"/>
    <x v="1"/>
    <n v="82089.48"/>
  </r>
  <r>
    <s v="ORD01083"/>
    <d v="2026-09-18T00:00:00"/>
    <x v="4"/>
    <x v="2"/>
    <x v="1"/>
    <s v="Delhi"/>
    <x v="2"/>
    <n v="200"/>
    <n v="76"/>
    <n v="29"/>
    <n v="247"/>
    <n v="93"/>
    <n v="871.31"/>
    <n v="5"/>
    <n v="0"/>
    <x v="0"/>
    <x v="2"/>
    <x v="1"/>
    <n v="215213.56999999998"/>
  </r>
  <r>
    <s v="ORD01084"/>
    <d v="2026-10-03T00:00:00"/>
    <x v="7"/>
    <x v="3"/>
    <x v="2"/>
    <s v="Mumbai"/>
    <x v="0"/>
    <n v="56"/>
    <n v="117"/>
    <n v="70"/>
    <n v="103"/>
    <n v="88"/>
    <n v="960.93"/>
    <n v="8"/>
    <n v="0"/>
    <x v="1"/>
    <x v="1"/>
    <x v="0"/>
    <n v="98975.79"/>
  </r>
  <r>
    <s v="ORD01085"/>
    <d v="2026-11-09T00:00:00"/>
    <x v="1"/>
    <x v="1"/>
    <x v="4"/>
    <s v="Mumbai"/>
    <x v="0"/>
    <n v="94"/>
    <n v="59"/>
    <n v="79"/>
    <n v="74"/>
    <n v="64"/>
    <n v="1253.2"/>
    <n v="6"/>
    <n v="0"/>
    <x v="1"/>
    <x v="1"/>
    <x v="2"/>
    <n v="92736.8"/>
  </r>
  <r>
    <s v="ORD01086"/>
    <d v="2026-08-31T00:00:00"/>
    <x v="1"/>
    <x v="1"/>
    <x v="0"/>
    <s v="Mumbai"/>
    <x v="0"/>
    <n v="89"/>
    <n v="118"/>
    <n v="65"/>
    <n v="142"/>
    <n v="95"/>
    <n v="1214.6600000000001"/>
    <n v="7"/>
    <n v="0"/>
    <x v="1"/>
    <x v="1"/>
    <x v="0"/>
    <n v="172481.72"/>
  </r>
  <r>
    <s v="ORD01087"/>
    <d v="2026-06-11T00:00:00"/>
    <x v="10"/>
    <x v="4"/>
    <x v="0"/>
    <s v="Mumbai"/>
    <x v="0"/>
    <n v="107"/>
    <n v="80"/>
    <n v="53"/>
    <n v="134"/>
    <n v="68"/>
    <n v="557.4"/>
    <n v="4"/>
    <n v="0"/>
    <x v="1"/>
    <x v="1"/>
    <x v="1"/>
    <n v="74691.599999999991"/>
  </r>
  <r>
    <s v="ORD01088"/>
    <d v="2026-08-22T00:00:00"/>
    <x v="5"/>
    <x v="3"/>
    <x v="3"/>
    <s v="Kolkata"/>
    <x v="3"/>
    <n v="146"/>
    <n v="20"/>
    <n v="66"/>
    <n v="100"/>
    <n v="48"/>
    <n v="1421.86"/>
    <n v="4"/>
    <n v="0"/>
    <x v="1"/>
    <x v="1"/>
    <x v="0"/>
    <n v="142186"/>
  </r>
  <r>
    <s v="ORD01089"/>
    <d v="2026-06-16T00:00:00"/>
    <x v="18"/>
    <x v="2"/>
    <x v="2"/>
    <s v="Mumbai"/>
    <x v="0"/>
    <n v="209"/>
    <n v="111"/>
    <n v="47"/>
    <n v="273"/>
    <n v="63"/>
    <n v="3412.83"/>
    <n v="2"/>
    <n v="0"/>
    <x v="1"/>
    <x v="2"/>
    <x v="2"/>
    <n v="931702.59"/>
  </r>
  <r>
    <s v="ORD01090"/>
    <d v="2026-08-29T00:00:00"/>
    <x v="15"/>
    <x v="4"/>
    <x v="2"/>
    <s v="Kolkata"/>
    <x v="3"/>
    <n v="110"/>
    <n v="33"/>
    <n v="24"/>
    <n v="119"/>
    <n v="60"/>
    <n v="419.44"/>
    <n v="7"/>
    <n v="0"/>
    <x v="1"/>
    <x v="1"/>
    <x v="2"/>
    <n v="49913.36"/>
  </r>
  <r>
    <s v="ORD01091"/>
    <d v="2026-07-09T00:00:00"/>
    <x v="3"/>
    <x v="0"/>
    <x v="3"/>
    <s v="Mumbai"/>
    <x v="0"/>
    <n v="111"/>
    <n v="97"/>
    <n v="90"/>
    <n v="118"/>
    <n v="69"/>
    <n v="820.68"/>
    <n v="2"/>
    <n v="0"/>
    <x v="1"/>
    <x v="1"/>
    <x v="0"/>
    <n v="96840.239999999991"/>
  </r>
  <r>
    <s v="ORD01092"/>
    <d v="2026-03-19T00:00:00"/>
    <x v="5"/>
    <x v="3"/>
    <x v="4"/>
    <s v="Kolkata"/>
    <x v="3"/>
    <n v="74"/>
    <n v="115"/>
    <n v="24"/>
    <n v="165"/>
    <n v="65"/>
    <n v="1424.07"/>
    <n v="7"/>
    <n v="0"/>
    <x v="1"/>
    <x v="2"/>
    <x v="0"/>
    <n v="234971.55"/>
  </r>
  <r>
    <s v="ORD01093"/>
    <d v="2026-09-29T00:00:00"/>
    <x v="6"/>
    <x v="4"/>
    <x v="1"/>
    <s v="Mumbai"/>
    <x v="0"/>
    <n v="183"/>
    <n v="31"/>
    <n v="71"/>
    <n v="143"/>
    <n v="60"/>
    <n v="627.62"/>
    <n v="6"/>
    <n v="0"/>
    <x v="1"/>
    <x v="2"/>
    <x v="0"/>
    <n v="89749.66"/>
  </r>
  <r>
    <s v="ORD01094"/>
    <d v="2026-04-20T00:00:00"/>
    <x v="18"/>
    <x v="2"/>
    <x v="2"/>
    <s v="Bangalore"/>
    <x v="1"/>
    <n v="219"/>
    <n v="111"/>
    <n v="109"/>
    <n v="221"/>
    <n v="65"/>
    <n v="3492.61"/>
    <n v="4"/>
    <n v="0"/>
    <x v="1"/>
    <x v="2"/>
    <x v="0"/>
    <n v="771866.81"/>
  </r>
  <r>
    <s v="ORD01095"/>
    <d v="2026-01-12T00:00:00"/>
    <x v="14"/>
    <x v="1"/>
    <x v="3"/>
    <s v="Mumbai"/>
    <x v="0"/>
    <n v="157"/>
    <n v="66"/>
    <n v="57"/>
    <n v="166"/>
    <n v="57"/>
    <n v="1656.85"/>
    <n v="7"/>
    <n v="0"/>
    <x v="1"/>
    <x v="2"/>
    <x v="0"/>
    <n v="275037.09999999998"/>
  </r>
  <r>
    <s v="ORD01096"/>
    <d v="2026-07-11T00:00:00"/>
    <x v="9"/>
    <x v="1"/>
    <x v="3"/>
    <s v="Kolkata"/>
    <x v="3"/>
    <n v="141"/>
    <n v="123"/>
    <n v="77"/>
    <n v="187"/>
    <n v="96"/>
    <n v="636.72"/>
    <n v="6"/>
    <n v="0"/>
    <x v="0"/>
    <x v="1"/>
    <x v="3"/>
    <n v="119066.64"/>
  </r>
  <r>
    <s v="ORD01097"/>
    <d v="2026-10-13T00:00:00"/>
    <x v="3"/>
    <x v="0"/>
    <x v="4"/>
    <s v="Delhi"/>
    <x v="2"/>
    <n v="177"/>
    <n v="82"/>
    <n v="51"/>
    <n v="208"/>
    <n v="81"/>
    <n v="870.08"/>
    <n v="2"/>
    <n v="0"/>
    <x v="1"/>
    <x v="2"/>
    <x v="0"/>
    <n v="180976.64000000001"/>
  </r>
  <r>
    <s v="ORD01098"/>
    <d v="2026-05-22T00:00:00"/>
    <x v="17"/>
    <x v="0"/>
    <x v="1"/>
    <s v="Bangalore"/>
    <x v="1"/>
    <n v="186"/>
    <n v="79"/>
    <n v="93"/>
    <n v="172"/>
    <n v="86"/>
    <n v="1538.03"/>
    <n v="8"/>
    <n v="0"/>
    <x v="0"/>
    <x v="1"/>
    <x v="2"/>
    <n v="264541.15999999997"/>
  </r>
  <r>
    <s v="ORD01099"/>
    <d v="2026-07-25T00:00:00"/>
    <x v="7"/>
    <x v="3"/>
    <x v="2"/>
    <s v="Delhi"/>
    <x v="2"/>
    <n v="58"/>
    <n v="43"/>
    <n v="97"/>
    <n v="4"/>
    <n v="81"/>
    <n v="967.96"/>
    <n v="6"/>
    <n v="7"/>
    <x v="1"/>
    <x v="0"/>
    <x v="1"/>
    <n v="3871.84"/>
  </r>
  <r>
    <s v="ORD01100"/>
    <d v="2026-12-01T00:00:00"/>
    <x v="6"/>
    <x v="4"/>
    <x v="4"/>
    <s v="Kolkata"/>
    <x v="3"/>
    <n v="44"/>
    <n v="21"/>
    <n v="43"/>
    <n v="22"/>
    <n v="65"/>
    <n v="640.53"/>
    <n v="4"/>
    <n v="6"/>
    <x v="1"/>
    <x v="0"/>
    <x v="0"/>
    <n v="14091.66"/>
  </r>
  <r>
    <s v="ORD01101"/>
    <d v="2026-01-21T00:00:00"/>
    <x v="14"/>
    <x v="1"/>
    <x v="1"/>
    <s v="Mumbai"/>
    <x v="0"/>
    <n v="88"/>
    <n v="118"/>
    <n v="33"/>
    <n v="173"/>
    <n v="58"/>
    <n v="1538.71"/>
    <n v="2"/>
    <n v="0"/>
    <x v="0"/>
    <x v="2"/>
    <x v="0"/>
    <n v="266196.83"/>
  </r>
  <r>
    <s v="ORD01102"/>
    <d v="2026-04-22T00:00:00"/>
    <x v="14"/>
    <x v="1"/>
    <x v="4"/>
    <s v="Delhi"/>
    <x v="2"/>
    <n v="120"/>
    <n v="49"/>
    <n v="99"/>
    <n v="70"/>
    <n v="58"/>
    <n v="1504.54"/>
    <n v="3"/>
    <n v="0"/>
    <x v="1"/>
    <x v="1"/>
    <x v="0"/>
    <n v="105317.8"/>
  </r>
  <r>
    <s v="ORD01103"/>
    <d v="2026-01-26T00:00:00"/>
    <x v="18"/>
    <x v="2"/>
    <x v="2"/>
    <s v="Kolkata"/>
    <x v="3"/>
    <n v="71"/>
    <n v="126"/>
    <n v="63"/>
    <n v="134"/>
    <n v="46"/>
    <n v="3164.13"/>
    <n v="7"/>
    <n v="0"/>
    <x v="1"/>
    <x v="2"/>
    <x v="0"/>
    <n v="423993.42000000004"/>
  </r>
  <r>
    <s v="ORD01104"/>
    <d v="2026-10-24T00:00:00"/>
    <x v="7"/>
    <x v="3"/>
    <x v="3"/>
    <s v="Mumbai"/>
    <x v="0"/>
    <n v="92"/>
    <n v="118"/>
    <n v="63"/>
    <n v="147"/>
    <n v="82"/>
    <n v="1062.9000000000001"/>
    <n v="2"/>
    <n v="0"/>
    <x v="1"/>
    <x v="1"/>
    <x v="0"/>
    <n v="156246.30000000002"/>
  </r>
  <r>
    <s v="ORD01105"/>
    <d v="2026-09-17T00:00:00"/>
    <x v="12"/>
    <x v="4"/>
    <x v="2"/>
    <s v="Mumbai"/>
    <x v="0"/>
    <n v="70"/>
    <n v="82"/>
    <n v="109"/>
    <n v="43"/>
    <n v="83"/>
    <n v="485.84"/>
    <n v="4"/>
    <n v="4"/>
    <x v="1"/>
    <x v="0"/>
    <x v="3"/>
    <n v="20891.12"/>
  </r>
  <r>
    <s v="ORD01106"/>
    <d v="2026-07-04T00:00:00"/>
    <x v="19"/>
    <x v="2"/>
    <x v="0"/>
    <s v="Bangalore"/>
    <x v="1"/>
    <n v="156"/>
    <n v="22"/>
    <n v="15"/>
    <n v="163"/>
    <n v="69"/>
    <n v="1591.02"/>
    <n v="5"/>
    <n v="0"/>
    <x v="1"/>
    <x v="2"/>
    <x v="0"/>
    <n v="259336.26"/>
  </r>
  <r>
    <s v="ORD01107"/>
    <d v="2026-06-15T00:00:00"/>
    <x v="18"/>
    <x v="2"/>
    <x v="3"/>
    <s v="Delhi"/>
    <x v="2"/>
    <n v="98"/>
    <n v="109"/>
    <n v="25"/>
    <n v="182"/>
    <n v="86"/>
    <n v="3291.89"/>
    <n v="8"/>
    <n v="0"/>
    <x v="0"/>
    <x v="1"/>
    <x v="2"/>
    <n v="599123.98"/>
  </r>
  <r>
    <s v="ORD01108"/>
    <d v="2026-11-02T00:00:00"/>
    <x v="17"/>
    <x v="0"/>
    <x v="2"/>
    <s v="Mumbai"/>
    <x v="0"/>
    <n v="184"/>
    <n v="21"/>
    <n v="31"/>
    <n v="174"/>
    <n v="78"/>
    <n v="1303.6099999999999"/>
    <n v="7"/>
    <n v="0"/>
    <x v="1"/>
    <x v="2"/>
    <x v="0"/>
    <n v="226828.13999999998"/>
  </r>
  <r>
    <s v="ORD01109"/>
    <d v="2026-04-03T00:00:00"/>
    <x v="14"/>
    <x v="1"/>
    <x v="0"/>
    <s v="Kolkata"/>
    <x v="3"/>
    <n v="80"/>
    <n v="73"/>
    <n v="37"/>
    <n v="116"/>
    <n v="56"/>
    <n v="1739.61"/>
    <n v="3"/>
    <n v="0"/>
    <x v="1"/>
    <x v="1"/>
    <x v="1"/>
    <n v="201794.75999999998"/>
  </r>
  <r>
    <s v="ORD01110"/>
    <d v="2026-01-14T00:00:00"/>
    <x v="18"/>
    <x v="2"/>
    <x v="2"/>
    <s v="Bangalore"/>
    <x v="1"/>
    <n v="167"/>
    <n v="46"/>
    <n v="54"/>
    <n v="159"/>
    <n v="70"/>
    <n v="3280.2"/>
    <n v="8"/>
    <n v="0"/>
    <x v="1"/>
    <x v="2"/>
    <x v="0"/>
    <n v="521551.8"/>
  </r>
  <r>
    <s v="ORD01111"/>
    <d v="2026-04-25T00:00:00"/>
    <x v="18"/>
    <x v="2"/>
    <x v="3"/>
    <s v="Bangalore"/>
    <x v="1"/>
    <n v="76"/>
    <n v="72"/>
    <n v="20"/>
    <n v="128"/>
    <n v="79"/>
    <n v="3121.3"/>
    <n v="10"/>
    <n v="1"/>
    <x v="0"/>
    <x v="1"/>
    <x v="0"/>
    <n v="399526.40000000002"/>
  </r>
  <r>
    <s v="ORD01112"/>
    <d v="2026-11-23T00:00:00"/>
    <x v="3"/>
    <x v="0"/>
    <x v="4"/>
    <s v="Bangalore"/>
    <x v="1"/>
    <n v="161"/>
    <n v="79"/>
    <n v="68"/>
    <n v="172"/>
    <n v="99"/>
    <n v="971.67"/>
    <n v="5"/>
    <n v="0"/>
    <x v="0"/>
    <x v="1"/>
    <x v="0"/>
    <n v="167127.24"/>
  </r>
  <r>
    <s v="ORD01113"/>
    <d v="2026-10-20T00:00:00"/>
    <x v="16"/>
    <x v="0"/>
    <x v="3"/>
    <s v="Kolkata"/>
    <x v="3"/>
    <n v="105"/>
    <n v="36"/>
    <n v="56"/>
    <n v="85"/>
    <n v="87"/>
    <n v="1209.5999999999999"/>
    <n v="6"/>
    <n v="2"/>
    <x v="1"/>
    <x v="1"/>
    <x v="0"/>
    <n v="102815.99999999999"/>
  </r>
  <r>
    <s v="ORD01114"/>
    <d v="2026-05-09T00:00:00"/>
    <x v="1"/>
    <x v="1"/>
    <x v="2"/>
    <s v="Mumbai"/>
    <x v="0"/>
    <n v="76"/>
    <n v="48"/>
    <n v="99"/>
    <n v="25"/>
    <n v="50"/>
    <n v="1363.23"/>
    <n v="7"/>
    <n v="2"/>
    <x v="1"/>
    <x v="0"/>
    <x v="0"/>
    <n v="34080.75"/>
  </r>
  <r>
    <s v="ORD01115"/>
    <d v="2026-08-05T00:00:00"/>
    <x v="14"/>
    <x v="1"/>
    <x v="0"/>
    <s v="Kolkata"/>
    <x v="3"/>
    <n v="211"/>
    <n v="95"/>
    <n v="81"/>
    <n v="225"/>
    <n v="78"/>
    <n v="1624.69"/>
    <n v="4"/>
    <n v="0"/>
    <x v="1"/>
    <x v="2"/>
    <x v="0"/>
    <n v="365555.25"/>
  </r>
  <r>
    <s v="ORD01116"/>
    <d v="2026-05-02T00:00:00"/>
    <x v="13"/>
    <x v="2"/>
    <x v="1"/>
    <s v="Bangalore"/>
    <x v="1"/>
    <n v="138"/>
    <n v="100"/>
    <n v="21"/>
    <n v="217"/>
    <n v="95"/>
    <n v="1033.54"/>
    <n v="3"/>
    <n v="0"/>
    <x v="0"/>
    <x v="2"/>
    <x v="0"/>
    <n v="224278.18"/>
  </r>
  <r>
    <s v="ORD01117"/>
    <d v="2026-07-27T00:00:00"/>
    <x v="2"/>
    <x v="1"/>
    <x v="0"/>
    <s v="Bangalore"/>
    <x v="1"/>
    <n v="186"/>
    <n v="81"/>
    <n v="76"/>
    <n v="191"/>
    <n v="99"/>
    <n v="2325.0700000000002"/>
    <n v="7"/>
    <n v="0"/>
    <x v="1"/>
    <x v="1"/>
    <x v="3"/>
    <n v="444088.37000000005"/>
  </r>
  <r>
    <s v="ORD01118"/>
    <d v="2026-04-06T00:00:00"/>
    <x v="11"/>
    <x v="3"/>
    <x v="3"/>
    <s v="Delhi"/>
    <x v="2"/>
    <n v="179"/>
    <n v="76"/>
    <n v="30"/>
    <n v="225"/>
    <n v="92"/>
    <n v="2102.89"/>
    <n v="8"/>
    <n v="0"/>
    <x v="1"/>
    <x v="2"/>
    <x v="0"/>
    <n v="473150.25"/>
  </r>
  <r>
    <s v="ORD01119"/>
    <d v="2026-08-07T00:00:00"/>
    <x v="4"/>
    <x v="2"/>
    <x v="3"/>
    <s v="Kolkata"/>
    <x v="3"/>
    <n v="209"/>
    <n v="32"/>
    <n v="100"/>
    <n v="141"/>
    <n v="99"/>
    <n v="774.78"/>
    <n v="6"/>
    <n v="0"/>
    <x v="1"/>
    <x v="1"/>
    <x v="2"/>
    <n v="109243.98"/>
  </r>
  <r>
    <s v="ORD01120"/>
    <d v="2026-08-20T00:00:00"/>
    <x v="17"/>
    <x v="0"/>
    <x v="4"/>
    <s v="Mumbai"/>
    <x v="0"/>
    <n v="157"/>
    <n v="126"/>
    <n v="29"/>
    <n v="254"/>
    <n v="52"/>
    <n v="1414.13"/>
    <n v="4"/>
    <n v="0"/>
    <x v="0"/>
    <x v="2"/>
    <x v="0"/>
    <n v="359189.02"/>
  </r>
  <r>
    <s v="ORD01121"/>
    <d v="2026-07-01T00:00:00"/>
    <x v="8"/>
    <x v="3"/>
    <x v="1"/>
    <s v="Mumbai"/>
    <x v="0"/>
    <n v="141"/>
    <n v="124"/>
    <n v="80"/>
    <n v="185"/>
    <n v="57"/>
    <n v="2599.36"/>
    <n v="7"/>
    <n v="0"/>
    <x v="1"/>
    <x v="2"/>
    <x v="0"/>
    <n v="480881.60000000003"/>
  </r>
  <r>
    <s v="ORD01122"/>
    <d v="2026-12-15T00:00:00"/>
    <x v="15"/>
    <x v="4"/>
    <x v="1"/>
    <s v="Bangalore"/>
    <x v="1"/>
    <n v="176"/>
    <n v="66"/>
    <n v="84"/>
    <n v="158"/>
    <n v="59"/>
    <n v="467.43"/>
    <n v="6"/>
    <n v="0"/>
    <x v="0"/>
    <x v="2"/>
    <x v="0"/>
    <n v="73853.94"/>
  </r>
  <r>
    <s v="ORD01123"/>
    <d v="2026-08-28T00:00:00"/>
    <x v="1"/>
    <x v="1"/>
    <x v="2"/>
    <s v="Kolkata"/>
    <x v="3"/>
    <n v="91"/>
    <n v="55"/>
    <n v="21"/>
    <n v="125"/>
    <n v="70"/>
    <n v="1247.0899999999999"/>
    <n v="6"/>
    <n v="0"/>
    <x v="1"/>
    <x v="1"/>
    <x v="1"/>
    <n v="155886.25"/>
  </r>
  <r>
    <s v="ORD01124"/>
    <d v="2026-07-30T00:00:00"/>
    <x v="13"/>
    <x v="2"/>
    <x v="0"/>
    <s v="Bangalore"/>
    <x v="1"/>
    <n v="59"/>
    <n v="52"/>
    <n v="105"/>
    <n v="6"/>
    <n v="80"/>
    <n v="1136.99"/>
    <n v="3"/>
    <n v="2"/>
    <x v="1"/>
    <x v="0"/>
    <x v="0"/>
    <n v="6821.9400000000005"/>
  </r>
  <r>
    <s v="ORD01125"/>
    <d v="2026-02-06T00:00:00"/>
    <x v="1"/>
    <x v="1"/>
    <x v="3"/>
    <s v="Mumbai"/>
    <x v="0"/>
    <n v="102"/>
    <n v="70"/>
    <n v="35"/>
    <n v="137"/>
    <n v="86"/>
    <n v="1278.94"/>
    <n v="6"/>
    <n v="0"/>
    <x v="1"/>
    <x v="1"/>
    <x v="1"/>
    <n v="175214.78"/>
  </r>
  <r>
    <s v="ORD01126"/>
    <d v="2026-06-17T00:00:00"/>
    <x v="14"/>
    <x v="1"/>
    <x v="2"/>
    <s v="Kolkata"/>
    <x v="3"/>
    <n v="71"/>
    <n v="112"/>
    <n v="109"/>
    <n v="74"/>
    <n v="82"/>
    <n v="1742.19"/>
    <n v="3"/>
    <n v="3"/>
    <x v="1"/>
    <x v="1"/>
    <x v="0"/>
    <n v="128922.06"/>
  </r>
  <r>
    <s v="ORD01127"/>
    <d v="2026-10-05T00:00:00"/>
    <x v="0"/>
    <x v="0"/>
    <x v="1"/>
    <s v="Delhi"/>
    <x v="2"/>
    <n v="174"/>
    <n v="33"/>
    <n v="95"/>
    <n v="112"/>
    <n v="83"/>
    <n v="1789.6"/>
    <n v="7"/>
    <n v="0"/>
    <x v="1"/>
    <x v="1"/>
    <x v="1"/>
    <n v="200435.19999999998"/>
  </r>
  <r>
    <s v="ORD01128"/>
    <d v="2026-10-27T00:00:00"/>
    <x v="10"/>
    <x v="4"/>
    <x v="2"/>
    <s v="Bangalore"/>
    <x v="1"/>
    <n v="127"/>
    <n v="54"/>
    <n v="20"/>
    <n v="161"/>
    <n v="69"/>
    <n v="640.55999999999995"/>
    <n v="4"/>
    <n v="0"/>
    <x v="0"/>
    <x v="2"/>
    <x v="0"/>
    <n v="103130.15999999999"/>
  </r>
  <r>
    <s v="ORD01129"/>
    <d v="2026-12-07T00:00:00"/>
    <x v="2"/>
    <x v="1"/>
    <x v="0"/>
    <s v="Mumbai"/>
    <x v="0"/>
    <n v="173"/>
    <n v="33"/>
    <n v="26"/>
    <n v="180"/>
    <n v="91"/>
    <n v="2449.59"/>
    <n v="6"/>
    <n v="0"/>
    <x v="1"/>
    <x v="1"/>
    <x v="0"/>
    <n v="440926.2"/>
  </r>
  <r>
    <s v="ORD01130"/>
    <d v="2026-06-18T00:00:00"/>
    <x v="7"/>
    <x v="3"/>
    <x v="3"/>
    <s v="Bangalore"/>
    <x v="1"/>
    <n v="203"/>
    <n v="33"/>
    <n v="50"/>
    <n v="186"/>
    <n v="98"/>
    <n v="1044.81"/>
    <n v="4"/>
    <n v="0"/>
    <x v="1"/>
    <x v="1"/>
    <x v="0"/>
    <n v="194334.66"/>
  </r>
  <r>
    <s v="ORD01131"/>
    <d v="2026-02-23T00:00:00"/>
    <x v="5"/>
    <x v="3"/>
    <x v="0"/>
    <s v="Bangalore"/>
    <x v="1"/>
    <n v="43"/>
    <n v="32"/>
    <n v="106"/>
    <n v="0"/>
    <n v="96"/>
    <n v="1296.24"/>
    <n v="6"/>
    <n v="7"/>
    <x v="1"/>
    <x v="0"/>
    <x v="0"/>
    <n v="0"/>
  </r>
  <r>
    <s v="ORD01132"/>
    <d v="2026-03-02T00:00:00"/>
    <x v="7"/>
    <x v="3"/>
    <x v="1"/>
    <s v="Kolkata"/>
    <x v="3"/>
    <n v="50"/>
    <n v="97"/>
    <n v="28"/>
    <n v="119"/>
    <n v="82"/>
    <n v="1067.6400000000001"/>
    <n v="7"/>
    <n v="0"/>
    <x v="1"/>
    <x v="1"/>
    <x v="0"/>
    <n v="127049.16000000002"/>
  </r>
  <r>
    <s v="ORD01133"/>
    <d v="2026-09-25T00:00:00"/>
    <x v="14"/>
    <x v="1"/>
    <x v="1"/>
    <s v="Kolkata"/>
    <x v="3"/>
    <n v="140"/>
    <n v="111"/>
    <n v="110"/>
    <n v="141"/>
    <n v="47"/>
    <n v="1551.14"/>
    <n v="8"/>
    <n v="0"/>
    <x v="1"/>
    <x v="2"/>
    <x v="0"/>
    <n v="218710.74000000002"/>
  </r>
  <r>
    <s v="ORD01134"/>
    <d v="2026-01-15T00:00:00"/>
    <x v="3"/>
    <x v="0"/>
    <x v="3"/>
    <s v="Bangalore"/>
    <x v="1"/>
    <n v="95"/>
    <n v="92"/>
    <n v="38"/>
    <n v="149"/>
    <n v="46"/>
    <n v="923.49"/>
    <n v="4"/>
    <n v="0"/>
    <x v="0"/>
    <x v="2"/>
    <x v="3"/>
    <n v="137600.01"/>
  </r>
  <r>
    <s v="ORD01135"/>
    <d v="2026-05-15T00:00:00"/>
    <x v="5"/>
    <x v="3"/>
    <x v="0"/>
    <s v="Delhi"/>
    <x v="2"/>
    <n v="130"/>
    <n v="51"/>
    <n v="50"/>
    <n v="131"/>
    <n v="73"/>
    <n v="1373.76"/>
    <n v="4"/>
    <n v="0"/>
    <x v="1"/>
    <x v="1"/>
    <x v="3"/>
    <n v="179962.56"/>
  </r>
  <r>
    <s v="ORD01136"/>
    <d v="2026-06-30T00:00:00"/>
    <x v="1"/>
    <x v="1"/>
    <x v="1"/>
    <s v="Delhi"/>
    <x v="2"/>
    <n v="142"/>
    <n v="116"/>
    <n v="59"/>
    <n v="199"/>
    <n v="94"/>
    <n v="1382.02"/>
    <n v="8"/>
    <n v="0"/>
    <x v="1"/>
    <x v="1"/>
    <x v="0"/>
    <n v="275021.98"/>
  </r>
  <r>
    <s v="ORD01137"/>
    <d v="2026-07-15T00:00:00"/>
    <x v="15"/>
    <x v="4"/>
    <x v="0"/>
    <s v="Delhi"/>
    <x v="2"/>
    <n v="65"/>
    <n v="112"/>
    <n v="26"/>
    <n v="151"/>
    <n v="85"/>
    <n v="441.55"/>
    <n v="6"/>
    <n v="0"/>
    <x v="1"/>
    <x v="1"/>
    <x v="0"/>
    <n v="66674.05"/>
  </r>
  <r>
    <s v="ORD01138"/>
    <d v="2026-10-25T00:00:00"/>
    <x v="14"/>
    <x v="1"/>
    <x v="3"/>
    <s v="Delhi"/>
    <x v="2"/>
    <n v="126"/>
    <n v="123"/>
    <n v="71"/>
    <n v="178"/>
    <n v="68"/>
    <n v="1681.53"/>
    <n v="3"/>
    <n v="0"/>
    <x v="1"/>
    <x v="2"/>
    <x v="0"/>
    <n v="299312.33999999997"/>
  </r>
  <r>
    <s v="ORD01139"/>
    <d v="2026-12-06T00:00:00"/>
    <x v="4"/>
    <x v="2"/>
    <x v="1"/>
    <s v="Mumbai"/>
    <x v="0"/>
    <n v="141"/>
    <n v="99"/>
    <n v="104"/>
    <n v="136"/>
    <n v="49"/>
    <n v="751.78"/>
    <n v="2"/>
    <n v="0"/>
    <x v="1"/>
    <x v="2"/>
    <x v="1"/>
    <n v="102242.08"/>
  </r>
  <r>
    <s v="ORD01140"/>
    <d v="2026-05-31T00:00:00"/>
    <x v="5"/>
    <x v="3"/>
    <x v="2"/>
    <s v="Delhi"/>
    <x v="2"/>
    <n v="176"/>
    <n v="65"/>
    <n v="65"/>
    <n v="176"/>
    <n v="53"/>
    <n v="1409.53"/>
    <n v="2"/>
    <n v="0"/>
    <x v="1"/>
    <x v="2"/>
    <x v="2"/>
    <n v="248077.28"/>
  </r>
  <r>
    <s v="ORD01141"/>
    <d v="2026-04-25T00:00:00"/>
    <x v="12"/>
    <x v="4"/>
    <x v="0"/>
    <s v="Mumbai"/>
    <x v="0"/>
    <n v="153"/>
    <n v="125"/>
    <n v="20"/>
    <n v="258"/>
    <n v="60"/>
    <n v="504.8"/>
    <n v="7"/>
    <n v="0"/>
    <x v="1"/>
    <x v="2"/>
    <x v="0"/>
    <n v="130238.40000000001"/>
  </r>
  <r>
    <s v="ORD01142"/>
    <d v="2026-09-05T00:00:00"/>
    <x v="1"/>
    <x v="1"/>
    <x v="2"/>
    <s v="Kolkata"/>
    <x v="3"/>
    <n v="205"/>
    <n v="123"/>
    <n v="42"/>
    <n v="286"/>
    <n v="54"/>
    <n v="1173.23"/>
    <n v="3"/>
    <n v="0"/>
    <x v="1"/>
    <x v="2"/>
    <x v="1"/>
    <n v="335543.78000000003"/>
  </r>
  <r>
    <s v="ORD01143"/>
    <d v="2026-05-14T00:00:00"/>
    <x v="7"/>
    <x v="3"/>
    <x v="1"/>
    <s v="Mumbai"/>
    <x v="0"/>
    <n v="145"/>
    <n v="43"/>
    <n v="81"/>
    <n v="107"/>
    <n v="82"/>
    <n v="979.92"/>
    <n v="6"/>
    <n v="0"/>
    <x v="1"/>
    <x v="1"/>
    <x v="3"/>
    <n v="104851.44"/>
  </r>
  <r>
    <s v="ORD01144"/>
    <d v="2026-12-26T00:00:00"/>
    <x v="4"/>
    <x v="2"/>
    <x v="3"/>
    <s v="Delhi"/>
    <x v="2"/>
    <n v="133"/>
    <n v="50"/>
    <n v="55"/>
    <n v="128"/>
    <n v="79"/>
    <n v="777.13"/>
    <n v="7"/>
    <n v="0"/>
    <x v="0"/>
    <x v="1"/>
    <x v="1"/>
    <n v="99472.639999999999"/>
  </r>
  <r>
    <s v="ORD01145"/>
    <d v="2026-11-27T00:00:00"/>
    <x v="1"/>
    <x v="1"/>
    <x v="4"/>
    <s v="Kolkata"/>
    <x v="3"/>
    <n v="177"/>
    <n v="60"/>
    <n v="28"/>
    <n v="209"/>
    <n v="96"/>
    <n v="1384.84"/>
    <n v="3"/>
    <n v="0"/>
    <x v="1"/>
    <x v="1"/>
    <x v="2"/>
    <n v="289431.56"/>
  </r>
  <r>
    <s v="ORD01146"/>
    <d v="2026-03-29T00:00:00"/>
    <x v="15"/>
    <x v="4"/>
    <x v="3"/>
    <s v="Delhi"/>
    <x v="2"/>
    <n v="187"/>
    <n v="127"/>
    <n v="21"/>
    <n v="293"/>
    <n v="74"/>
    <n v="460.69"/>
    <n v="5"/>
    <n v="0"/>
    <x v="1"/>
    <x v="2"/>
    <x v="0"/>
    <n v="134982.17000000001"/>
  </r>
  <r>
    <s v="ORD01147"/>
    <d v="2026-10-19T00:00:00"/>
    <x v="3"/>
    <x v="0"/>
    <x v="1"/>
    <s v="Bangalore"/>
    <x v="1"/>
    <n v="128"/>
    <n v="81"/>
    <n v="105"/>
    <n v="104"/>
    <n v="54"/>
    <n v="821.48"/>
    <n v="4"/>
    <n v="0"/>
    <x v="0"/>
    <x v="1"/>
    <x v="2"/>
    <n v="85433.919999999998"/>
  </r>
  <r>
    <s v="ORD01148"/>
    <d v="2026-06-05T00:00:00"/>
    <x v="18"/>
    <x v="2"/>
    <x v="1"/>
    <s v="Kolkata"/>
    <x v="3"/>
    <n v="150"/>
    <n v="110"/>
    <n v="32"/>
    <n v="228"/>
    <n v="70"/>
    <n v="3017.73"/>
    <n v="5"/>
    <n v="0"/>
    <x v="1"/>
    <x v="2"/>
    <x v="2"/>
    <n v="688042.44000000006"/>
  </r>
  <r>
    <s v="ORD01149"/>
    <d v="2026-12-31T00:00:00"/>
    <x v="13"/>
    <x v="2"/>
    <x v="1"/>
    <s v="Kolkata"/>
    <x v="3"/>
    <n v="76"/>
    <n v="118"/>
    <n v="84"/>
    <n v="110"/>
    <n v="88"/>
    <n v="1119.1099999999999"/>
    <n v="8"/>
    <n v="0"/>
    <x v="0"/>
    <x v="1"/>
    <x v="0"/>
    <n v="123102.09999999999"/>
  </r>
  <r>
    <s v="ORD01150"/>
    <d v="2026-04-02T00:00:00"/>
    <x v="18"/>
    <x v="2"/>
    <x v="4"/>
    <s v="Bangalore"/>
    <x v="1"/>
    <n v="175"/>
    <n v="72"/>
    <n v="108"/>
    <n v="139"/>
    <n v="55"/>
    <n v="3348.84"/>
    <n v="3"/>
    <n v="0"/>
    <x v="1"/>
    <x v="2"/>
    <x v="2"/>
    <n v="465488.76"/>
  </r>
  <r>
    <s v="ORD01151"/>
    <d v="2026-12-23T00:00:00"/>
    <x v="9"/>
    <x v="1"/>
    <x v="3"/>
    <s v="Bangalore"/>
    <x v="1"/>
    <n v="124"/>
    <n v="31"/>
    <n v="27"/>
    <n v="128"/>
    <n v="70"/>
    <n v="710.36"/>
    <n v="7"/>
    <n v="0"/>
    <x v="1"/>
    <x v="1"/>
    <x v="0"/>
    <n v="90926.080000000002"/>
  </r>
  <r>
    <s v="ORD01152"/>
    <d v="2026-07-25T00:00:00"/>
    <x v="11"/>
    <x v="3"/>
    <x v="0"/>
    <s v="Mumbai"/>
    <x v="0"/>
    <n v="64"/>
    <n v="59"/>
    <n v="60"/>
    <n v="63"/>
    <n v="56"/>
    <n v="2291.1999999999998"/>
    <n v="4"/>
    <n v="0"/>
    <x v="1"/>
    <x v="1"/>
    <x v="0"/>
    <n v="144345.59999999998"/>
  </r>
  <r>
    <s v="ORD01153"/>
    <d v="2026-01-01T00:00:00"/>
    <x v="1"/>
    <x v="1"/>
    <x v="0"/>
    <s v="Bangalore"/>
    <x v="1"/>
    <n v="126"/>
    <n v="77"/>
    <n v="27"/>
    <n v="176"/>
    <n v="78"/>
    <n v="1237.02"/>
    <n v="8"/>
    <n v="2"/>
    <x v="1"/>
    <x v="2"/>
    <x v="0"/>
    <n v="217715.52"/>
  </r>
  <r>
    <s v="ORD01154"/>
    <d v="2026-03-30T00:00:00"/>
    <x v="12"/>
    <x v="4"/>
    <x v="4"/>
    <s v="Delhi"/>
    <x v="2"/>
    <n v="138"/>
    <n v="59"/>
    <n v="18"/>
    <n v="179"/>
    <n v="96"/>
    <n v="540.51"/>
    <n v="6"/>
    <n v="0"/>
    <x v="1"/>
    <x v="1"/>
    <x v="0"/>
    <n v="96751.29"/>
  </r>
  <r>
    <s v="ORD01155"/>
    <d v="2026-04-01T00:00:00"/>
    <x v="2"/>
    <x v="1"/>
    <x v="2"/>
    <s v="Mumbai"/>
    <x v="0"/>
    <n v="128"/>
    <n v="32"/>
    <n v="102"/>
    <n v="58"/>
    <n v="54"/>
    <n v="2447.86"/>
    <n v="6"/>
    <n v="0"/>
    <x v="1"/>
    <x v="1"/>
    <x v="0"/>
    <n v="141975.88"/>
  </r>
  <r>
    <s v="ORD01156"/>
    <d v="2026-02-25T00:00:00"/>
    <x v="15"/>
    <x v="4"/>
    <x v="3"/>
    <s v="Bangalore"/>
    <x v="1"/>
    <n v="199"/>
    <n v="24"/>
    <n v="83"/>
    <n v="140"/>
    <n v="95"/>
    <n v="489.66"/>
    <n v="8"/>
    <n v="0"/>
    <x v="1"/>
    <x v="1"/>
    <x v="3"/>
    <n v="68552.400000000009"/>
  </r>
  <r>
    <s v="ORD01157"/>
    <d v="2026-12-04T00:00:00"/>
    <x v="13"/>
    <x v="2"/>
    <x v="1"/>
    <s v="Mumbai"/>
    <x v="0"/>
    <n v="65"/>
    <n v="83"/>
    <n v="39"/>
    <n v="109"/>
    <n v="83"/>
    <n v="1024.1600000000001"/>
    <n v="6"/>
    <n v="0"/>
    <x v="1"/>
    <x v="1"/>
    <x v="3"/>
    <n v="111633.44"/>
  </r>
  <r>
    <s v="ORD01158"/>
    <d v="2026-04-07T00:00:00"/>
    <x v="10"/>
    <x v="4"/>
    <x v="3"/>
    <s v="Bangalore"/>
    <x v="1"/>
    <n v="211"/>
    <n v="90"/>
    <n v="23"/>
    <n v="278"/>
    <n v="66"/>
    <n v="569.54999999999995"/>
    <n v="3"/>
    <n v="0"/>
    <x v="1"/>
    <x v="2"/>
    <x v="1"/>
    <n v="158334.9"/>
  </r>
  <r>
    <s v="ORD01159"/>
    <d v="2026-12-06T00:00:00"/>
    <x v="8"/>
    <x v="3"/>
    <x v="0"/>
    <s v="Bangalore"/>
    <x v="1"/>
    <n v="162"/>
    <n v="123"/>
    <n v="99"/>
    <n v="186"/>
    <n v="90"/>
    <n v="2942.58"/>
    <n v="6"/>
    <n v="0"/>
    <x v="0"/>
    <x v="1"/>
    <x v="0"/>
    <n v="547319.88"/>
  </r>
  <r>
    <s v="ORD01160"/>
    <d v="2026-08-11T00:00:00"/>
    <x v="19"/>
    <x v="2"/>
    <x v="1"/>
    <s v="Mumbai"/>
    <x v="0"/>
    <n v="112"/>
    <n v="61"/>
    <n v="32"/>
    <n v="141"/>
    <n v="73"/>
    <n v="1579.06"/>
    <n v="4"/>
    <n v="0"/>
    <x v="1"/>
    <x v="1"/>
    <x v="0"/>
    <n v="222647.46"/>
  </r>
  <r>
    <s v="ORD01161"/>
    <d v="2026-05-28T00:00:00"/>
    <x v="8"/>
    <x v="3"/>
    <x v="3"/>
    <s v="Bangalore"/>
    <x v="1"/>
    <n v="165"/>
    <n v="33"/>
    <n v="56"/>
    <n v="142"/>
    <n v="80"/>
    <n v="2791.1"/>
    <n v="5"/>
    <n v="0"/>
    <x v="1"/>
    <x v="1"/>
    <x v="3"/>
    <n v="396336.2"/>
  </r>
  <r>
    <s v="ORD01162"/>
    <d v="2026-01-15T00:00:00"/>
    <x v="0"/>
    <x v="0"/>
    <x v="2"/>
    <s v="Bangalore"/>
    <x v="1"/>
    <n v="118"/>
    <n v="95"/>
    <n v="110"/>
    <n v="103"/>
    <n v="81"/>
    <n v="1815.4"/>
    <n v="7"/>
    <n v="0"/>
    <x v="1"/>
    <x v="1"/>
    <x v="0"/>
    <n v="186986.2"/>
  </r>
  <r>
    <s v="ORD01163"/>
    <d v="2026-04-02T00:00:00"/>
    <x v="16"/>
    <x v="0"/>
    <x v="3"/>
    <s v="Mumbai"/>
    <x v="0"/>
    <n v="130"/>
    <n v="88"/>
    <n v="21"/>
    <n v="197"/>
    <n v="97"/>
    <n v="1278.0899999999999"/>
    <n v="8"/>
    <n v="0"/>
    <x v="1"/>
    <x v="1"/>
    <x v="0"/>
    <n v="251783.72999999998"/>
  </r>
  <r>
    <s v="ORD01164"/>
    <d v="2026-10-20T00:00:00"/>
    <x v="6"/>
    <x v="4"/>
    <x v="4"/>
    <s v="Mumbai"/>
    <x v="0"/>
    <n v="65"/>
    <n v="78"/>
    <n v="38"/>
    <n v="105"/>
    <n v="59"/>
    <n v="677.61"/>
    <n v="2"/>
    <n v="0"/>
    <x v="1"/>
    <x v="1"/>
    <x v="0"/>
    <n v="71149.05"/>
  </r>
  <r>
    <s v="ORD01165"/>
    <d v="2026-06-19T00:00:00"/>
    <x v="12"/>
    <x v="4"/>
    <x v="4"/>
    <s v="Kolkata"/>
    <x v="3"/>
    <n v="92"/>
    <n v="108"/>
    <n v="29"/>
    <n v="171"/>
    <n v="63"/>
    <n v="450.47"/>
    <n v="3"/>
    <n v="0"/>
    <x v="1"/>
    <x v="2"/>
    <x v="1"/>
    <n v="77030.37000000001"/>
  </r>
  <r>
    <s v="ORD01166"/>
    <d v="2026-08-05T00:00:00"/>
    <x v="2"/>
    <x v="1"/>
    <x v="2"/>
    <s v="Delhi"/>
    <x v="2"/>
    <n v="142"/>
    <n v="25"/>
    <n v="34"/>
    <n v="133"/>
    <n v="54"/>
    <n v="2447.4"/>
    <n v="6"/>
    <n v="0"/>
    <x v="1"/>
    <x v="2"/>
    <x v="1"/>
    <n v="325504.2"/>
  </r>
  <r>
    <s v="ORD01167"/>
    <d v="2026-09-07T00:00:00"/>
    <x v="6"/>
    <x v="4"/>
    <x v="2"/>
    <s v="Delhi"/>
    <x v="2"/>
    <n v="144"/>
    <n v="108"/>
    <n v="16"/>
    <n v="236"/>
    <n v="71"/>
    <n v="692.06"/>
    <n v="5"/>
    <n v="0"/>
    <x v="1"/>
    <x v="2"/>
    <x v="1"/>
    <n v="163326.15999999997"/>
  </r>
  <r>
    <s v="ORD01168"/>
    <d v="2026-10-02T00:00:00"/>
    <x v="18"/>
    <x v="2"/>
    <x v="3"/>
    <s v="Bangalore"/>
    <x v="1"/>
    <n v="218"/>
    <n v="118"/>
    <n v="72"/>
    <n v="264"/>
    <n v="53"/>
    <n v="3304.3"/>
    <n v="5"/>
    <n v="2"/>
    <x v="1"/>
    <x v="2"/>
    <x v="0"/>
    <n v="872335.20000000007"/>
  </r>
  <r>
    <s v="ORD01169"/>
    <d v="2026-04-14T00:00:00"/>
    <x v="13"/>
    <x v="2"/>
    <x v="0"/>
    <s v="Kolkata"/>
    <x v="3"/>
    <n v="112"/>
    <n v="88"/>
    <n v="51"/>
    <n v="149"/>
    <n v="63"/>
    <n v="1178.21"/>
    <n v="4"/>
    <n v="0"/>
    <x v="0"/>
    <x v="2"/>
    <x v="0"/>
    <n v="175553.29"/>
  </r>
  <r>
    <s v="ORD01170"/>
    <d v="2026-02-12T00:00:00"/>
    <x v="3"/>
    <x v="0"/>
    <x v="2"/>
    <s v="Mumbai"/>
    <x v="0"/>
    <n v="172"/>
    <n v="24"/>
    <n v="75"/>
    <n v="121"/>
    <n v="75"/>
    <n v="829.68"/>
    <n v="3"/>
    <n v="0"/>
    <x v="0"/>
    <x v="1"/>
    <x v="0"/>
    <n v="100391.28"/>
  </r>
  <r>
    <s v="ORD01171"/>
    <d v="2026-04-07T00:00:00"/>
    <x v="17"/>
    <x v="0"/>
    <x v="3"/>
    <s v="Delhi"/>
    <x v="2"/>
    <n v="152"/>
    <n v="114"/>
    <n v="33"/>
    <n v="233"/>
    <n v="73"/>
    <n v="1427.16"/>
    <n v="2"/>
    <n v="0"/>
    <x v="1"/>
    <x v="2"/>
    <x v="0"/>
    <n v="332528.28000000003"/>
  </r>
  <r>
    <s v="ORD01172"/>
    <d v="2026-07-14T00:00:00"/>
    <x v="14"/>
    <x v="1"/>
    <x v="4"/>
    <s v="Bangalore"/>
    <x v="1"/>
    <n v="79"/>
    <n v="63"/>
    <n v="47"/>
    <n v="95"/>
    <n v="56"/>
    <n v="1552.04"/>
    <n v="3"/>
    <n v="0"/>
    <x v="1"/>
    <x v="1"/>
    <x v="0"/>
    <n v="147443.79999999999"/>
  </r>
  <r>
    <s v="ORD01173"/>
    <d v="2026-05-06T00:00:00"/>
    <x v="14"/>
    <x v="1"/>
    <x v="1"/>
    <s v="Bangalore"/>
    <x v="1"/>
    <n v="97"/>
    <n v="43"/>
    <n v="95"/>
    <n v="45"/>
    <n v="57"/>
    <n v="1547.48"/>
    <n v="7"/>
    <n v="8"/>
    <x v="1"/>
    <x v="1"/>
    <x v="0"/>
    <n v="69636.600000000006"/>
  </r>
  <r>
    <s v="ORD01174"/>
    <d v="2026-11-13T00:00:00"/>
    <x v="6"/>
    <x v="4"/>
    <x v="1"/>
    <s v="Mumbai"/>
    <x v="0"/>
    <n v="76"/>
    <n v="90"/>
    <n v="55"/>
    <n v="111"/>
    <n v="48"/>
    <n v="599.48"/>
    <n v="2"/>
    <n v="0"/>
    <x v="1"/>
    <x v="2"/>
    <x v="0"/>
    <n v="66542.28"/>
  </r>
  <r>
    <s v="ORD01175"/>
    <d v="2026-03-03T00:00:00"/>
    <x v="14"/>
    <x v="1"/>
    <x v="0"/>
    <s v="Bangalore"/>
    <x v="1"/>
    <n v="76"/>
    <n v="33"/>
    <n v="102"/>
    <n v="7"/>
    <n v="59"/>
    <n v="1441.89"/>
    <n v="2"/>
    <n v="7"/>
    <x v="1"/>
    <x v="0"/>
    <x v="2"/>
    <n v="10093.230000000001"/>
  </r>
  <r>
    <s v="ORD01176"/>
    <d v="2026-05-02T00:00:00"/>
    <x v="9"/>
    <x v="1"/>
    <x v="1"/>
    <s v="Bangalore"/>
    <x v="1"/>
    <n v="45"/>
    <n v="103"/>
    <n v="75"/>
    <n v="73"/>
    <n v="81"/>
    <n v="720.27"/>
    <n v="4"/>
    <n v="7"/>
    <x v="1"/>
    <x v="1"/>
    <x v="0"/>
    <n v="52579.71"/>
  </r>
  <r>
    <s v="ORD01177"/>
    <d v="2026-03-31T00:00:00"/>
    <x v="5"/>
    <x v="3"/>
    <x v="0"/>
    <s v="Kolkata"/>
    <x v="3"/>
    <n v="162"/>
    <n v="39"/>
    <n v="73"/>
    <n v="128"/>
    <n v="79"/>
    <n v="1398.66"/>
    <n v="3"/>
    <n v="0"/>
    <x v="0"/>
    <x v="1"/>
    <x v="0"/>
    <n v="179028.48000000001"/>
  </r>
  <r>
    <s v="ORD01178"/>
    <d v="2026-04-27T00:00:00"/>
    <x v="5"/>
    <x v="3"/>
    <x v="2"/>
    <s v="Delhi"/>
    <x v="2"/>
    <n v="45"/>
    <n v="75"/>
    <n v="53"/>
    <n v="67"/>
    <n v="54"/>
    <n v="1181.06"/>
    <n v="5"/>
    <n v="0"/>
    <x v="1"/>
    <x v="1"/>
    <x v="0"/>
    <n v="79131.01999999999"/>
  </r>
  <r>
    <s v="ORD01179"/>
    <d v="2026-06-22T00:00:00"/>
    <x v="11"/>
    <x v="3"/>
    <x v="0"/>
    <s v="Mumbai"/>
    <x v="0"/>
    <n v="143"/>
    <n v="73"/>
    <n v="68"/>
    <n v="148"/>
    <n v="74"/>
    <n v="2302.7199999999998"/>
    <n v="5"/>
    <n v="0"/>
    <x v="1"/>
    <x v="1"/>
    <x v="0"/>
    <n v="340802.56"/>
  </r>
  <r>
    <s v="ORD01180"/>
    <d v="2026-10-08T00:00:00"/>
    <x v="19"/>
    <x v="2"/>
    <x v="2"/>
    <s v="Mumbai"/>
    <x v="0"/>
    <n v="102"/>
    <n v="47"/>
    <n v="106"/>
    <n v="43"/>
    <n v="57"/>
    <n v="1520.52"/>
    <n v="8"/>
    <n v="6"/>
    <x v="1"/>
    <x v="1"/>
    <x v="1"/>
    <n v="65382.36"/>
  </r>
  <r>
    <s v="ORD01181"/>
    <d v="2026-11-16T00:00:00"/>
    <x v="5"/>
    <x v="3"/>
    <x v="0"/>
    <s v="Mumbai"/>
    <x v="0"/>
    <n v="140"/>
    <n v="38"/>
    <n v="75"/>
    <n v="103"/>
    <n v="51"/>
    <n v="1311.14"/>
    <n v="5"/>
    <n v="0"/>
    <x v="1"/>
    <x v="1"/>
    <x v="1"/>
    <n v="135047.42000000001"/>
  </r>
  <r>
    <s v="ORD01182"/>
    <d v="2026-01-13T00:00:00"/>
    <x v="8"/>
    <x v="3"/>
    <x v="2"/>
    <s v="Mumbai"/>
    <x v="0"/>
    <n v="126"/>
    <n v="90"/>
    <n v="35"/>
    <n v="181"/>
    <n v="87"/>
    <n v="2735.2"/>
    <n v="6"/>
    <n v="0"/>
    <x v="1"/>
    <x v="1"/>
    <x v="3"/>
    <n v="495071.19999999995"/>
  </r>
  <r>
    <s v="ORD01183"/>
    <d v="2026-04-12T00:00:00"/>
    <x v="2"/>
    <x v="1"/>
    <x v="1"/>
    <s v="Mumbai"/>
    <x v="0"/>
    <n v="109"/>
    <n v="115"/>
    <n v="102"/>
    <n v="122"/>
    <n v="81"/>
    <n v="2529.2399999999998"/>
    <n v="7"/>
    <n v="0"/>
    <x v="1"/>
    <x v="1"/>
    <x v="2"/>
    <n v="308567.27999999997"/>
  </r>
  <r>
    <s v="ORD01184"/>
    <d v="2026-09-29T00:00:00"/>
    <x v="2"/>
    <x v="1"/>
    <x v="0"/>
    <s v="Kolkata"/>
    <x v="3"/>
    <n v="102"/>
    <n v="114"/>
    <n v="31"/>
    <n v="185"/>
    <n v="93"/>
    <n v="2607"/>
    <n v="4"/>
    <n v="0"/>
    <x v="1"/>
    <x v="1"/>
    <x v="2"/>
    <n v="482295"/>
  </r>
  <r>
    <s v="ORD01185"/>
    <d v="2026-02-03T00:00:00"/>
    <x v="0"/>
    <x v="0"/>
    <x v="4"/>
    <s v="Bangalore"/>
    <x v="1"/>
    <n v="45"/>
    <n v="21"/>
    <n v="21"/>
    <n v="45"/>
    <n v="66"/>
    <n v="1926.94"/>
    <n v="7"/>
    <n v="5"/>
    <x v="0"/>
    <x v="1"/>
    <x v="0"/>
    <n v="86712.3"/>
  </r>
  <r>
    <s v="ORD01186"/>
    <d v="2026-03-19T00:00:00"/>
    <x v="4"/>
    <x v="2"/>
    <x v="1"/>
    <s v="Kolkata"/>
    <x v="3"/>
    <n v="161"/>
    <n v="63"/>
    <n v="105"/>
    <n v="119"/>
    <n v="56"/>
    <n v="766.36"/>
    <n v="2"/>
    <n v="0"/>
    <x v="1"/>
    <x v="1"/>
    <x v="0"/>
    <n v="91196.84"/>
  </r>
  <r>
    <s v="ORD01187"/>
    <d v="2026-02-28T00:00:00"/>
    <x v="2"/>
    <x v="1"/>
    <x v="4"/>
    <s v="Kolkata"/>
    <x v="3"/>
    <n v="80"/>
    <n v="91"/>
    <n v="85"/>
    <n v="86"/>
    <n v="85"/>
    <n v="2385.39"/>
    <n v="4"/>
    <n v="0"/>
    <x v="1"/>
    <x v="1"/>
    <x v="1"/>
    <n v="205143.53999999998"/>
  </r>
  <r>
    <s v="ORD01188"/>
    <d v="2026-10-27T00:00:00"/>
    <x v="2"/>
    <x v="1"/>
    <x v="4"/>
    <s v="Bangalore"/>
    <x v="1"/>
    <n v="74"/>
    <n v="68"/>
    <n v="75"/>
    <n v="67"/>
    <n v="69"/>
    <n v="2388.9"/>
    <n v="8"/>
    <n v="6"/>
    <x v="0"/>
    <x v="1"/>
    <x v="3"/>
    <n v="160056.30000000002"/>
  </r>
  <r>
    <s v="ORD01189"/>
    <d v="2026-03-11T00:00:00"/>
    <x v="15"/>
    <x v="4"/>
    <x v="3"/>
    <s v="Bangalore"/>
    <x v="1"/>
    <n v="165"/>
    <n v="105"/>
    <n v="87"/>
    <n v="183"/>
    <n v="67"/>
    <n v="484.7"/>
    <n v="2"/>
    <n v="0"/>
    <x v="1"/>
    <x v="2"/>
    <x v="0"/>
    <n v="88700.099999999991"/>
  </r>
  <r>
    <s v="ORD01190"/>
    <d v="2026-02-12T00:00:00"/>
    <x v="6"/>
    <x v="4"/>
    <x v="3"/>
    <s v="Mumbai"/>
    <x v="0"/>
    <n v="68"/>
    <n v="121"/>
    <n v="100"/>
    <n v="89"/>
    <n v="57"/>
    <n v="710"/>
    <n v="4"/>
    <n v="0"/>
    <x v="1"/>
    <x v="1"/>
    <x v="2"/>
    <n v="63190"/>
  </r>
  <r>
    <s v="ORD01191"/>
    <d v="2026-06-13T00:00:00"/>
    <x v="19"/>
    <x v="2"/>
    <x v="4"/>
    <s v="Kolkata"/>
    <x v="3"/>
    <n v="83"/>
    <n v="66"/>
    <n v="47"/>
    <n v="102"/>
    <n v="57"/>
    <n v="1504.03"/>
    <n v="6"/>
    <n v="0"/>
    <x v="1"/>
    <x v="1"/>
    <x v="0"/>
    <n v="153411.06"/>
  </r>
  <r>
    <s v="ORD01192"/>
    <d v="2026-12-04T00:00:00"/>
    <x v="9"/>
    <x v="1"/>
    <x v="2"/>
    <s v="Delhi"/>
    <x v="2"/>
    <n v="107"/>
    <n v="77"/>
    <n v="70"/>
    <n v="114"/>
    <n v="66"/>
    <n v="635.66"/>
    <n v="7"/>
    <n v="0"/>
    <x v="1"/>
    <x v="1"/>
    <x v="0"/>
    <n v="72465.239999999991"/>
  </r>
  <r>
    <s v="ORD01193"/>
    <d v="2026-07-14T00:00:00"/>
    <x v="16"/>
    <x v="0"/>
    <x v="1"/>
    <s v="Bangalore"/>
    <x v="1"/>
    <n v="73"/>
    <n v="99"/>
    <n v="16"/>
    <n v="156"/>
    <n v="92"/>
    <n v="1217.68"/>
    <n v="4"/>
    <n v="0"/>
    <x v="1"/>
    <x v="1"/>
    <x v="1"/>
    <n v="189958.08000000002"/>
  </r>
  <r>
    <s v="ORD01194"/>
    <d v="2026-06-27T00:00:00"/>
    <x v="8"/>
    <x v="3"/>
    <x v="0"/>
    <s v="Kolkata"/>
    <x v="3"/>
    <n v="125"/>
    <n v="66"/>
    <n v="80"/>
    <n v="111"/>
    <n v="99"/>
    <n v="3076.45"/>
    <n v="5"/>
    <n v="0"/>
    <x v="1"/>
    <x v="1"/>
    <x v="0"/>
    <n v="341485.94999999995"/>
  </r>
  <r>
    <s v="ORD01195"/>
    <d v="2026-03-07T00:00:00"/>
    <x v="13"/>
    <x v="2"/>
    <x v="3"/>
    <s v="Delhi"/>
    <x v="2"/>
    <n v="108"/>
    <n v="30"/>
    <n v="72"/>
    <n v="66"/>
    <n v="87"/>
    <n v="1008.65"/>
    <n v="7"/>
    <n v="2"/>
    <x v="1"/>
    <x v="1"/>
    <x v="0"/>
    <n v="66570.899999999994"/>
  </r>
  <r>
    <s v="ORD01196"/>
    <d v="2026-01-07T00:00:00"/>
    <x v="17"/>
    <x v="0"/>
    <x v="4"/>
    <s v="Mumbai"/>
    <x v="0"/>
    <n v="135"/>
    <n v="28"/>
    <n v="34"/>
    <n v="129"/>
    <n v="81"/>
    <n v="1484.41"/>
    <n v="8"/>
    <n v="0"/>
    <x v="0"/>
    <x v="1"/>
    <x v="0"/>
    <n v="191488.89"/>
  </r>
  <r>
    <s v="ORD01197"/>
    <d v="2026-02-11T00:00:00"/>
    <x v="18"/>
    <x v="2"/>
    <x v="2"/>
    <s v="Kolkata"/>
    <x v="3"/>
    <n v="201"/>
    <n v="62"/>
    <n v="100"/>
    <n v="163"/>
    <n v="51"/>
    <n v="3272.04"/>
    <n v="2"/>
    <n v="0"/>
    <x v="1"/>
    <x v="2"/>
    <x v="0"/>
    <n v="533342.52"/>
  </r>
  <r>
    <s v="ORD01198"/>
    <d v="2026-09-29T00:00:00"/>
    <x v="9"/>
    <x v="1"/>
    <x v="4"/>
    <s v="Bangalore"/>
    <x v="1"/>
    <n v="150"/>
    <n v="121"/>
    <n v="102"/>
    <n v="169"/>
    <n v="59"/>
    <n v="659.43"/>
    <n v="7"/>
    <n v="0"/>
    <x v="0"/>
    <x v="2"/>
    <x v="0"/>
    <n v="111443.67"/>
  </r>
  <r>
    <s v="ORD01199"/>
    <d v="2026-08-15T00:00:00"/>
    <x v="2"/>
    <x v="1"/>
    <x v="2"/>
    <s v="Kolkata"/>
    <x v="3"/>
    <n v="194"/>
    <n v="110"/>
    <n v="38"/>
    <n v="266"/>
    <n v="75"/>
    <n v="2298.27"/>
    <n v="7"/>
    <n v="0"/>
    <x v="1"/>
    <x v="2"/>
    <x v="1"/>
    <n v="611339.81999999995"/>
  </r>
  <r>
    <s v="ORD01200"/>
    <d v="2026-02-08T00:00:00"/>
    <x v="9"/>
    <x v="1"/>
    <x v="4"/>
    <s v="Mumbai"/>
    <x v="0"/>
    <n v="90"/>
    <n v="53"/>
    <n v="33"/>
    <n v="110"/>
    <n v="79"/>
    <n v="710.56"/>
    <n v="3"/>
    <n v="0"/>
    <x v="1"/>
    <x v="1"/>
    <x v="2"/>
    <n v="78161.599999999991"/>
  </r>
  <r>
    <s v="ORD01201"/>
    <d v="2026-06-26T00:00:00"/>
    <x v="1"/>
    <x v="1"/>
    <x v="0"/>
    <s v="Mumbai"/>
    <x v="0"/>
    <n v="81"/>
    <n v="70"/>
    <n v="96"/>
    <n v="55"/>
    <n v="98"/>
    <n v="1324"/>
    <n v="9"/>
    <n v="7"/>
    <x v="0"/>
    <x v="0"/>
    <x v="0"/>
    <n v="72820"/>
  </r>
  <r>
    <s v="ORD01202"/>
    <d v="2026-08-09T00:00:00"/>
    <x v="9"/>
    <x v="1"/>
    <x v="0"/>
    <s v="Delhi"/>
    <x v="2"/>
    <n v="81"/>
    <n v="28"/>
    <n v="22"/>
    <n v="87"/>
    <n v="49"/>
    <n v="699.15"/>
    <n v="7"/>
    <n v="0"/>
    <x v="0"/>
    <x v="1"/>
    <x v="2"/>
    <n v="60826.049999999996"/>
  </r>
  <r>
    <s v="ORD01203"/>
    <d v="2026-06-13T00:00:00"/>
    <x v="3"/>
    <x v="0"/>
    <x v="4"/>
    <s v="Bangalore"/>
    <x v="1"/>
    <n v="121"/>
    <n v="95"/>
    <n v="61"/>
    <n v="155"/>
    <n v="89"/>
    <n v="932.59"/>
    <n v="7"/>
    <n v="0"/>
    <x v="1"/>
    <x v="1"/>
    <x v="0"/>
    <n v="144551.45000000001"/>
  </r>
  <r>
    <s v="ORD01204"/>
    <d v="2026-01-22T00:00:00"/>
    <x v="5"/>
    <x v="3"/>
    <x v="3"/>
    <s v="Delhi"/>
    <x v="2"/>
    <n v="167"/>
    <n v="58"/>
    <n v="77"/>
    <n v="148"/>
    <n v="65"/>
    <n v="1311.94"/>
    <n v="7"/>
    <n v="0"/>
    <x v="1"/>
    <x v="2"/>
    <x v="0"/>
    <n v="194167.12"/>
  </r>
  <r>
    <s v="ORD01205"/>
    <d v="2026-07-17T00:00:00"/>
    <x v="19"/>
    <x v="2"/>
    <x v="3"/>
    <s v="Kolkata"/>
    <x v="3"/>
    <n v="123"/>
    <n v="121"/>
    <n v="66"/>
    <n v="178"/>
    <n v="74"/>
    <n v="1610.6"/>
    <n v="5"/>
    <n v="0"/>
    <x v="1"/>
    <x v="2"/>
    <x v="0"/>
    <n v="286686.8"/>
  </r>
  <r>
    <s v="ORD01206"/>
    <d v="2026-03-30T00:00:00"/>
    <x v="8"/>
    <x v="3"/>
    <x v="2"/>
    <s v="Delhi"/>
    <x v="2"/>
    <n v="137"/>
    <n v="100"/>
    <n v="34"/>
    <n v="203"/>
    <n v="70"/>
    <n v="2724.8"/>
    <n v="5"/>
    <n v="0"/>
    <x v="1"/>
    <x v="2"/>
    <x v="0"/>
    <n v="553134.4"/>
  </r>
  <r>
    <s v="ORD01207"/>
    <d v="2026-10-09T00:00:00"/>
    <x v="1"/>
    <x v="1"/>
    <x v="2"/>
    <s v="Bangalore"/>
    <x v="1"/>
    <n v="44"/>
    <n v="70"/>
    <n v="75"/>
    <n v="39"/>
    <n v="54"/>
    <n v="1240.43"/>
    <n v="3"/>
    <n v="7"/>
    <x v="0"/>
    <x v="1"/>
    <x v="0"/>
    <n v="48376.770000000004"/>
  </r>
  <r>
    <s v="ORD01208"/>
    <d v="2026-01-31T00:00:00"/>
    <x v="13"/>
    <x v="2"/>
    <x v="2"/>
    <s v="Kolkata"/>
    <x v="3"/>
    <n v="195"/>
    <n v="112"/>
    <n v="78"/>
    <n v="229"/>
    <n v="72"/>
    <n v="1085.72"/>
    <n v="8"/>
    <n v="0"/>
    <x v="0"/>
    <x v="2"/>
    <x v="3"/>
    <n v="248629.88"/>
  </r>
  <r>
    <s v="ORD01209"/>
    <d v="2026-08-02T00:00:00"/>
    <x v="18"/>
    <x v="2"/>
    <x v="4"/>
    <s v="Delhi"/>
    <x v="2"/>
    <n v="220"/>
    <n v="81"/>
    <n v="92"/>
    <n v="209"/>
    <n v="63"/>
    <n v="2970.55"/>
    <n v="6"/>
    <n v="0"/>
    <x v="1"/>
    <x v="2"/>
    <x v="1"/>
    <n v="620844.95000000007"/>
  </r>
  <r>
    <s v="ORD01210"/>
    <d v="2026-05-25T00:00:00"/>
    <x v="8"/>
    <x v="3"/>
    <x v="0"/>
    <s v="Mumbai"/>
    <x v="0"/>
    <n v="126"/>
    <n v="100"/>
    <n v="54"/>
    <n v="172"/>
    <n v="88"/>
    <n v="2866.35"/>
    <n v="6"/>
    <n v="0"/>
    <x v="0"/>
    <x v="1"/>
    <x v="0"/>
    <n v="493012.2"/>
  </r>
  <r>
    <s v="ORD01211"/>
    <d v="2026-12-19T00:00:00"/>
    <x v="4"/>
    <x v="2"/>
    <x v="2"/>
    <s v="Delhi"/>
    <x v="2"/>
    <n v="184"/>
    <n v="80"/>
    <n v="23"/>
    <n v="241"/>
    <n v="46"/>
    <n v="791.53"/>
    <n v="5"/>
    <n v="0"/>
    <x v="1"/>
    <x v="2"/>
    <x v="3"/>
    <n v="190758.72999999998"/>
  </r>
  <r>
    <s v="ORD01212"/>
    <d v="2026-11-20T00:00:00"/>
    <x v="14"/>
    <x v="1"/>
    <x v="3"/>
    <s v="Delhi"/>
    <x v="2"/>
    <n v="182"/>
    <n v="63"/>
    <n v="88"/>
    <n v="157"/>
    <n v="95"/>
    <n v="1545.94"/>
    <n v="3"/>
    <n v="0"/>
    <x v="1"/>
    <x v="1"/>
    <x v="3"/>
    <n v="242712.58000000002"/>
  </r>
  <r>
    <s v="ORD01213"/>
    <d v="2026-03-17T00:00:00"/>
    <x v="15"/>
    <x v="4"/>
    <x v="1"/>
    <s v="Mumbai"/>
    <x v="0"/>
    <n v="103"/>
    <n v="82"/>
    <n v="87"/>
    <n v="98"/>
    <n v="75"/>
    <n v="485.15"/>
    <n v="4"/>
    <n v="0"/>
    <x v="1"/>
    <x v="1"/>
    <x v="0"/>
    <n v="47544.7"/>
  </r>
  <r>
    <s v="ORD01214"/>
    <d v="2026-05-22T00:00:00"/>
    <x v="6"/>
    <x v="4"/>
    <x v="4"/>
    <s v="Kolkata"/>
    <x v="3"/>
    <n v="158"/>
    <n v="97"/>
    <n v="108"/>
    <n v="147"/>
    <n v="62"/>
    <n v="593.70000000000005"/>
    <n v="5"/>
    <n v="0"/>
    <x v="1"/>
    <x v="2"/>
    <x v="2"/>
    <n v="87273.900000000009"/>
  </r>
  <r>
    <s v="ORD01215"/>
    <d v="2026-05-20T00:00:00"/>
    <x v="14"/>
    <x v="1"/>
    <x v="4"/>
    <s v="Kolkata"/>
    <x v="3"/>
    <n v="103"/>
    <n v="48"/>
    <n v="96"/>
    <n v="55"/>
    <n v="45"/>
    <n v="1544.71"/>
    <n v="8"/>
    <n v="0"/>
    <x v="1"/>
    <x v="1"/>
    <x v="0"/>
    <n v="84959.05"/>
  </r>
  <r>
    <s v="ORD01216"/>
    <d v="2026-09-26T00:00:00"/>
    <x v="19"/>
    <x v="2"/>
    <x v="0"/>
    <s v="Mumbai"/>
    <x v="0"/>
    <n v="205"/>
    <n v="44"/>
    <n v="91"/>
    <n v="158"/>
    <n v="83"/>
    <n v="1386.11"/>
    <n v="7"/>
    <n v="0"/>
    <x v="0"/>
    <x v="1"/>
    <x v="1"/>
    <n v="219005.37999999998"/>
  </r>
  <r>
    <s v="ORD01217"/>
    <d v="2026-11-26T00:00:00"/>
    <x v="6"/>
    <x v="4"/>
    <x v="2"/>
    <s v="Kolkata"/>
    <x v="3"/>
    <n v="148"/>
    <n v="109"/>
    <n v="16"/>
    <n v="241"/>
    <n v="64"/>
    <n v="618.92999999999995"/>
    <n v="3"/>
    <n v="0"/>
    <x v="1"/>
    <x v="2"/>
    <x v="0"/>
    <n v="149162.12999999998"/>
  </r>
  <r>
    <s v="ORD01218"/>
    <d v="2026-05-21T00:00:00"/>
    <x v="8"/>
    <x v="3"/>
    <x v="0"/>
    <s v="Kolkata"/>
    <x v="3"/>
    <n v="77"/>
    <n v="77"/>
    <n v="95"/>
    <n v="59"/>
    <n v="69"/>
    <n v="2830.95"/>
    <n v="6"/>
    <n v="6"/>
    <x v="1"/>
    <x v="1"/>
    <x v="0"/>
    <n v="167026.04999999999"/>
  </r>
  <r>
    <s v="ORD01219"/>
    <d v="2026-10-10T00:00:00"/>
    <x v="5"/>
    <x v="3"/>
    <x v="2"/>
    <s v="Kolkata"/>
    <x v="3"/>
    <n v="112"/>
    <n v="40"/>
    <n v="90"/>
    <n v="62"/>
    <n v="53"/>
    <n v="1253.93"/>
    <n v="2"/>
    <n v="0"/>
    <x v="0"/>
    <x v="1"/>
    <x v="1"/>
    <n v="77743.66"/>
  </r>
  <r>
    <s v="ORD01220"/>
    <d v="2026-01-18T00:00:00"/>
    <x v="5"/>
    <x v="3"/>
    <x v="2"/>
    <s v="Delhi"/>
    <x v="2"/>
    <n v="136"/>
    <n v="90"/>
    <n v="18"/>
    <n v="208"/>
    <n v="85"/>
    <n v="1282.9100000000001"/>
    <n v="4"/>
    <n v="0"/>
    <x v="1"/>
    <x v="2"/>
    <x v="0"/>
    <n v="266845.28000000003"/>
  </r>
  <r>
    <s v="ORD01221"/>
    <d v="2026-02-22T00:00:00"/>
    <x v="4"/>
    <x v="2"/>
    <x v="1"/>
    <s v="Bangalore"/>
    <x v="1"/>
    <n v="170"/>
    <n v="27"/>
    <n v="107"/>
    <n v="90"/>
    <n v="90"/>
    <n v="834.19"/>
    <n v="5"/>
    <n v="2"/>
    <x v="0"/>
    <x v="1"/>
    <x v="0"/>
    <n v="75077.100000000006"/>
  </r>
  <r>
    <s v="ORD01222"/>
    <d v="2026-02-01T00:00:00"/>
    <x v="15"/>
    <x v="4"/>
    <x v="2"/>
    <s v="Bangalore"/>
    <x v="1"/>
    <n v="132"/>
    <n v="65"/>
    <n v="58"/>
    <n v="139"/>
    <n v="50"/>
    <n v="442.14"/>
    <n v="8"/>
    <n v="0"/>
    <x v="0"/>
    <x v="2"/>
    <x v="0"/>
    <n v="61457.46"/>
  </r>
  <r>
    <s v="ORD01223"/>
    <d v="2026-05-14T00:00:00"/>
    <x v="10"/>
    <x v="4"/>
    <x v="3"/>
    <s v="Mumbai"/>
    <x v="0"/>
    <n v="180"/>
    <n v="125"/>
    <n v="26"/>
    <n v="279"/>
    <n v="97"/>
    <n v="564.87"/>
    <n v="3"/>
    <n v="0"/>
    <x v="0"/>
    <x v="2"/>
    <x v="1"/>
    <n v="157598.73000000001"/>
  </r>
  <r>
    <s v="ORD01224"/>
    <d v="2026-03-12T00:00:00"/>
    <x v="1"/>
    <x v="1"/>
    <x v="4"/>
    <s v="Bangalore"/>
    <x v="1"/>
    <n v="53"/>
    <n v="102"/>
    <n v="104"/>
    <n v="51"/>
    <n v="59"/>
    <n v="1294.46"/>
    <n v="2"/>
    <n v="4"/>
    <x v="1"/>
    <x v="1"/>
    <x v="3"/>
    <n v="66017.460000000006"/>
  </r>
  <r>
    <s v="ORD01225"/>
    <d v="2026-12-23T00:00:00"/>
    <x v="6"/>
    <x v="4"/>
    <x v="0"/>
    <s v="Kolkata"/>
    <x v="3"/>
    <n v="202"/>
    <n v="105"/>
    <n v="65"/>
    <n v="242"/>
    <n v="46"/>
    <n v="651.33000000000004"/>
    <n v="4"/>
    <n v="0"/>
    <x v="1"/>
    <x v="2"/>
    <x v="0"/>
    <n v="157621.86000000002"/>
  </r>
  <r>
    <s v="ORD01226"/>
    <d v="2026-07-08T00:00:00"/>
    <x v="8"/>
    <x v="3"/>
    <x v="4"/>
    <s v="Mumbai"/>
    <x v="0"/>
    <n v="190"/>
    <n v="24"/>
    <n v="41"/>
    <n v="173"/>
    <n v="59"/>
    <n v="2846.33"/>
    <n v="2"/>
    <n v="0"/>
    <x v="1"/>
    <x v="2"/>
    <x v="0"/>
    <n v="492415.08999999997"/>
  </r>
  <r>
    <s v="ORD01227"/>
    <d v="2026-07-18T00:00:00"/>
    <x v="15"/>
    <x v="4"/>
    <x v="3"/>
    <s v="Mumbai"/>
    <x v="0"/>
    <n v="78"/>
    <n v="88"/>
    <n v="15"/>
    <n v="151"/>
    <n v="85"/>
    <n v="471.98"/>
    <n v="4"/>
    <n v="0"/>
    <x v="1"/>
    <x v="1"/>
    <x v="0"/>
    <n v="71268.98"/>
  </r>
  <r>
    <s v="ORD01228"/>
    <d v="2026-11-05T00:00:00"/>
    <x v="1"/>
    <x v="1"/>
    <x v="1"/>
    <s v="Delhi"/>
    <x v="2"/>
    <n v="125"/>
    <n v="45"/>
    <n v="56"/>
    <n v="114"/>
    <n v="61"/>
    <n v="1272.08"/>
    <n v="7"/>
    <n v="0"/>
    <x v="1"/>
    <x v="1"/>
    <x v="0"/>
    <n v="145017.12"/>
  </r>
  <r>
    <s v="ORD01229"/>
    <d v="2026-12-12T00:00:00"/>
    <x v="10"/>
    <x v="4"/>
    <x v="2"/>
    <s v="Mumbai"/>
    <x v="0"/>
    <n v="68"/>
    <n v="25"/>
    <n v="64"/>
    <n v="29"/>
    <n v="96"/>
    <n v="552.80999999999995"/>
    <n v="8"/>
    <n v="5"/>
    <x v="1"/>
    <x v="0"/>
    <x v="1"/>
    <n v="16031.489999999998"/>
  </r>
  <r>
    <s v="ORD01230"/>
    <d v="2026-06-08T00:00:00"/>
    <x v="14"/>
    <x v="1"/>
    <x v="0"/>
    <s v="Kolkata"/>
    <x v="3"/>
    <n v="53"/>
    <n v="102"/>
    <n v="95"/>
    <n v="60"/>
    <n v="59"/>
    <n v="1621.39"/>
    <n v="8"/>
    <n v="0"/>
    <x v="1"/>
    <x v="1"/>
    <x v="0"/>
    <n v="97283.400000000009"/>
  </r>
  <r>
    <s v="ORD01231"/>
    <d v="2026-09-03T00:00:00"/>
    <x v="17"/>
    <x v="0"/>
    <x v="2"/>
    <s v="Delhi"/>
    <x v="2"/>
    <n v="92"/>
    <n v="83"/>
    <n v="107"/>
    <n v="68"/>
    <n v="69"/>
    <n v="1461.59"/>
    <n v="5"/>
    <n v="3"/>
    <x v="1"/>
    <x v="1"/>
    <x v="3"/>
    <n v="99388.12"/>
  </r>
  <r>
    <s v="ORD01232"/>
    <d v="2026-01-01T00:00:00"/>
    <x v="6"/>
    <x v="4"/>
    <x v="2"/>
    <s v="Bangalore"/>
    <x v="1"/>
    <n v="197"/>
    <n v="33"/>
    <n v="15"/>
    <n v="215"/>
    <n v="99"/>
    <n v="589.05999999999995"/>
    <n v="2"/>
    <n v="0"/>
    <x v="1"/>
    <x v="1"/>
    <x v="3"/>
    <n v="126647.9"/>
  </r>
  <r>
    <s v="ORD01233"/>
    <d v="2026-08-02T00:00:00"/>
    <x v="19"/>
    <x v="2"/>
    <x v="3"/>
    <s v="Mumbai"/>
    <x v="0"/>
    <n v="64"/>
    <n v="26"/>
    <n v="62"/>
    <n v="28"/>
    <n v="58"/>
    <n v="1543.73"/>
    <n v="5"/>
    <n v="6"/>
    <x v="1"/>
    <x v="0"/>
    <x v="0"/>
    <n v="43224.44"/>
  </r>
  <r>
    <s v="ORD01234"/>
    <d v="2026-11-22T00:00:00"/>
    <x v="16"/>
    <x v="0"/>
    <x v="4"/>
    <s v="Bangalore"/>
    <x v="1"/>
    <n v="117"/>
    <n v="38"/>
    <n v="48"/>
    <n v="107"/>
    <n v="74"/>
    <n v="1303.23"/>
    <n v="8"/>
    <n v="0"/>
    <x v="1"/>
    <x v="1"/>
    <x v="0"/>
    <n v="139445.61000000002"/>
  </r>
  <r>
    <s v="ORD01235"/>
    <d v="2026-12-26T00:00:00"/>
    <x v="3"/>
    <x v="0"/>
    <x v="2"/>
    <s v="Bangalore"/>
    <x v="1"/>
    <n v="68"/>
    <n v="31"/>
    <n v="107"/>
    <n v="0"/>
    <n v="60"/>
    <n v="891.94"/>
    <n v="6"/>
    <n v="5"/>
    <x v="1"/>
    <x v="0"/>
    <x v="0"/>
    <n v="0"/>
  </r>
  <r>
    <s v="ORD01236"/>
    <d v="2026-01-07T00:00:00"/>
    <x v="10"/>
    <x v="4"/>
    <x v="4"/>
    <s v="Mumbai"/>
    <x v="0"/>
    <n v="95"/>
    <n v="28"/>
    <n v="65"/>
    <n v="58"/>
    <n v="88"/>
    <n v="585.29"/>
    <n v="2"/>
    <n v="8"/>
    <x v="1"/>
    <x v="1"/>
    <x v="0"/>
    <n v="33946.82"/>
  </r>
  <r>
    <s v="ORD01237"/>
    <d v="2026-04-07T00:00:00"/>
    <x v="12"/>
    <x v="4"/>
    <x v="4"/>
    <s v="Delhi"/>
    <x v="2"/>
    <n v="112"/>
    <n v="112"/>
    <n v="76"/>
    <n v="148"/>
    <n v="57"/>
    <n v="530.19000000000005"/>
    <n v="2"/>
    <n v="0"/>
    <x v="1"/>
    <x v="2"/>
    <x v="3"/>
    <n v="78468.12000000001"/>
  </r>
  <r>
    <s v="ORD01238"/>
    <d v="2026-01-25T00:00:00"/>
    <x v="2"/>
    <x v="1"/>
    <x v="4"/>
    <s v="Bangalore"/>
    <x v="1"/>
    <n v="184"/>
    <n v="126"/>
    <n v="70"/>
    <n v="240"/>
    <n v="80"/>
    <n v="2617.0300000000002"/>
    <n v="5"/>
    <n v="0"/>
    <x v="1"/>
    <x v="2"/>
    <x v="2"/>
    <n v="628087.20000000007"/>
  </r>
  <r>
    <s v="ORD01239"/>
    <d v="2026-10-04T00:00:00"/>
    <x v="4"/>
    <x v="2"/>
    <x v="4"/>
    <s v="Delhi"/>
    <x v="2"/>
    <n v="156"/>
    <n v="125"/>
    <n v="75"/>
    <n v="206"/>
    <n v="79"/>
    <n v="746.22"/>
    <n v="7"/>
    <n v="0"/>
    <x v="1"/>
    <x v="2"/>
    <x v="2"/>
    <n v="153721.32"/>
  </r>
  <r>
    <s v="ORD01240"/>
    <d v="2026-12-11T00:00:00"/>
    <x v="14"/>
    <x v="1"/>
    <x v="0"/>
    <s v="Kolkata"/>
    <x v="3"/>
    <n v="84"/>
    <n v="94"/>
    <n v="66"/>
    <n v="112"/>
    <n v="68"/>
    <n v="1589.59"/>
    <n v="4"/>
    <n v="0"/>
    <x v="1"/>
    <x v="1"/>
    <x v="0"/>
    <n v="178034.08"/>
  </r>
  <r>
    <s v="ORD01241"/>
    <d v="2026-10-04T00:00:00"/>
    <x v="7"/>
    <x v="3"/>
    <x v="0"/>
    <s v="Kolkata"/>
    <x v="3"/>
    <n v="62"/>
    <n v="97"/>
    <n v="47"/>
    <n v="112"/>
    <n v="53"/>
    <n v="966.56"/>
    <n v="4"/>
    <n v="0"/>
    <x v="1"/>
    <x v="1"/>
    <x v="0"/>
    <n v="108254.72"/>
  </r>
  <r>
    <s v="ORD01242"/>
    <d v="2026-04-16T00:00:00"/>
    <x v="9"/>
    <x v="1"/>
    <x v="0"/>
    <s v="Mumbai"/>
    <x v="0"/>
    <n v="193"/>
    <n v="63"/>
    <n v="84"/>
    <n v="172"/>
    <n v="85"/>
    <n v="746.48"/>
    <n v="3"/>
    <n v="0"/>
    <x v="1"/>
    <x v="1"/>
    <x v="0"/>
    <n v="128394.56"/>
  </r>
  <r>
    <s v="ORD01243"/>
    <d v="2026-03-26T00:00:00"/>
    <x v="8"/>
    <x v="3"/>
    <x v="3"/>
    <s v="Bangalore"/>
    <x v="1"/>
    <n v="168"/>
    <n v="89"/>
    <n v="20"/>
    <n v="237"/>
    <n v="78"/>
    <n v="2578.14"/>
    <n v="2"/>
    <n v="0"/>
    <x v="1"/>
    <x v="2"/>
    <x v="0"/>
    <n v="611019.17999999993"/>
  </r>
  <r>
    <s v="ORD01244"/>
    <d v="2026-10-23T00:00:00"/>
    <x v="14"/>
    <x v="1"/>
    <x v="3"/>
    <s v="Bangalore"/>
    <x v="1"/>
    <n v="123"/>
    <n v="113"/>
    <n v="62"/>
    <n v="174"/>
    <n v="80"/>
    <n v="1739.82"/>
    <n v="6"/>
    <n v="0"/>
    <x v="1"/>
    <x v="1"/>
    <x v="0"/>
    <n v="302728.68"/>
  </r>
  <r>
    <s v="ORD01245"/>
    <d v="2026-09-16T00:00:00"/>
    <x v="19"/>
    <x v="2"/>
    <x v="4"/>
    <s v="Mumbai"/>
    <x v="0"/>
    <n v="203"/>
    <n v="102"/>
    <n v="73"/>
    <n v="232"/>
    <n v="54"/>
    <n v="1600.3"/>
    <n v="8"/>
    <n v="0"/>
    <x v="1"/>
    <x v="2"/>
    <x v="0"/>
    <n v="371269.6"/>
  </r>
  <r>
    <s v="ORD01246"/>
    <d v="2026-04-08T00:00:00"/>
    <x v="3"/>
    <x v="0"/>
    <x v="2"/>
    <s v="Bangalore"/>
    <x v="1"/>
    <n v="217"/>
    <n v="59"/>
    <n v="45"/>
    <n v="231"/>
    <n v="93"/>
    <n v="883.1"/>
    <n v="8"/>
    <n v="0"/>
    <x v="1"/>
    <x v="2"/>
    <x v="0"/>
    <n v="203996.1"/>
  </r>
  <r>
    <s v="ORD01247"/>
    <d v="2026-12-05T00:00:00"/>
    <x v="0"/>
    <x v="0"/>
    <x v="4"/>
    <s v="Delhi"/>
    <x v="2"/>
    <n v="70"/>
    <n v="46"/>
    <n v="38"/>
    <n v="78"/>
    <n v="97"/>
    <n v="1899.38"/>
    <n v="4"/>
    <n v="6"/>
    <x v="0"/>
    <x v="1"/>
    <x v="3"/>
    <n v="148151.64000000001"/>
  </r>
  <r>
    <s v="ORD01248"/>
    <d v="2026-11-11T00:00:00"/>
    <x v="8"/>
    <x v="3"/>
    <x v="1"/>
    <s v="Delhi"/>
    <x v="2"/>
    <n v="127"/>
    <n v="69"/>
    <n v="62"/>
    <n v="134"/>
    <n v="58"/>
    <n v="2690.12"/>
    <n v="6"/>
    <n v="0"/>
    <x v="1"/>
    <x v="2"/>
    <x v="0"/>
    <n v="360476.07999999996"/>
  </r>
  <r>
    <s v="ORD01249"/>
    <d v="2026-10-03T00:00:00"/>
    <x v="12"/>
    <x v="4"/>
    <x v="3"/>
    <s v="Bangalore"/>
    <x v="1"/>
    <n v="167"/>
    <n v="60"/>
    <n v="59"/>
    <n v="168"/>
    <n v="46"/>
    <n v="475.58"/>
    <n v="5"/>
    <n v="0"/>
    <x v="1"/>
    <x v="2"/>
    <x v="0"/>
    <n v="79897.440000000002"/>
  </r>
  <r>
    <s v="ORD01250"/>
    <d v="2026-05-10T00:00:00"/>
    <x v="3"/>
    <x v="0"/>
    <x v="1"/>
    <s v="Delhi"/>
    <x v="2"/>
    <n v="215"/>
    <n v="82"/>
    <n v="18"/>
    <n v="279"/>
    <n v="69"/>
    <n v="816.96"/>
    <n v="5"/>
    <n v="0"/>
    <x v="1"/>
    <x v="2"/>
    <x v="0"/>
    <n v="227931.84"/>
  </r>
  <r>
    <s v="ORD01251"/>
    <d v="2026-06-15T00:00:00"/>
    <x v="12"/>
    <x v="4"/>
    <x v="4"/>
    <s v="Mumbai"/>
    <x v="0"/>
    <n v="201"/>
    <n v="32"/>
    <n v="73"/>
    <n v="160"/>
    <n v="69"/>
    <n v="524.91"/>
    <n v="3"/>
    <n v="0"/>
    <x v="1"/>
    <x v="2"/>
    <x v="0"/>
    <n v="83985.599999999991"/>
  </r>
  <r>
    <s v="ORD01252"/>
    <d v="2026-04-03T00:00:00"/>
    <x v="19"/>
    <x v="2"/>
    <x v="2"/>
    <s v="Kolkata"/>
    <x v="3"/>
    <n v="64"/>
    <n v="21"/>
    <n v="102"/>
    <n v="0"/>
    <n v="53"/>
    <n v="1528.03"/>
    <n v="7"/>
    <n v="8"/>
    <x v="1"/>
    <x v="0"/>
    <x v="0"/>
    <n v="0"/>
  </r>
  <r>
    <s v="ORD01253"/>
    <d v="2026-08-20T00:00:00"/>
    <x v="5"/>
    <x v="3"/>
    <x v="1"/>
    <s v="Kolkata"/>
    <x v="3"/>
    <n v="177"/>
    <n v="103"/>
    <n v="107"/>
    <n v="173"/>
    <n v="48"/>
    <n v="1235.83"/>
    <n v="2"/>
    <n v="0"/>
    <x v="1"/>
    <x v="2"/>
    <x v="0"/>
    <n v="213798.59"/>
  </r>
  <r>
    <s v="ORD01254"/>
    <d v="2026-05-08T00:00:00"/>
    <x v="13"/>
    <x v="2"/>
    <x v="4"/>
    <s v="Delhi"/>
    <x v="2"/>
    <n v="193"/>
    <n v="62"/>
    <n v="69"/>
    <n v="186"/>
    <n v="52"/>
    <n v="1141.0999999999999"/>
    <n v="8"/>
    <n v="0"/>
    <x v="0"/>
    <x v="2"/>
    <x v="0"/>
    <n v="212244.59999999998"/>
  </r>
  <r>
    <s v="ORD01255"/>
    <d v="2026-08-16T00:00:00"/>
    <x v="3"/>
    <x v="0"/>
    <x v="2"/>
    <s v="Kolkata"/>
    <x v="3"/>
    <n v="51"/>
    <n v="58"/>
    <n v="38"/>
    <n v="71"/>
    <n v="59"/>
    <n v="871.21"/>
    <n v="7"/>
    <n v="0"/>
    <x v="1"/>
    <x v="1"/>
    <x v="0"/>
    <n v="61855.91"/>
  </r>
  <r>
    <s v="ORD01256"/>
    <d v="2026-01-11T00:00:00"/>
    <x v="0"/>
    <x v="0"/>
    <x v="2"/>
    <s v="Mumbai"/>
    <x v="0"/>
    <n v="73"/>
    <n v="114"/>
    <n v="92"/>
    <n v="95"/>
    <n v="81"/>
    <n v="1628.52"/>
    <n v="5"/>
    <n v="0"/>
    <x v="1"/>
    <x v="1"/>
    <x v="2"/>
    <n v="154709.4"/>
  </r>
  <r>
    <s v="ORD01257"/>
    <d v="2026-05-15T00:00:00"/>
    <x v="6"/>
    <x v="4"/>
    <x v="1"/>
    <s v="Bangalore"/>
    <x v="1"/>
    <n v="147"/>
    <n v="80"/>
    <n v="19"/>
    <n v="208"/>
    <n v="62"/>
    <n v="641.72"/>
    <n v="7"/>
    <n v="0"/>
    <x v="1"/>
    <x v="2"/>
    <x v="0"/>
    <n v="133477.76000000001"/>
  </r>
  <r>
    <s v="ORD01258"/>
    <d v="2026-10-07T00:00:00"/>
    <x v="19"/>
    <x v="2"/>
    <x v="3"/>
    <s v="Mumbai"/>
    <x v="0"/>
    <n v="75"/>
    <n v="35"/>
    <n v="18"/>
    <n v="92"/>
    <n v="55"/>
    <n v="1375.91"/>
    <n v="3"/>
    <n v="0"/>
    <x v="1"/>
    <x v="1"/>
    <x v="0"/>
    <n v="126583.72"/>
  </r>
  <r>
    <s v="ORD01259"/>
    <d v="2026-03-10T00:00:00"/>
    <x v="4"/>
    <x v="2"/>
    <x v="3"/>
    <s v="Bangalore"/>
    <x v="1"/>
    <n v="208"/>
    <n v="43"/>
    <n v="89"/>
    <n v="162"/>
    <n v="71"/>
    <n v="738.54"/>
    <n v="2"/>
    <n v="0"/>
    <x v="1"/>
    <x v="2"/>
    <x v="0"/>
    <n v="119643.48"/>
  </r>
  <r>
    <s v="ORD01260"/>
    <d v="2026-03-12T00:00:00"/>
    <x v="8"/>
    <x v="3"/>
    <x v="0"/>
    <s v="Bangalore"/>
    <x v="1"/>
    <n v="170"/>
    <n v="120"/>
    <n v="16"/>
    <n v="274"/>
    <n v="52"/>
    <n v="2813.76"/>
    <n v="4"/>
    <n v="0"/>
    <x v="1"/>
    <x v="2"/>
    <x v="0"/>
    <n v="770970.24000000011"/>
  </r>
  <r>
    <s v="ORD01261"/>
    <d v="2026-11-18T00:00:00"/>
    <x v="13"/>
    <x v="2"/>
    <x v="3"/>
    <s v="Mumbai"/>
    <x v="0"/>
    <n v="88"/>
    <n v="104"/>
    <n v="75"/>
    <n v="117"/>
    <n v="75"/>
    <n v="1095.32"/>
    <n v="2"/>
    <n v="0"/>
    <x v="1"/>
    <x v="1"/>
    <x v="0"/>
    <n v="128152.43999999999"/>
  </r>
  <r>
    <s v="ORD01262"/>
    <d v="2026-07-31T00:00:00"/>
    <x v="12"/>
    <x v="4"/>
    <x v="2"/>
    <s v="Mumbai"/>
    <x v="0"/>
    <n v="170"/>
    <n v="38"/>
    <n v="23"/>
    <n v="185"/>
    <n v="75"/>
    <n v="501.34"/>
    <n v="2"/>
    <n v="0"/>
    <x v="1"/>
    <x v="2"/>
    <x v="0"/>
    <n v="92747.9"/>
  </r>
  <r>
    <s v="ORD01263"/>
    <d v="2026-07-11T00:00:00"/>
    <x v="13"/>
    <x v="2"/>
    <x v="0"/>
    <s v="Kolkata"/>
    <x v="3"/>
    <n v="55"/>
    <n v="116"/>
    <n v="70"/>
    <n v="101"/>
    <n v="47"/>
    <n v="1181.55"/>
    <n v="8"/>
    <n v="0"/>
    <x v="1"/>
    <x v="1"/>
    <x v="0"/>
    <n v="119336.54999999999"/>
  </r>
  <r>
    <s v="ORD01264"/>
    <d v="2026-09-24T00:00:00"/>
    <x v="7"/>
    <x v="3"/>
    <x v="1"/>
    <s v="Mumbai"/>
    <x v="0"/>
    <n v="72"/>
    <n v="81"/>
    <n v="93"/>
    <n v="60"/>
    <n v="95"/>
    <n v="1001.91"/>
    <n v="5"/>
    <n v="3"/>
    <x v="1"/>
    <x v="0"/>
    <x v="0"/>
    <n v="60114.6"/>
  </r>
  <r>
    <s v="ORD01265"/>
    <d v="2026-11-25T00:00:00"/>
    <x v="19"/>
    <x v="2"/>
    <x v="4"/>
    <s v="Kolkata"/>
    <x v="3"/>
    <n v="193"/>
    <n v="23"/>
    <n v="68"/>
    <n v="148"/>
    <n v="49"/>
    <n v="1518.51"/>
    <n v="7"/>
    <n v="0"/>
    <x v="1"/>
    <x v="2"/>
    <x v="0"/>
    <n v="224739.48"/>
  </r>
  <r>
    <s v="ORD01266"/>
    <d v="2026-08-29T00:00:00"/>
    <x v="16"/>
    <x v="0"/>
    <x v="0"/>
    <s v="Kolkata"/>
    <x v="3"/>
    <n v="111"/>
    <n v="79"/>
    <n v="98"/>
    <n v="92"/>
    <n v="96"/>
    <n v="1316.8"/>
    <n v="4"/>
    <n v="6"/>
    <x v="1"/>
    <x v="1"/>
    <x v="1"/>
    <n v="121145.59999999999"/>
  </r>
  <r>
    <s v="ORD01267"/>
    <d v="2026-02-02T00:00:00"/>
    <x v="10"/>
    <x v="4"/>
    <x v="3"/>
    <s v="Mumbai"/>
    <x v="0"/>
    <n v="160"/>
    <n v="63"/>
    <n v="26"/>
    <n v="197"/>
    <n v="89"/>
    <n v="598.76"/>
    <n v="4"/>
    <n v="0"/>
    <x v="1"/>
    <x v="2"/>
    <x v="0"/>
    <n v="117955.72"/>
  </r>
  <r>
    <s v="ORD01268"/>
    <d v="2026-06-28T00:00:00"/>
    <x v="4"/>
    <x v="2"/>
    <x v="0"/>
    <s v="Delhi"/>
    <x v="2"/>
    <n v="192"/>
    <n v="85"/>
    <n v="44"/>
    <n v="233"/>
    <n v="65"/>
    <n v="868.29"/>
    <n v="4"/>
    <n v="0"/>
    <x v="1"/>
    <x v="2"/>
    <x v="0"/>
    <n v="202311.56999999998"/>
  </r>
  <r>
    <s v="ORD01269"/>
    <d v="2026-03-13T00:00:00"/>
    <x v="13"/>
    <x v="2"/>
    <x v="0"/>
    <s v="Kolkata"/>
    <x v="3"/>
    <n v="111"/>
    <n v="53"/>
    <n v="91"/>
    <n v="73"/>
    <n v="72"/>
    <n v="1137.33"/>
    <n v="3"/>
    <n v="0"/>
    <x v="1"/>
    <x v="1"/>
    <x v="1"/>
    <n v="83025.09"/>
  </r>
  <r>
    <s v="ORD01270"/>
    <d v="2026-11-23T00:00:00"/>
    <x v="13"/>
    <x v="2"/>
    <x v="0"/>
    <s v="Delhi"/>
    <x v="2"/>
    <n v="92"/>
    <n v="122"/>
    <n v="74"/>
    <n v="140"/>
    <n v="82"/>
    <n v="1104.42"/>
    <n v="2"/>
    <n v="0"/>
    <x v="1"/>
    <x v="1"/>
    <x v="1"/>
    <n v="154618.80000000002"/>
  </r>
  <r>
    <s v="ORD01271"/>
    <d v="2026-08-24T00:00:00"/>
    <x v="1"/>
    <x v="1"/>
    <x v="1"/>
    <s v="Delhi"/>
    <x v="2"/>
    <n v="86"/>
    <n v="102"/>
    <n v="78"/>
    <n v="110"/>
    <n v="68"/>
    <n v="1233.8599999999999"/>
    <n v="5"/>
    <n v="0"/>
    <x v="1"/>
    <x v="1"/>
    <x v="3"/>
    <n v="135724.59999999998"/>
  </r>
  <r>
    <s v="ORD01272"/>
    <d v="2026-02-04T00:00:00"/>
    <x v="6"/>
    <x v="4"/>
    <x v="2"/>
    <s v="Delhi"/>
    <x v="2"/>
    <n v="195"/>
    <n v="29"/>
    <n v="47"/>
    <n v="177"/>
    <n v="52"/>
    <n v="710.65"/>
    <n v="8"/>
    <n v="0"/>
    <x v="1"/>
    <x v="2"/>
    <x v="0"/>
    <n v="125785.05"/>
  </r>
  <r>
    <s v="ORD01273"/>
    <d v="2026-11-18T00:00:00"/>
    <x v="14"/>
    <x v="1"/>
    <x v="3"/>
    <s v="Kolkata"/>
    <x v="3"/>
    <n v="180"/>
    <n v="94"/>
    <n v="50"/>
    <n v="224"/>
    <n v="77"/>
    <n v="1621.59"/>
    <n v="3"/>
    <n v="0"/>
    <x v="1"/>
    <x v="2"/>
    <x v="3"/>
    <n v="363236.16"/>
  </r>
  <r>
    <s v="ORD01274"/>
    <d v="2026-01-22T00:00:00"/>
    <x v="8"/>
    <x v="3"/>
    <x v="3"/>
    <s v="Kolkata"/>
    <x v="3"/>
    <n v="139"/>
    <n v="60"/>
    <n v="30"/>
    <n v="169"/>
    <n v="53"/>
    <n v="2621.42"/>
    <n v="4"/>
    <n v="0"/>
    <x v="1"/>
    <x v="2"/>
    <x v="3"/>
    <n v="443019.98000000004"/>
  </r>
  <r>
    <s v="ORD01275"/>
    <d v="2026-01-31T00:00:00"/>
    <x v="16"/>
    <x v="0"/>
    <x v="4"/>
    <s v="Delhi"/>
    <x v="2"/>
    <n v="72"/>
    <n v="120"/>
    <n v="27"/>
    <n v="165"/>
    <n v="92"/>
    <n v="1244.81"/>
    <n v="3"/>
    <n v="0"/>
    <x v="0"/>
    <x v="1"/>
    <x v="0"/>
    <n v="205393.65"/>
  </r>
  <r>
    <s v="ORD01276"/>
    <d v="2026-10-10T00:00:00"/>
    <x v="0"/>
    <x v="0"/>
    <x v="0"/>
    <s v="Delhi"/>
    <x v="2"/>
    <n v="112"/>
    <n v="75"/>
    <n v="45"/>
    <n v="142"/>
    <n v="59"/>
    <n v="1699.36"/>
    <n v="6"/>
    <n v="0"/>
    <x v="1"/>
    <x v="2"/>
    <x v="0"/>
    <n v="241309.12"/>
  </r>
  <r>
    <s v="ORD01277"/>
    <d v="2026-10-05T00:00:00"/>
    <x v="13"/>
    <x v="2"/>
    <x v="2"/>
    <s v="Bangalore"/>
    <x v="1"/>
    <n v="181"/>
    <n v="94"/>
    <n v="55"/>
    <n v="220"/>
    <n v="93"/>
    <n v="1038.3699999999999"/>
    <n v="8"/>
    <n v="0"/>
    <x v="1"/>
    <x v="2"/>
    <x v="0"/>
    <n v="228441.39999999997"/>
  </r>
  <r>
    <s v="ORD01278"/>
    <d v="2026-04-24T00:00:00"/>
    <x v="12"/>
    <x v="4"/>
    <x v="2"/>
    <s v="Bangalore"/>
    <x v="1"/>
    <n v="186"/>
    <n v="114"/>
    <n v="93"/>
    <n v="207"/>
    <n v="62"/>
    <n v="530.96"/>
    <n v="2"/>
    <n v="0"/>
    <x v="0"/>
    <x v="2"/>
    <x v="1"/>
    <n v="109908.72"/>
  </r>
  <r>
    <s v="ORD01279"/>
    <d v="2026-11-04T00:00:00"/>
    <x v="2"/>
    <x v="1"/>
    <x v="1"/>
    <s v="Mumbai"/>
    <x v="0"/>
    <n v="84"/>
    <n v="48"/>
    <n v="50"/>
    <n v="82"/>
    <n v="51"/>
    <n v="2161.52"/>
    <n v="7"/>
    <n v="0"/>
    <x v="1"/>
    <x v="1"/>
    <x v="0"/>
    <n v="177244.63999999998"/>
  </r>
  <r>
    <s v="ORD01280"/>
    <d v="2026-11-11T00:00:00"/>
    <x v="7"/>
    <x v="3"/>
    <x v="2"/>
    <s v="Mumbai"/>
    <x v="0"/>
    <n v="65"/>
    <n v="128"/>
    <n v="25"/>
    <n v="168"/>
    <n v="71"/>
    <n v="1042.49"/>
    <n v="5"/>
    <n v="0"/>
    <x v="0"/>
    <x v="2"/>
    <x v="1"/>
    <n v="175138.32"/>
  </r>
  <r>
    <s v="ORD01281"/>
    <d v="2026-09-17T00:00:00"/>
    <x v="8"/>
    <x v="3"/>
    <x v="1"/>
    <s v="Delhi"/>
    <x v="2"/>
    <n v="92"/>
    <n v="106"/>
    <n v="77"/>
    <n v="121"/>
    <n v="72"/>
    <n v="2962.17"/>
    <n v="6"/>
    <n v="0"/>
    <x v="1"/>
    <x v="1"/>
    <x v="0"/>
    <n v="358422.57"/>
  </r>
  <r>
    <s v="ORD01282"/>
    <d v="2026-07-26T00:00:00"/>
    <x v="10"/>
    <x v="4"/>
    <x v="3"/>
    <s v="Mumbai"/>
    <x v="0"/>
    <n v="135"/>
    <n v="38"/>
    <n v="105"/>
    <n v="68"/>
    <n v="49"/>
    <n v="612.11"/>
    <n v="7"/>
    <n v="0"/>
    <x v="1"/>
    <x v="1"/>
    <x v="0"/>
    <n v="41623.480000000003"/>
  </r>
  <r>
    <s v="ORD01283"/>
    <d v="2026-10-16T00:00:00"/>
    <x v="1"/>
    <x v="1"/>
    <x v="0"/>
    <s v="Delhi"/>
    <x v="2"/>
    <n v="143"/>
    <n v="55"/>
    <n v="46"/>
    <n v="152"/>
    <n v="90"/>
    <n v="1245.58"/>
    <n v="6"/>
    <n v="0"/>
    <x v="0"/>
    <x v="1"/>
    <x v="0"/>
    <n v="189328.15999999997"/>
  </r>
  <r>
    <s v="ORD01284"/>
    <d v="2026-08-06T00:00:00"/>
    <x v="9"/>
    <x v="1"/>
    <x v="3"/>
    <s v="Bangalore"/>
    <x v="1"/>
    <n v="139"/>
    <n v="93"/>
    <n v="59"/>
    <n v="173"/>
    <n v="68"/>
    <n v="683.34"/>
    <n v="5"/>
    <n v="0"/>
    <x v="1"/>
    <x v="2"/>
    <x v="0"/>
    <n v="118217.82"/>
  </r>
  <r>
    <s v="ORD01285"/>
    <d v="2026-09-22T00:00:00"/>
    <x v="3"/>
    <x v="0"/>
    <x v="0"/>
    <s v="Delhi"/>
    <x v="2"/>
    <n v="98"/>
    <n v="54"/>
    <n v="61"/>
    <n v="91"/>
    <n v="61"/>
    <n v="896.14"/>
    <n v="3"/>
    <n v="0"/>
    <x v="1"/>
    <x v="1"/>
    <x v="0"/>
    <n v="81548.740000000005"/>
  </r>
  <r>
    <s v="ORD01286"/>
    <d v="2026-01-26T00:00:00"/>
    <x v="15"/>
    <x v="4"/>
    <x v="4"/>
    <s v="Kolkata"/>
    <x v="3"/>
    <n v="133"/>
    <n v="26"/>
    <n v="44"/>
    <n v="115"/>
    <n v="50"/>
    <n v="468.64"/>
    <n v="3"/>
    <n v="0"/>
    <x v="0"/>
    <x v="2"/>
    <x v="2"/>
    <n v="53893.599999999999"/>
  </r>
  <r>
    <s v="ORD01287"/>
    <d v="2026-07-29T00:00:00"/>
    <x v="18"/>
    <x v="2"/>
    <x v="1"/>
    <s v="Delhi"/>
    <x v="2"/>
    <n v="155"/>
    <n v="39"/>
    <n v="52"/>
    <n v="142"/>
    <n v="54"/>
    <n v="3429.44"/>
    <n v="4"/>
    <n v="0"/>
    <x v="1"/>
    <x v="2"/>
    <x v="0"/>
    <n v="486980.48"/>
  </r>
  <r>
    <s v="ORD01288"/>
    <d v="2026-08-29T00:00:00"/>
    <x v="13"/>
    <x v="2"/>
    <x v="1"/>
    <s v="Bangalore"/>
    <x v="1"/>
    <n v="99"/>
    <n v="31"/>
    <n v="94"/>
    <n v="36"/>
    <n v="48"/>
    <n v="1115.97"/>
    <n v="8"/>
    <n v="3"/>
    <x v="1"/>
    <x v="1"/>
    <x v="0"/>
    <n v="40174.92"/>
  </r>
  <r>
    <s v="ORD01289"/>
    <d v="2026-10-11T00:00:00"/>
    <x v="11"/>
    <x v="3"/>
    <x v="2"/>
    <s v="Bangalore"/>
    <x v="1"/>
    <n v="90"/>
    <n v="97"/>
    <n v="106"/>
    <n v="81"/>
    <n v="49"/>
    <n v="2009.65"/>
    <n v="5"/>
    <n v="1"/>
    <x v="1"/>
    <x v="1"/>
    <x v="2"/>
    <n v="162781.65"/>
  </r>
  <r>
    <s v="ORD01290"/>
    <d v="2026-09-14T00:00:00"/>
    <x v="13"/>
    <x v="2"/>
    <x v="2"/>
    <s v="Mumbai"/>
    <x v="0"/>
    <n v="102"/>
    <n v="120"/>
    <n v="16"/>
    <n v="206"/>
    <n v="65"/>
    <n v="1178.19"/>
    <n v="8"/>
    <n v="0"/>
    <x v="1"/>
    <x v="2"/>
    <x v="1"/>
    <n v="242707.14"/>
  </r>
  <r>
    <s v="ORD01291"/>
    <d v="2026-05-23T00:00:00"/>
    <x v="12"/>
    <x v="4"/>
    <x v="3"/>
    <s v="Mumbai"/>
    <x v="0"/>
    <n v="82"/>
    <n v="26"/>
    <n v="75"/>
    <n v="33"/>
    <n v="54"/>
    <n v="534.65"/>
    <n v="3"/>
    <n v="6"/>
    <x v="1"/>
    <x v="0"/>
    <x v="0"/>
    <n v="17643.45"/>
  </r>
  <r>
    <s v="ORD01292"/>
    <d v="2026-03-11T00:00:00"/>
    <x v="11"/>
    <x v="3"/>
    <x v="3"/>
    <s v="Mumbai"/>
    <x v="0"/>
    <n v="68"/>
    <n v="111"/>
    <n v="46"/>
    <n v="133"/>
    <n v="55"/>
    <n v="2261.66"/>
    <n v="8"/>
    <n v="0"/>
    <x v="0"/>
    <x v="2"/>
    <x v="3"/>
    <n v="300800.77999999997"/>
  </r>
  <r>
    <s v="ORD01293"/>
    <d v="2026-11-28T00:00:00"/>
    <x v="16"/>
    <x v="0"/>
    <x v="3"/>
    <s v="Kolkata"/>
    <x v="3"/>
    <n v="213"/>
    <n v="116"/>
    <n v="65"/>
    <n v="264"/>
    <n v="80"/>
    <n v="1209.95"/>
    <n v="5"/>
    <n v="0"/>
    <x v="1"/>
    <x v="2"/>
    <x v="0"/>
    <n v="319426.8"/>
  </r>
  <r>
    <s v="ORD01294"/>
    <d v="2026-02-07T00:00:00"/>
    <x v="6"/>
    <x v="4"/>
    <x v="1"/>
    <s v="Kolkata"/>
    <x v="3"/>
    <n v="104"/>
    <n v="87"/>
    <n v="67"/>
    <n v="124"/>
    <n v="55"/>
    <n v="650.41"/>
    <n v="5"/>
    <n v="0"/>
    <x v="0"/>
    <x v="2"/>
    <x v="0"/>
    <n v="80650.84"/>
  </r>
  <r>
    <s v="ORD01295"/>
    <d v="2026-01-09T00:00:00"/>
    <x v="6"/>
    <x v="4"/>
    <x v="0"/>
    <s v="Bangalore"/>
    <x v="1"/>
    <n v="194"/>
    <n v="72"/>
    <n v="63"/>
    <n v="203"/>
    <n v="69"/>
    <n v="623.94000000000005"/>
    <n v="2"/>
    <n v="0"/>
    <x v="1"/>
    <x v="2"/>
    <x v="0"/>
    <n v="126659.82"/>
  </r>
  <r>
    <s v="ORD01296"/>
    <d v="2026-04-27T00:00:00"/>
    <x v="2"/>
    <x v="1"/>
    <x v="2"/>
    <s v="Kolkata"/>
    <x v="3"/>
    <n v="191"/>
    <n v="121"/>
    <n v="110"/>
    <n v="202"/>
    <n v="53"/>
    <n v="2471.5500000000002"/>
    <n v="4"/>
    <n v="0"/>
    <x v="1"/>
    <x v="2"/>
    <x v="0"/>
    <n v="499253.10000000003"/>
  </r>
  <r>
    <s v="ORD01297"/>
    <d v="2026-05-06T00:00:00"/>
    <x v="5"/>
    <x v="3"/>
    <x v="3"/>
    <s v="Kolkata"/>
    <x v="3"/>
    <n v="159"/>
    <n v="111"/>
    <n v="74"/>
    <n v="196"/>
    <n v="68"/>
    <n v="1399.42"/>
    <n v="5"/>
    <n v="0"/>
    <x v="0"/>
    <x v="2"/>
    <x v="3"/>
    <n v="274286.32"/>
  </r>
  <r>
    <s v="ORD01298"/>
    <d v="2026-09-20T00:00:00"/>
    <x v="9"/>
    <x v="1"/>
    <x v="0"/>
    <s v="Delhi"/>
    <x v="2"/>
    <n v="53"/>
    <n v="64"/>
    <n v="74"/>
    <n v="43"/>
    <n v="69"/>
    <n v="754.19"/>
    <n v="8"/>
    <n v="5"/>
    <x v="1"/>
    <x v="0"/>
    <x v="0"/>
    <n v="32430.170000000002"/>
  </r>
  <r>
    <s v="ORD01299"/>
    <d v="2026-03-16T00:00:00"/>
    <x v="10"/>
    <x v="4"/>
    <x v="4"/>
    <s v="Kolkata"/>
    <x v="3"/>
    <n v="57"/>
    <n v="65"/>
    <n v="57"/>
    <n v="65"/>
    <n v="57"/>
    <n v="577.24"/>
    <n v="6"/>
    <n v="0"/>
    <x v="0"/>
    <x v="1"/>
    <x v="3"/>
    <n v="37520.6"/>
  </r>
  <r>
    <s v="ORD01300"/>
    <d v="2026-08-24T00:00:00"/>
    <x v="6"/>
    <x v="4"/>
    <x v="4"/>
    <s v="Bangalore"/>
    <x v="1"/>
    <n v="170"/>
    <n v="47"/>
    <n v="95"/>
    <n v="122"/>
    <n v="78"/>
    <n v="633.26"/>
    <n v="5"/>
    <n v="0"/>
    <x v="1"/>
    <x v="1"/>
    <x v="2"/>
    <n v="77257.72"/>
  </r>
  <r>
    <s v="ORD01301"/>
    <d v="2026-09-21T00:00:00"/>
    <x v="4"/>
    <x v="2"/>
    <x v="0"/>
    <s v="Delhi"/>
    <x v="2"/>
    <n v="53"/>
    <n v="122"/>
    <n v="81"/>
    <n v="94"/>
    <n v="82"/>
    <n v="739.73"/>
    <n v="5"/>
    <n v="0"/>
    <x v="1"/>
    <x v="1"/>
    <x v="0"/>
    <n v="69534.62"/>
  </r>
  <r>
    <s v="ORD01302"/>
    <d v="2026-04-11T00:00:00"/>
    <x v="0"/>
    <x v="0"/>
    <x v="2"/>
    <s v="Kolkata"/>
    <x v="3"/>
    <n v="124"/>
    <n v="104"/>
    <n v="106"/>
    <n v="122"/>
    <n v="73"/>
    <n v="1883.32"/>
    <n v="7"/>
    <n v="0"/>
    <x v="1"/>
    <x v="1"/>
    <x v="0"/>
    <n v="229765.03999999998"/>
  </r>
  <r>
    <s v="ORD01303"/>
    <d v="2026-08-02T00:00:00"/>
    <x v="3"/>
    <x v="0"/>
    <x v="0"/>
    <s v="Kolkata"/>
    <x v="3"/>
    <n v="96"/>
    <n v="25"/>
    <n v="20"/>
    <n v="101"/>
    <n v="64"/>
    <n v="812.18"/>
    <n v="3"/>
    <n v="0"/>
    <x v="1"/>
    <x v="1"/>
    <x v="0"/>
    <n v="82030.179999999993"/>
  </r>
  <r>
    <s v="ORD01304"/>
    <d v="2026-04-23T00:00:00"/>
    <x v="2"/>
    <x v="1"/>
    <x v="1"/>
    <s v="Delhi"/>
    <x v="2"/>
    <n v="93"/>
    <n v="20"/>
    <n v="23"/>
    <n v="90"/>
    <n v="55"/>
    <n v="2572.2399999999998"/>
    <n v="4"/>
    <n v="0"/>
    <x v="1"/>
    <x v="1"/>
    <x v="2"/>
    <n v="231501.59999999998"/>
  </r>
  <r>
    <s v="ORD01305"/>
    <d v="2026-05-13T00:00:00"/>
    <x v="11"/>
    <x v="3"/>
    <x v="3"/>
    <s v="Bangalore"/>
    <x v="1"/>
    <n v="60"/>
    <n v="105"/>
    <n v="73"/>
    <n v="92"/>
    <n v="96"/>
    <n v="2375.7399999999998"/>
    <n v="6"/>
    <n v="6"/>
    <x v="1"/>
    <x v="1"/>
    <x v="1"/>
    <n v="218568.08"/>
  </r>
  <r>
    <s v="ORD01306"/>
    <d v="2026-05-06T00:00:00"/>
    <x v="6"/>
    <x v="4"/>
    <x v="0"/>
    <s v="Mumbai"/>
    <x v="0"/>
    <n v="210"/>
    <n v="107"/>
    <n v="106"/>
    <n v="211"/>
    <n v="82"/>
    <n v="652.61"/>
    <n v="4"/>
    <n v="0"/>
    <x v="1"/>
    <x v="2"/>
    <x v="2"/>
    <n v="137700.71"/>
  </r>
  <r>
    <s v="ORD01307"/>
    <d v="2026-10-30T00:00:00"/>
    <x v="9"/>
    <x v="1"/>
    <x v="3"/>
    <s v="Kolkata"/>
    <x v="3"/>
    <n v="109"/>
    <n v="62"/>
    <n v="80"/>
    <n v="91"/>
    <n v="64"/>
    <n v="699.84"/>
    <n v="7"/>
    <n v="0"/>
    <x v="1"/>
    <x v="1"/>
    <x v="0"/>
    <n v="63685.440000000002"/>
  </r>
  <r>
    <s v="ORD01308"/>
    <d v="2026-09-16T00:00:00"/>
    <x v="4"/>
    <x v="2"/>
    <x v="4"/>
    <s v="Mumbai"/>
    <x v="0"/>
    <n v="182"/>
    <n v="48"/>
    <n v="43"/>
    <n v="187"/>
    <n v="60"/>
    <n v="794.3"/>
    <n v="3"/>
    <n v="0"/>
    <x v="1"/>
    <x v="2"/>
    <x v="2"/>
    <n v="148534.1"/>
  </r>
  <r>
    <s v="ORD01309"/>
    <d v="2026-02-03T00:00:00"/>
    <x v="19"/>
    <x v="2"/>
    <x v="3"/>
    <s v="Kolkata"/>
    <x v="3"/>
    <n v="185"/>
    <n v="62"/>
    <n v="53"/>
    <n v="194"/>
    <n v="50"/>
    <n v="1422.75"/>
    <n v="6"/>
    <n v="0"/>
    <x v="1"/>
    <x v="2"/>
    <x v="3"/>
    <n v="276013.5"/>
  </r>
  <r>
    <s v="ORD01310"/>
    <d v="2026-07-22T00:00:00"/>
    <x v="18"/>
    <x v="2"/>
    <x v="3"/>
    <s v="Kolkata"/>
    <x v="3"/>
    <n v="150"/>
    <n v="39"/>
    <n v="68"/>
    <n v="121"/>
    <n v="75"/>
    <n v="3506.15"/>
    <n v="7"/>
    <n v="2"/>
    <x v="0"/>
    <x v="1"/>
    <x v="3"/>
    <n v="424244.15"/>
  </r>
  <r>
    <s v="ORD01311"/>
    <d v="2026-07-12T00:00:00"/>
    <x v="15"/>
    <x v="4"/>
    <x v="3"/>
    <s v="Kolkata"/>
    <x v="3"/>
    <n v="100"/>
    <n v="56"/>
    <n v="46"/>
    <n v="110"/>
    <n v="84"/>
    <n v="477.41"/>
    <n v="4"/>
    <n v="0"/>
    <x v="0"/>
    <x v="1"/>
    <x v="0"/>
    <n v="52515.100000000006"/>
  </r>
  <r>
    <s v="ORD01312"/>
    <d v="2026-01-17T00:00:00"/>
    <x v="0"/>
    <x v="0"/>
    <x v="4"/>
    <s v="Bangalore"/>
    <x v="1"/>
    <n v="42"/>
    <n v="39"/>
    <n v="84"/>
    <n v="0"/>
    <n v="72"/>
    <n v="1797.35"/>
    <n v="6"/>
    <n v="2"/>
    <x v="1"/>
    <x v="0"/>
    <x v="0"/>
    <n v="0"/>
  </r>
  <r>
    <s v="ORD01313"/>
    <d v="2026-10-26T00:00:00"/>
    <x v="14"/>
    <x v="1"/>
    <x v="0"/>
    <s v="Delhi"/>
    <x v="2"/>
    <n v="210"/>
    <n v="93"/>
    <n v="26"/>
    <n v="277"/>
    <n v="47"/>
    <n v="1492.87"/>
    <n v="4"/>
    <n v="0"/>
    <x v="1"/>
    <x v="2"/>
    <x v="0"/>
    <n v="413524.99"/>
  </r>
  <r>
    <s v="ORD01314"/>
    <d v="2026-11-12T00:00:00"/>
    <x v="0"/>
    <x v="0"/>
    <x v="1"/>
    <s v="Bangalore"/>
    <x v="1"/>
    <n v="89"/>
    <n v="121"/>
    <n v="36"/>
    <n v="174"/>
    <n v="70"/>
    <n v="1916.71"/>
    <n v="5"/>
    <n v="0"/>
    <x v="0"/>
    <x v="2"/>
    <x v="0"/>
    <n v="333507.53999999998"/>
  </r>
  <r>
    <s v="ORD01315"/>
    <d v="2026-04-25T00:00:00"/>
    <x v="12"/>
    <x v="4"/>
    <x v="1"/>
    <s v="Delhi"/>
    <x v="2"/>
    <n v="75"/>
    <n v="28"/>
    <n v="74"/>
    <n v="29"/>
    <n v="83"/>
    <n v="535.24"/>
    <n v="3"/>
    <n v="2"/>
    <x v="1"/>
    <x v="0"/>
    <x v="0"/>
    <n v="15521.960000000001"/>
  </r>
  <r>
    <s v="ORD01316"/>
    <d v="2026-08-03T00:00:00"/>
    <x v="18"/>
    <x v="2"/>
    <x v="3"/>
    <s v="Delhi"/>
    <x v="2"/>
    <n v="210"/>
    <n v="40"/>
    <n v="103"/>
    <n v="147"/>
    <n v="75"/>
    <n v="3398.57"/>
    <n v="8"/>
    <n v="0"/>
    <x v="0"/>
    <x v="1"/>
    <x v="1"/>
    <n v="499589.79000000004"/>
  </r>
  <r>
    <s v="ORD01317"/>
    <d v="2026-03-17T00:00:00"/>
    <x v="14"/>
    <x v="1"/>
    <x v="0"/>
    <s v="Mumbai"/>
    <x v="0"/>
    <n v="101"/>
    <n v="79"/>
    <n v="34"/>
    <n v="146"/>
    <n v="90"/>
    <n v="1489.67"/>
    <n v="2"/>
    <n v="0"/>
    <x v="0"/>
    <x v="1"/>
    <x v="1"/>
    <n v="217491.82"/>
  </r>
  <r>
    <s v="ORD01318"/>
    <d v="2026-11-26T00:00:00"/>
    <x v="3"/>
    <x v="0"/>
    <x v="2"/>
    <s v="Mumbai"/>
    <x v="0"/>
    <n v="58"/>
    <n v="56"/>
    <n v="57"/>
    <n v="57"/>
    <n v="89"/>
    <n v="867.59"/>
    <n v="3"/>
    <n v="7"/>
    <x v="1"/>
    <x v="0"/>
    <x v="0"/>
    <n v="49452.630000000005"/>
  </r>
  <r>
    <s v="ORD01319"/>
    <d v="2026-05-10T00:00:00"/>
    <x v="6"/>
    <x v="4"/>
    <x v="2"/>
    <s v="Kolkata"/>
    <x v="3"/>
    <n v="207"/>
    <n v="24"/>
    <n v="61"/>
    <n v="170"/>
    <n v="55"/>
    <n v="635.79999999999995"/>
    <n v="4"/>
    <n v="0"/>
    <x v="0"/>
    <x v="2"/>
    <x v="0"/>
    <n v="108085.99999999999"/>
  </r>
  <r>
    <s v="ORD01320"/>
    <d v="2026-12-29T00:00:00"/>
    <x v="11"/>
    <x v="3"/>
    <x v="3"/>
    <s v="Kolkata"/>
    <x v="3"/>
    <n v="208"/>
    <n v="70"/>
    <n v="105"/>
    <n v="173"/>
    <n v="100"/>
    <n v="2122.38"/>
    <n v="3"/>
    <n v="0"/>
    <x v="1"/>
    <x v="1"/>
    <x v="2"/>
    <n v="367171.74"/>
  </r>
  <r>
    <s v="ORD01321"/>
    <d v="2026-01-22T00:00:00"/>
    <x v="5"/>
    <x v="3"/>
    <x v="1"/>
    <s v="Mumbai"/>
    <x v="0"/>
    <n v="41"/>
    <n v="120"/>
    <n v="36"/>
    <n v="125"/>
    <n v="61"/>
    <n v="1278.1099999999999"/>
    <n v="5"/>
    <n v="0"/>
    <x v="1"/>
    <x v="1"/>
    <x v="0"/>
    <n v="159763.75"/>
  </r>
  <r>
    <s v="ORD01322"/>
    <d v="2026-11-11T00:00:00"/>
    <x v="1"/>
    <x v="1"/>
    <x v="1"/>
    <s v="Kolkata"/>
    <x v="3"/>
    <n v="111"/>
    <n v="45"/>
    <n v="107"/>
    <n v="49"/>
    <n v="56"/>
    <n v="1278.6500000000001"/>
    <n v="8"/>
    <n v="6"/>
    <x v="0"/>
    <x v="1"/>
    <x v="2"/>
    <n v="62653.850000000006"/>
  </r>
  <r>
    <s v="ORD01323"/>
    <d v="2026-09-16T00:00:00"/>
    <x v="4"/>
    <x v="2"/>
    <x v="4"/>
    <s v="Bangalore"/>
    <x v="1"/>
    <n v="163"/>
    <n v="118"/>
    <n v="79"/>
    <n v="202"/>
    <n v="57"/>
    <n v="753.77"/>
    <n v="4"/>
    <n v="0"/>
    <x v="1"/>
    <x v="2"/>
    <x v="1"/>
    <n v="152261.54"/>
  </r>
  <r>
    <s v="ORD01324"/>
    <d v="2026-08-22T00:00:00"/>
    <x v="19"/>
    <x v="2"/>
    <x v="1"/>
    <s v="Mumbai"/>
    <x v="0"/>
    <n v="151"/>
    <n v="118"/>
    <n v="108"/>
    <n v="161"/>
    <n v="96"/>
    <n v="1361.83"/>
    <n v="7"/>
    <n v="0"/>
    <x v="1"/>
    <x v="1"/>
    <x v="0"/>
    <n v="219254.62999999998"/>
  </r>
  <r>
    <s v="ORD01325"/>
    <d v="2026-11-08T00:00:00"/>
    <x v="16"/>
    <x v="0"/>
    <x v="0"/>
    <s v="Bangalore"/>
    <x v="1"/>
    <n v="144"/>
    <n v="95"/>
    <n v="95"/>
    <n v="144"/>
    <n v="95"/>
    <n v="1095.07"/>
    <n v="8"/>
    <n v="0"/>
    <x v="1"/>
    <x v="1"/>
    <x v="3"/>
    <n v="157690.07999999999"/>
  </r>
  <r>
    <s v="ORD01326"/>
    <d v="2026-05-11T00:00:00"/>
    <x v="15"/>
    <x v="4"/>
    <x v="0"/>
    <s v="Mumbai"/>
    <x v="0"/>
    <n v="155"/>
    <n v="53"/>
    <n v="53"/>
    <n v="155"/>
    <n v="86"/>
    <n v="481.69"/>
    <n v="8"/>
    <n v="0"/>
    <x v="1"/>
    <x v="1"/>
    <x v="1"/>
    <n v="74661.95"/>
  </r>
  <r>
    <s v="ORD01327"/>
    <d v="2026-05-21T00:00:00"/>
    <x v="5"/>
    <x v="3"/>
    <x v="4"/>
    <s v="Mumbai"/>
    <x v="0"/>
    <n v="50"/>
    <n v="48"/>
    <n v="72"/>
    <n v="26"/>
    <n v="60"/>
    <n v="1273.21"/>
    <n v="5"/>
    <n v="2"/>
    <x v="0"/>
    <x v="0"/>
    <x v="1"/>
    <n v="33103.46"/>
  </r>
  <r>
    <s v="ORD01328"/>
    <d v="2026-03-01T00:00:00"/>
    <x v="10"/>
    <x v="4"/>
    <x v="4"/>
    <s v="Delhi"/>
    <x v="2"/>
    <n v="193"/>
    <n v="104"/>
    <n v="21"/>
    <n v="276"/>
    <n v="76"/>
    <n v="658.66"/>
    <n v="3"/>
    <n v="0"/>
    <x v="1"/>
    <x v="2"/>
    <x v="0"/>
    <n v="181790.16"/>
  </r>
  <r>
    <s v="ORD01329"/>
    <d v="2026-09-03T00:00:00"/>
    <x v="2"/>
    <x v="1"/>
    <x v="1"/>
    <s v="Delhi"/>
    <x v="2"/>
    <n v="85"/>
    <n v="89"/>
    <n v="98"/>
    <n v="76"/>
    <n v="57"/>
    <n v="2166.8200000000002"/>
    <n v="5"/>
    <n v="0"/>
    <x v="0"/>
    <x v="1"/>
    <x v="0"/>
    <n v="164678.32"/>
  </r>
  <r>
    <s v="ORD01330"/>
    <d v="2026-03-25T00:00:00"/>
    <x v="0"/>
    <x v="0"/>
    <x v="2"/>
    <s v="Delhi"/>
    <x v="2"/>
    <n v="83"/>
    <n v="104"/>
    <n v="52"/>
    <n v="135"/>
    <n v="87"/>
    <n v="1712.55"/>
    <n v="3"/>
    <n v="0"/>
    <x v="1"/>
    <x v="1"/>
    <x v="0"/>
    <n v="231194.25"/>
  </r>
  <r>
    <s v="ORD01331"/>
    <d v="2026-01-02T00:00:00"/>
    <x v="18"/>
    <x v="2"/>
    <x v="0"/>
    <s v="Delhi"/>
    <x v="2"/>
    <n v="178"/>
    <n v="108"/>
    <n v="85"/>
    <n v="201"/>
    <n v="85"/>
    <n v="2923.9"/>
    <n v="3"/>
    <n v="0"/>
    <x v="1"/>
    <x v="2"/>
    <x v="1"/>
    <n v="587703.9"/>
  </r>
  <r>
    <s v="ORD01332"/>
    <d v="2026-09-19T00:00:00"/>
    <x v="9"/>
    <x v="1"/>
    <x v="0"/>
    <s v="Mumbai"/>
    <x v="0"/>
    <n v="69"/>
    <n v="117"/>
    <n v="72"/>
    <n v="114"/>
    <n v="66"/>
    <n v="647"/>
    <n v="8"/>
    <n v="0"/>
    <x v="1"/>
    <x v="1"/>
    <x v="0"/>
    <n v="73758"/>
  </r>
  <r>
    <s v="ORD01333"/>
    <d v="2026-01-10T00:00:00"/>
    <x v="3"/>
    <x v="0"/>
    <x v="1"/>
    <s v="Delhi"/>
    <x v="2"/>
    <n v="61"/>
    <n v="65"/>
    <n v="26"/>
    <n v="100"/>
    <n v="67"/>
    <n v="841.75"/>
    <n v="8"/>
    <n v="0"/>
    <x v="1"/>
    <x v="1"/>
    <x v="3"/>
    <n v="84175"/>
  </r>
  <r>
    <s v="ORD01334"/>
    <d v="2026-11-20T00:00:00"/>
    <x v="12"/>
    <x v="4"/>
    <x v="4"/>
    <s v="Mumbai"/>
    <x v="0"/>
    <n v="77"/>
    <n v="63"/>
    <n v="35"/>
    <n v="105"/>
    <n v="78"/>
    <n v="531.52"/>
    <n v="6"/>
    <n v="0"/>
    <x v="1"/>
    <x v="1"/>
    <x v="3"/>
    <n v="55809.599999999999"/>
  </r>
  <r>
    <s v="ORD01335"/>
    <d v="2026-09-05T00:00:00"/>
    <x v="18"/>
    <x v="2"/>
    <x v="0"/>
    <s v="Kolkata"/>
    <x v="3"/>
    <n v="150"/>
    <n v="33"/>
    <n v="80"/>
    <n v="103"/>
    <n v="94"/>
    <n v="3399.56"/>
    <n v="3"/>
    <n v="0"/>
    <x v="0"/>
    <x v="1"/>
    <x v="0"/>
    <n v="350154.68"/>
  </r>
  <r>
    <s v="ORD01336"/>
    <d v="2026-08-20T00:00:00"/>
    <x v="12"/>
    <x v="4"/>
    <x v="2"/>
    <s v="Kolkata"/>
    <x v="3"/>
    <n v="182"/>
    <n v="118"/>
    <n v="73"/>
    <n v="227"/>
    <n v="69"/>
    <n v="482.22"/>
    <n v="4"/>
    <n v="0"/>
    <x v="1"/>
    <x v="2"/>
    <x v="0"/>
    <n v="109463.94"/>
  </r>
  <r>
    <s v="ORD01337"/>
    <d v="2026-08-26T00:00:00"/>
    <x v="9"/>
    <x v="1"/>
    <x v="1"/>
    <s v="Delhi"/>
    <x v="2"/>
    <n v="44"/>
    <n v="105"/>
    <n v="62"/>
    <n v="87"/>
    <n v="86"/>
    <n v="677.42"/>
    <n v="7"/>
    <n v="0"/>
    <x v="1"/>
    <x v="1"/>
    <x v="3"/>
    <n v="58935.539999999994"/>
  </r>
  <r>
    <s v="ORD01338"/>
    <d v="2026-11-16T00:00:00"/>
    <x v="17"/>
    <x v="0"/>
    <x v="4"/>
    <s v="Bangalore"/>
    <x v="1"/>
    <n v="191"/>
    <n v="37"/>
    <n v="75"/>
    <n v="153"/>
    <n v="76"/>
    <n v="1415"/>
    <n v="6"/>
    <n v="0"/>
    <x v="1"/>
    <x v="1"/>
    <x v="0"/>
    <n v="216495"/>
  </r>
  <r>
    <s v="ORD01339"/>
    <d v="2026-03-12T00:00:00"/>
    <x v="16"/>
    <x v="0"/>
    <x v="2"/>
    <s v="Delhi"/>
    <x v="2"/>
    <n v="177"/>
    <n v="125"/>
    <n v="69"/>
    <n v="233"/>
    <n v="63"/>
    <n v="1089.3499999999999"/>
    <n v="2"/>
    <n v="0"/>
    <x v="0"/>
    <x v="2"/>
    <x v="0"/>
    <n v="253818.55"/>
  </r>
  <r>
    <s v="ORD01340"/>
    <d v="2026-06-03T00:00:00"/>
    <x v="19"/>
    <x v="2"/>
    <x v="2"/>
    <s v="Delhi"/>
    <x v="2"/>
    <n v="127"/>
    <n v="128"/>
    <n v="67"/>
    <n v="188"/>
    <n v="49"/>
    <n v="1642.54"/>
    <n v="4"/>
    <n v="0"/>
    <x v="0"/>
    <x v="2"/>
    <x v="0"/>
    <n v="308797.52"/>
  </r>
  <r>
    <s v="ORD01341"/>
    <d v="2026-07-05T00:00:00"/>
    <x v="8"/>
    <x v="3"/>
    <x v="4"/>
    <s v="Delhi"/>
    <x v="2"/>
    <n v="123"/>
    <n v="43"/>
    <n v="106"/>
    <n v="60"/>
    <n v="50"/>
    <n v="3006.92"/>
    <n v="6"/>
    <n v="0"/>
    <x v="1"/>
    <x v="1"/>
    <x v="1"/>
    <n v="180415.2"/>
  </r>
  <r>
    <s v="ORD01342"/>
    <d v="2026-06-09T00:00:00"/>
    <x v="0"/>
    <x v="0"/>
    <x v="0"/>
    <s v="Delhi"/>
    <x v="2"/>
    <n v="121"/>
    <n v="35"/>
    <n v="38"/>
    <n v="118"/>
    <n v="81"/>
    <n v="1696.43"/>
    <n v="8"/>
    <n v="0"/>
    <x v="0"/>
    <x v="1"/>
    <x v="0"/>
    <n v="200178.74000000002"/>
  </r>
  <r>
    <s v="ORD01343"/>
    <d v="2026-08-04T00:00:00"/>
    <x v="12"/>
    <x v="4"/>
    <x v="1"/>
    <s v="Delhi"/>
    <x v="2"/>
    <n v="181"/>
    <n v="104"/>
    <n v="53"/>
    <n v="232"/>
    <n v="51"/>
    <n v="539.53"/>
    <n v="8"/>
    <n v="0"/>
    <x v="1"/>
    <x v="2"/>
    <x v="0"/>
    <n v="125170.95999999999"/>
  </r>
  <r>
    <s v="ORD01344"/>
    <d v="2026-02-24T00:00:00"/>
    <x v="16"/>
    <x v="0"/>
    <x v="0"/>
    <s v="Bangalore"/>
    <x v="1"/>
    <n v="75"/>
    <n v="28"/>
    <n v="27"/>
    <n v="76"/>
    <n v="82"/>
    <n v="1080.96"/>
    <n v="5"/>
    <n v="6"/>
    <x v="0"/>
    <x v="1"/>
    <x v="0"/>
    <n v="82152.960000000006"/>
  </r>
  <r>
    <s v="ORD01345"/>
    <d v="2026-01-09T00:00:00"/>
    <x v="13"/>
    <x v="2"/>
    <x v="1"/>
    <s v="Mumbai"/>
    <x v="0"/>
    <n v="60"/>
    <n v="62"/>
    <n v="36"/>
    <n v="86"/>
    <n v="56"/>
    <n v="1132.67"/>
    <n v="6"/>
    <n v="0"/>
    <x v="1"/>
    <x v="1"/>
    <x v="0"/>
    <n v="97409.62000000001"/>
  </r>
  <r>
    <s v="ORD01346"/>
    <d v="2026-09-10T00:00:00"/>
    <x v="11"/>
    <x v="3"/>
    <x v="2"/>
    <s v="Mumbai"/>
    <x v="0"/>
    <n v="214"/>
    <n v="85"/>
    <n v="45"/>
    <n v="254"/>
    <n v="71"/>
    <n v="1982.33"/>
    <n v="9"/>
    <n v="0"/>
    <x v="0"/>
    <x v="2"/>
    <x v="1"/>
    <n v="503511.82"/>
  </r>
  <r>
    <s v="ORD01347"/>
    <d v="2026-10-30T00:00:00"/>
    <x v="15"/>
    <x v="4"/>
    <x v="4"/>
    <s v="Kolkata"/>
    <x v="3"/>
    <n v="94"/>
    <n v="98"/>
    <n v="100"/>
    <n v="92"/>
    <n v="69"/>
    <n v="422.32"/>
    <n v="6"/>
    <n v="0"/>
    <x v="1"/>
    <x v="1"/>
    <x v="0"/>
    <n v="38853.440000000002"/>
  </r>
  <r>
    <s v="ORD01348"/>
    <d v="2026-02-28T00:00:00"/>
    <x v="5"/>
    <x v="3"/>
    <x v="0"/>
    <s v="Mumbai"/>
    <x v="0"/>
    <n v="197"/>
    <n v="129"/>
    <n v="30"/>
    <n v="296"/>
    <n v="90"/>
    <n v="1279.26"/>
    <n v="7"/>
    <n v="0"/>
    <x v="1"/>
    <x v="2"/>
    <x v="0"/>
    <n v="378660.96"/>
  </r>
  <r>
    <s v="ORD01349"/>
    <d v="2026-04-29T00:00:00"/>
    <x v="11"/>
    <x v="3"/>
    <x v="0"/>
    <s v="Mumbai"/>
    <x v="0"/>
    <n v="187"/>
    <n v="43"/>
    <n v="97"/>
    <n v="133"/>
    <n v="82"/>
    <n v="2032.79"/>
    <n v="7"/>
    <n v="0"/>
    <x v="1"/>
    <x v="1"/>
    <x v="2"/>
    <n v="270361.07"/>
  </r>
  <r>
    <s v="ORD01350"/>
    <d v="2026-12-23T00:00:00"/>
    <x v="9"/>
    <x v="1"/>
    <x v="4"/>
    <s v="Kolkata"/>
    <x v="3"/>
    <n v="74"/>
    <n v="47"/>
    <n v="50"/>
    <n v="71"/>
    <n v="52"/>
    <n v="710.44"/>
    <n v="7"/>
    <n v="0"/>
    <x v="1"/>
    <x v="1"/>
    <x v="0"/>
    <n v="50441.240000000005"/>
  </r>
  <r>
    <s v="ORD01351"/>
    <d v="2026-07-30T00:00:00"/>
    <x v="3"/>
    <x v="0"/>
    <x v="4"/>
    <s v="Delhi"/>
    <x v="2"/>
    <n v="92"/>
    <n v="77"/>
    <n v="33"/>
    <n v="136"/>
    <n v="54"/>
    <n v="940.38"/>
    <n v="8"/>
    <n v="0"/>
    <x v="0"/>
    <x v="2"/>
    <x v="0"/>
    <n v="127891.68"/>
  </r>
  <r>
    <s v="ORD01352"/>
    <d v="2026-05-05T00:00:00"/>
    <x v="5"/>
    <x v="3"/>
    <x v="3"/>
    <s v="Mumbai"/>
    <x v="0"/>
    <n v="202"/>
    <n v="38"/>
    <n v="41"/>
    <n v="199"/>
    <n v="69"/>
    <n v="1261.83"/>
    <n v="8"/>
    <n v="0"/>
    <x v="1"/>
    <x v="2"/>
    <x v="3"/>
    <n v="251104.16999999998"/>
  </r>
  <r>
    <s v="ORD01353"/>
    <d v="2026-08-23T00:00:00"/>
    <x v="7"/>
    <x v="3"/>
    <x v="0"/>
    <s v="Kolkata"/>
    <x v="3"/>
    <n v="52"/>
    <n v="52"/>
    <n v="15"/>
    <n v="89"/>
    <n v="72"/>
    <n v="992.72"/>
    <n v="2"/>
    <n v="0"/>
    <x v="1"/>
    <x v="1"/>
    <x v="1"/>
    <n v="88352.08"/>
  </r>
  <r>
    <s v="ORD01354"/>
    <d v="2026-09-29T00:00:00"/>
    <x v="6"/>
    <x v="4"/>
    <x v="2"/>
    <s v="Kolkata"/>
    <x v="3"/>
    <n v="68"/>
    <n v="56"/>
    <n v="33"/>
    <n v="91"/>
    <n v="63"/>
    <n v="621.30999999999995"/>
    <n v="5"/>
    <n v="0"/>
    <x v="1"/>
    <x v="1"/>
    <x v="0"/>
    <n v="56539.209999999992"/>
  </r>
  <r>
    <s v="ORD01355"/>
    <d v="2026-05-19T00:00:00"/>
    <x v="3"/>
    <x v="0"/>
    <x v="0"/>
    <s v="Delhi"/>
    <x v="2"/>
    <n v="204"/>
    <n v="48"/>
    <n v="72"/>
    <n v="180"/>
    <n v="57"/>
    <n v="933.92"/>
    <n v="4"/>
    <n v="0"/>
    <x v="1"/>
    <x v="2"/>
    <x v="3"/>
    <n v="168105.60000000001"/>
  </r>
  <r>
    <s v="ORD01356"/>
    <d v="2026-07-09T00:00:00"/>
    <x v="2"/>
    <x v="1"/>
    <x v="2"/>
    <s v="Kolkata"/>
    <x v="3"/>
    <n v="74"/>
    <n v="22"/>
    <n v="45"/>
    <n v="51"/>
    <n v="86"/>
    <n v="2393.23"/>
    <n v="3"/>
    <n v="3"/>
    <x v="1"/>
    <x v="0"/>
    <x v="0"/>
    <n v="122054.73"/>
  </r>
  <r>
    <s v="ORD01357"/>
    <d v="2026-05-04T00:00:00"/>
    <x v="6"/>
    <x v="4"/>
    <x v="4"/>
    <s v="Delhi"/>
    <x v="2"/>
    <n v="208"/>
    <n v="86"/>
    <n v="54"/>
    <n v="240"/>
    <n v="92"/>
    <n v="637.48"/>
    <n v="2"/>
    <n v="0"/>
    <x v="1"/>
    <x v="2"/>
    <x v="1"/>
    <n v="152995.20000000001"/>
  </r>
  <r>
    <s v="ORD01358"/>
    <d v="2026-10-11T00:00:00"/>
    <x v="4"/>
    <x v="2"/>
    <x v="2"/>
    <s v="Mumbai"/>
    <x v="0"/>
    <n v="200"/>
    <n v="83"/>
    <n v="82"/>
    <n v="201"/>
    <n v="45"/>
    <n v="743.86"/>
    <n v="2"/>
    <n v="0"/>
    <x v="1"/>
    <x v="2"/>
    <x v="2"/>
    <n v="149515.86000000002"/>
  </r>
  <r>
    <s v="ORD01359"/>
    <d v="2026-05-20T00:00:00"/>
    <x v="5"/>
    <x v="3"/>
    <x v="4"/>
    <s v="Kolkata"/>
    <x v="3"/>
    <n v="89"/>
    <n v="43"/>
    <n v="28"/>
    <n v="104"/>
    <n v="91"/>
    <n v="1249.6500000000001"/>
    <n v="8"/>
    <n v="0"/>
    <x v="1"/>
    <x v="1"/>
    <x v="2"/>
    <n v="129963.6"/>
  </r>
  <r>
    <s v="ORD01360"/>
    <d v="2026-05-04T00:00:00"/>
    <x v="15"/>
    <x v="4"/>
    <x v="3"/>
    <s v="Delhi"/>
    <x v="2"/>
    <n v="64"/>
    <n v="68"/>
    <n v="75"/>
    <n v="57"/>
    <n v="84"/>
    <n v="422.66"/>
    <n v="3"/>
    <n v="6"/>
    <x v="1"/>
    <x v="1"/>
    <x v="0"/>
    <n v="24091.620000000003"/>
  </r>
  <r>
    <s v="ORD01361"/>
    <d v="2026-01-23T00:00:00"/>
    <x v="6"/>
    <x v="4"/>
    <x v="3"/>
    <s v="Mumbai"/>
    <x v="0"/>
    <n v="150"/>
    <n v="91"/>
    <n v="17"/>
    <n v="224"/>
    <n v="89"/>
    <n v="594.91"/>
    <n v="6"/>
    <n v="0"/>
    <x v="1"/>
    <x v="2"/>
    <x v="0"/>
    <n v="133259.84"/>
  </r>
  <r>
    <s v="ORD01362"/>
    <d v="2026-01-06T00:00:00"/>
    <x v="2"/>
    <x v="1"/>
    <x v="3"/>
    <s v="Bangalore"/>
    <x v="1"/>
    <n v="66"/>
    <n v="107"/>
    <n v="85"/>
    <n v="88"/>
    <n v="73"/>
    <n v="2504.85"/>
    <n v="7"/>
    <n v="0"/>
    <x v="0"/>
    <x v="1"/>
    <x v="0"/>
    <n v="220426.8"/>
  </r>
  <r>
    <s v="ORD01363"/>
    <d v="2026-05-09T00:00:00"/>
    <x v="10"/>
    <x v="4"/>
    <x v="4"/>
    <s v="Delhi"/>
    <x v="2"/>
    <n v="204"/>
    <n v="95"/>
    <n v="72"/>
    <n v="227"/>
    <n v="58"/>
    <n v="551.22"/>
    <n v="3"/>
    <n v="0"/>
    <x v="1"/>
    <x v="2"/>
    <x v="0"/>
    <n v="125126.94"/>
  </r>
  <r>
    <s v="ORD01364"/>
    <d v="2026-09-08T00:00:00"/>
    <x v="15"/>
    <x v="4"/>
    <x v="4"/>
    <s v="Kolkata"/>
    <x v="3"/>
    <n v="216"/>
    <n v="55"/>
    <n v="84"/>
    <n v="187"/>
    <n v="55"/>
    <n v="464.16"/>
    <n v="7"/>
    <n v="0"/>
    <x v="1"/>
    <x v="2"/>
    <x v="3"/>
    <n v="86797.92"/>
  </r>
  <r>
    <s v="ORD01365"/>
    <d v="2026-08-20T00:00:00"/>
    <x v="2"/>
    <x v="1"/>
    <x v="0"/>
    <s v="Bangalore"/>
    <x v="1"/>
    <n v="62"/>
    <n v="84"/>
    <n v="89"/>
    <n v="57"/>
    <n v="59"/>
    <n v="2603.91"/>
    <n v="4"/>
    <n v="6"/>
    <x v="0"/>
    <x v="1"/>
    <x v="3"/>
    <n v="148422.87"/>
  </r>
  <r>
    <s v="ORD01366"/>
    <d v="2026-01-24T00:00:00"/>
    <x v="15"/>
    <x v="4"/>
    <x v="4"/>
    <s v="Bangalore"/>
    <x v="1"/>
    <n v="200"/>
    <n v="93"/>
    <n v="17"/>
    <n v="276"/>
    <n v="87"/>
    <n v="429.77"/>
    <n v="3"/>
    <n v="0"/>
    <x v="1"/>
    <x v="2"/>
    <x v="0"/>
    <n v="118616.51999999999"/>
  </r>
  <r>
    <s v="ORD01367"/>
    <d v="2026-04-15T00:00:00"/>
    <x v="1"/>
    <x v="1"/>
    <x v="2"/>
    <s v="Mumbai"/>
    <x v="0"/>
    <n v="73"/>
    <n v="57"/>
    <n v="73"/>
    <n v="57"/>
    <n v="48"/>
    <n v="1342.03"/>
    <n v="3"/>
    <n v="0"/>
    <x v="1"/>
    <x v="1"/>
    <x v="0"/>
    <n v="76495.709999999992"/>
  </r>
  <r>
    <s v="ORD01368"/>
    <d v="2026-12-17T00:00:00"/>
    <x v="4"/>
    <x v="2"/>
    <x v="3"/>
    <s v="Mumbai"/>
    <x v="0"/>
    <n v="216"/>
    <n v="28"/>
    <n v="35"/>
    <n v="209"/>
    <n v="75"/>
    <n v="780.49"/>
    <n v="3"/>
    <n v="0"/>
    <x v="1"/>
    <x v="2"/>
    <x v="0"/>
    <n v="163122.41"/>
  </r>
  <r>
    <s v="ORD01369"/>
    <d v="2026-09-24T00:00:00"/>
    <x v="8"/>
    <x v="3"/>
    <x v="4"/>
    <s v="Mumbai"/>
    <x v="0"/>
    <n v="94"/>
    <n v="29"/>
    <n v="34"/>
    <n v="89"/>
    <n v="71"/>
    <n v="2580.73"/>
    <n v="3"/>
    <n v="0"/>
    <x v="1"/>
    <x v="1"/>
    <x v="0"/>
    <n v="229684.97"/>
  </r>
  <r>
    <s v="ORD01370"/>
    <d v="2026-08-16T00:00:00"/>
    <x v="6"/>
    <x v="4"/>
    <x v="3"/>
    <s v="Mumbai"/>
    <x v="0"/>
    <n v="192"/>
    <n v="88"/>
    <n v="99"/>
    <n v="181"/>
    <n v="81"/>
    <n v="613.03"/>
    <n v="5"/>
    <n v="0"/>
    <x v="1"/>
    <x v="2"/>
    <x v="0"/>
    <n v="110958.43"/>
  </r>
  <r>
    <s v="ORD01371"/>
    <d v="2026-03-01T00:00:00"/>
    <x v="4"/>
    <x v="2"/>
    <x v="0"/>
    <s v="Mumbai"/>
    <x v="0"/>
    <n v="45"/>
    <n v="45"/>
    <n v="66"/>
    <n v="24"/>
    <n v="63"/>
    <n v="780.08"/>
    <n v="6"/>
    <n v="2"/>
    <x v="1"/>
    <x v="0"/>
    <x v="1"/>
    <n v="18721.920000000002"/>
  </r>
  <r>
    <s v="ORD01372"/>
    <d v="2026-04-03T00:00:00"/>
    <x v="9"/>
    <x v="1"/>
    <x v="2"/>
    <s v="Bangalore"/>
    <x v="1"/>
    <n v="183"/>
    <n v="81"/>
    <n v="65"/>
    <n v="199"/>
    <n v="86"/>
    <n v="711.29"/>
    <n v="7"/>
    <n v="0"/>
    <x v="1"/>
    <x v="2"/>
    <x v="0"/>
    <n v="141546.71"/>
  </r>
  <r>
    <s v="ORD01373"/>
    <d v="2026-10-03T00:00:00"/>
    <x v="15"/>
    <x v="4"/>
    <x v="2"/>
    <s v="Mumbai"/>
    <x v="0"/>
    <n v="52"/>
    <n v="85"/>
    <n v="92"/>
    <n v="45"/>
    <n v="79"/>
    <n v="484.6"/>
    <n v="3"/>
    <n v="2"/>
    <x v="1"/>
    <x v="0"/>
    <x v="0"/>
    <n v="21807"/>
  </r>
  <r>
    <s v="ORD01374"/>
    <d v="2026-04-23T00:00:00"/>
    <x v="16"/>
    <x v="0"/>
    <x v="0"/>
    <s v="Delhi"/>
    <x v="2"/>
    <n v="180"/>
    <n v="37"/>
    <n v="37"/>
    <n v="180"/>
    <n v="47"/>
    <n v="1182.6500000000001"/>
    <n v="8"/>
    <n v="0"/>
    <x v="1"/>
    <x v="2"/>
    <x v="0"/>
    <n v="212877.00000000003"/>
  </r>
  <r>
    <s v="ORD01375"/>
    <d v="2026-05-22T00:00:00"/>
    <x v="17"/>
    <x v="0"/>
    <x v="1"/>
    <s v="Kolkata"/>
    <x v="3"/>
    <n v="58"/>
    <n v="74"/>
    <n v="107"/>
    <n v="25"/>
    <n v="85"/>
    <n v="1413.08"/>
    <n v="7"/>
    <n v="8"/>
    <x v="1"/>
    <x v="0"/>
    <x v="0"/>
    <n v="35327"/>
  </r>
  <r>
    <s v="ORD01376"/>
    <d v="2026-11-23T00:00:00"/>
    <x v="18"/>
    <x v="2"/>
    <x v="4"/>
    <s v="Bangalore"/>
    <x v="1"/>
    <n v="46"/>
    <n v="119"/>
    <n v="100"/>
    <n v="65"/>
    <n v="89"/>
    <n v="2895.49"/>
    <n v="8"/>
    <n v="2"/>
    <x v="1"/>
    <x v="1"/>
    <x v="0"/>
    <n v="188206.84999999998"/>
  </r>
  <r>
    <s v="ORD01377"/>
    <d v="2026-11-19T00:00:00"/>
    <x v="12"/>
    <x v="4"/>
    <x v="4"/>
    <s v="Mumbai"/>
    <x v="0"/>
    <n v="163"/>
    <n v="123"/>
    <n v="27"/>
    <n v="259"/>
    <n v="73"/>
    <n v="528.36"/>
    <n v="6"/>
    <n v="0"/>
    <x v="1"/>
    <x v="2"/>
    <x v="0"/>
    <n v="136845.24"/>
  </r>
  <r>
    <s v="ORD01378"/>
    <d v="2026-05-14T00:00:00"/>
    <x v="12"/>
    <x v="4"/>
    <x v="2"/>
    <s v="Delhi"/>
    <x v="2"/>
    <n v="120"/>
    <n v="68"/>
    <n v="101"/>
    <n v="87"/>
    <n v="52"/>
    <n v="529.47"/>
    <n v="6"/>
    <n v="0"/>
    <x v="1"/>
    <x v="1"/>
    <x v="2"/>
    <n v="46063.89"/>
  </r>
  <r>
    <s v="ORD01379"/>
    <d v="2026-03-19T00:00:00"/>
    <x v="9"/>
    <x v="1"/>
    <x v="1"/>
    <s v="Mumbai"/>
    <x v="0"/>
    <n v="193"/>
    <n v="105"/>
    <n v="88"/>
    <n v="210"/>
    <n v="79"/>
    <n v="696.75"/>
    <n v="5"/>
    <n v="0"/>
    <x v="1"/>
    <x v="2"/>
    <x v="2"/>
    <n v="146317.5"/>
  </r>
  <r>
    <s v="ORD01380"/>
    <d v="2026-01-02T00:00:00"/>
    <x v="14"/>
    <x v="1"/>
    <x v="1"/>
    <s v="Bangalore"/>
    <x v="1"/>
    <n v="120"/>
    <n v="68"/>
    <n v="75"/>
    <n v="113"/>
    <n v="47"/>
    <n v="1602.29"/>
    <n v="5"/>
    <n v="0"/>
    <x v="0"/>
    <x v="2"/>
    <x v="0"/>
    <n v="181058.77"/>
  </r>
  <r>
    <s v="ORD01381"/>
    <d v="2026-10-16T00:00:00"/>
    <x v="13"/>
    <x v="2"/>
    <x v="3"/>
    <s v="Delhi"/>
    <x v="2"/>
    <n v="202"/>
    <n v="63"/>
    <n v="26"/>
    <n v="239"/>
    <n v="68"/>
    <n v="1149.26"/>
    <n v="4"/>
    <n v="0"/>
    <x v="1"/>
    <x v="2"/>
    <x v="0"/>
    <n v="274673.14"/>
  </r>
  <r>
    <s v="ORD01382"/>
    <d v="2026-10-23T00:00:00"/>
    <x v="17"/>
    <x v="0"/>
    <x v="3"/>
    <s v="Mumbai"/>
    <x v="0"/>
    <n v="108"/>
    <n v="85"/>
    <n v="44"/>
    <n v="149"/>
    <n v="65"/>
    <n v="1363.48"/>
    <n v="2"/>
    <n v="0"/>
    <x v="1"/>
    <x v="2"/>
    <x v="1"/>
    <n v="203158.52"/>
  </r>
  <r>
    <s v="ORD01383"/>
    <d v="2026-08-24T00:00:00"/>
    <x v="8"/>
    <x v="3"/>
    <x v="1"/>
    <s v="Bangalore"/>
    <x v="1"/>
    <n v="200"/>
    <n v="80"/>
    <n v="21"/>
    <n v="259"/>
    <n v="71"/>
    <n v="2636.43"/>
    <n v="5"/>
    <n v="0"/>
    <x v="1"/>
    <x v="2"/>
    <x v="0"/>
    <n v="682835.37"/>
  </r>
  <r>
    <s v="ORD01384"/>
    <d v="2026-09-28T00:00:00"/>
    <x v="6"/>
    <x v="4"/>
    <x v="4"/>
    <s v="Mumbai"/>
    <x v="0"/>
    <n v="72"/>
    <n v="28"/>
    <n v="22"/>
    <n v="78"/>
    <n v="62"/>
    <n v="689.26"/>
    <n v="2"/>
    <n v="0"/>
    <x v="1"/>
    <x v="1"/>
    <x v="0"/>
    <n v="53762.28"/>
  </r>
  <r>
    <s v="ORD01385"/>
    <d v="2026-04-07T00:00:00"/>
    <x v="0"/>
    <x v="0"/>
    <x v="0"/>
    <s v="Delhi"/>
    <x v="2"/>
    <n v="204"/>
    <n v="42"/>
    <n v="85"/>
    <n v="161"/>
    <n v="75"/>
    <n v="1799.44"/>
    <n v="3"/>
    <n v="0"/>
    <x v="1"/>
    <x v="1"/>
    <x v="0"/>
    <n v="289709.84000000003"/>
  </r>
  <r>
    <s v="ORD01386"/>
    <d v="2026-09-25T00:00:00"/>
    <x v="12"/>
    <x v="4"/>
    <x v="3"/>
    <s v="Delhi"/>
    <x v="2"/>
    <n v="102"/>
    <n v="39"/>
    <n v="101"/>
    <n v="40"/>
    <n v="49"/>
    <n v="464.15"/>
    <n v="5"/>
    <n v="5"/>
    <x v="1"/>
    <x v="1"/>
    <x v="2"/>
    <n v="18566"/>
  </r>
  <r>
    <s v="ORD01387"/>
    <d v="2026-06-08T00:00:00"/>
    <x v="6"/>
    <x v="4"/>
    <x v="3"/>
    <s v="Delhi"/>
    <x v="2"/>
    <n v="80"/>
    <n v="22"/>
    <n v="46"/>
    <n v="56"/>
    <n v="71"/>
    <n v="683.34"/>
    <n v="3"/>
    <n v="7"/>
    <x v="1"/>
    <x v="1"/>
    <x v="0"/>
    <n v="38267.040000000001"/>
  </r>
  <r>
    <s v="ORD01388"/>
    <d v="2026-07-26T00:00:00"/>
    <x v="18"/>
    <x v="2"/>
    <x v="3"/>
    <s v="Bangalore"/>
    <x v="1"/>
    <n v="139"/>
    <n v="57"/>
    <n v="95"/>
    <n v="101"/>
    <n v="69"/>
    <n v="2980.27"/>
    <n v="11"/>
    <n v="0"/>
    <x v="1"/>
    <x v="1"/>
    <x v="0"/>
    <n v="301007.27"/>
  </r>
  <r>
    <s v="ORD01389"/>
    <d v="2026-05-24T00:00:00"/>
    <x v="14"/>
    <x v="1"/>
    <x v="0"/>
    <s v="Mumbai"/>
    <x v="0"/>
    <n v="115"/>
    <n v="44"/>
    <n v="108"/>
    <n v="51"/>
    <n v="46"/>
    <n v="1653.97"/>
    <n v="5"/>
    <n v="0"/>
    <x v="1"/>
    <x v="1"/>
    <x v="0"/>
    <n v="84352.47"/>
  </r>
  <r>
    <s v="ORD01390"/>
    <d v="2026-03-10T00:00:00"/>
    <x v="18"/>
    <x v="2"/>
    <x v="2"/>
    <s v="Bangalore"/>
    <x v="1"/>
    <n v="134"/>
    <n v="50"/>
    <n v="86"/>
    <n v="98"/>
    <n v="89"/>
    <n v="3200.62"/>
    <n v="3"/>
    <n v="0"/>
    <x v="1"/>
    <x v="1"/>
    <x v="0"/>
    <n v="313660.76"/>
  </r>
  <r>
    <s v="ORD01391"/>
    <d v="2026-04-17T00:00:00"/>
    <x v="8"/>
    <x v="3"/>
    <x v="0"/>
    <s v="Bangalore"/>
    <x v="1"/>
    <n v="114"/>
    <n v="107"/>
    <n v="96"/>
    <n v="125"/>
    <n v="48"/>
    <n v="3076.15"/>
    <n v="4"/>
    <n v="0"/>
    <x v="1"/>
    <x v="2"/>
    <x v="1"/>
    <n v="384518.75"/>
  </r>
  <r>
    <s v="ORD01392"/>
    <d v="2026-02-16T00:00:00"/>
    <x v="13"/>
    <x v="2"/>
    <x v="1"/>
    <s v="Delhi"/>
    <x v="2"/>
    <n v="190"/>
    <n v="60"/>
    <n v="105"/>
    <n v="145"/>
    <n v="52"/>
    <n v="1076.8399999999999"/>
    <n v="3"/>
    <n v="0"/>
    <x v="1"/>
    <x v="2"/>
    <x v="1"/>
    <n v="156141.79999999999"/>
  </r>
  <r>
    <s v="ORD01393"/>
    <d v="2026-04-12T00:00:00"/>
    <x v="3"/>
    <x v="0"/>
    <x v="1"/>
    <s v="Kolkata"/>
    <x v="3"/>
    <n v="71"/>
    <n v="89"/>
    <n v="21"/>
    <n v="139"/>
    <n v="83"/>
    <n v="985.61"/>
    <n v="3"/>
    <n v="0"/>
    <x v="1"/>
    <x v="1"/>
    <x v="0"/>
    <n v="136999.79"/>
  </r>
  <r>
    <s v="ORD01394"/>
    <d v="2026-11-10T00:00:00"/>
    <x v="11"/>
    <x v="3"/>
    <x v="2"/>
    <s v="Kolkata"/>
    <x v="3"/>
    <n v="204"/>
    <n v="61"/>
    <n v="43"/>
    <n v="222"/>
    <n v="47"/>
    <n v="2368.25"/>
    <n v="10"/>
    <n v="0"/>
    <x v="1"/>
    <x v="2"/>
    <x v="1"/>
    <n v="525751.5"/>
  </r>
  <r>
    <s v="ORD01395"/>
    <d v="2026-04-05T00:00:00"/>
    <x v="10"/>
    <x v="4"/>
    <x v="0"/>
    <s v="Kolkata"/>
    <x v="3"/>
    <n v="64"/>
    <n v="79"/>
    <n v="79"/>
    <n v="64"/>
    <n v="99"/>
    <n v="588.86"/>
    <n v="6"/>
    <n v="1"/>
    <x v="1"/>
    <x v="0"/>
    <x v="0"/>
    <n v="37687.040000000001"/>
  </r>
  <r>
    <s v="ORD01396"/>
    <d v="2026-05-06T00:00:00"/>
    <x v="9"/>
    <x v="1"/>
    <x v="4"/>
    <s v="Bangalore"/>
    <x v="1"/>
    <n v="125"/>
    <n v="119"/>
    <n v="68"/>
    <n v="176"/>
    <n v="52"/>
    <n v="706.96"/>
    <n v="8"/>
    <n v="0"/>
    <x v="1"/>
    <x v="2"/>
    <x v="3"/>
    <n v="124424.96000000001"/>
  </r>
  <r>
    <s v="ORD01397"/>
    <d v="2026-01-02T00:00:00"/>
    <x v="5"/>
    <x v="3"/>
    <x v="3"/>
    <s v="Kolkata"/>
    <x v="3"/>
    <n v="107"/>
    <n v="113"/>
    <n v="51"/>
    <n v="169"/>
    <n v="97"/>
    <n v="1424.54"/>
    <n v="2"/>
    <n v="0"/>
    <x v="1"/>
    <x v="1"/>
    <x v="1"/>
    <n v="240747.25999999998"/>
  </r>
  <r>
    <s v="ORD01398"/>
    <d v="2026-03-05T00:00:00"/>
    <x v="15"/>
    <x v="4"/>
    <x v="3"/>
    <s v="Delhi"/>
    <x v="2"/>
    <n v="196"/>
    <n v="121"/>
    <n v="59"/>
    <n v="258"/>
    <n v="53"/>
    <n v="484.73"/>
    <n v="2"/>
    <n v="0"/>
    <x v="1"/>
    <x v="2"/>
    <x v="0"/>
    <n v="125060.34000000001"/>
  </r>
  <r>
    <s v="ORD01399"/>
    <d v="2026-07-28T00:00:00"/>
    <x v="6"/>
    <x v="4"/>
    <x v="4"/>
    <s v="Delhi"/>
    <x v="2"/>
    <n v="97"/>
    <n v="49"/>
    <n v="65"/>
    <n v="81"/>
    <n v="78"/>
    <n v="647.05999999999995"/>
    <n v="8"/>
    <n v="0"/>
    <x v="0"/>
    <x v="1"/>
    <x v="0"/>
    <n v="52411.859999999993"/>
  </r>
  <r>
    <s v="ORD01400"/>
    <d v="2026-02-09T00:00:00"/>
    <x v="1"/>
    <x v="1"/>
    <x v="2"/>
    <s v="Mumbai"/>
    <x v="0"/>
    <n v="195"/>
    <n v="97"/>
    <n v="79"/>
    <n v="213"/>
    <n v="54"/>
    <n v="1189.1099999999999"/>
    <n v="5"/>
    <n v="0"/>
    <x v="1"/>
    <x v="2"/>
    <x v="0"/>
    <n v="253280.43"/>
  </r>
  <r>
    <s v="ORD01401"/>
    <d v="2026-06-22T00:00:00"/>
    <x v="16"/>
    <x v="0"/>
    <x v="4"/>
    <s v="Delhi"/>
    <x v="2"/>
    <n v="73"/>
    <n v="86"/>
    <n v="83"/>
    <n v="76"/>
    <n v="71"/>
    <n v="1305.76"/>
    <n v="2"/>
    <n v="0"/>
    <x v="1"/>
    <x v="1"/>
    <x v="0"/>
    <n v="99237.759999999995"/>
  </r>
  <r>
    <s v="ORD01402"/>
    <d v="2026-01-22T00:00:00"/>
    <x v="2"/>
    <x v="1"/>
    <x v="3"/>
    <s v="Kolkata"/>
    <x v="3"/>
    <n v="151"/>
    <n v="121"/>
    <n v="110"/>
    <n v="162"/>
    <n v="47"/>
    <n v="2409.2800000000002"/>
    <n v="4"/>
    <n v="0"/>
    <x v="1"/>
    <x v="2"/>
    <x v="1"/>
    <n v="390303.36000000004"/>
  </r>
  <r>
    <s v="ORD01403"/>
    <d v="2026-12-17T00:00:00"/>
    <x v="9"/>
    <x v="1"/>
    <x v="1"/>
    <s v="Mumbai"/>
    <x v="0"/>
    <n v="132"/>
    <n v="69"/>
    <n v="65"/>
    <n v="136"/>
    <n v="83"/>
    <n v="642.37"/>
    <n v="8"/>
    <n v="0"/>
    <x v="1"/>
    <x v="1"/>
    <x v="0"/>
    <n v="87362.32"/>
  </r>
  <r>
    <s v="ORD01404"/>
    <d v="2026-10-09T00:00:00"/>
    <x v="8"/>
    <x v="3"/>
    <x v="0"/>
    <s v="Mumbai"/>
    <x v="0"/>
    <n v="65"/>
    <n v="42"/>
    <n v="42"/>
    <n v="65"/>
    <n v="61"/>
    <n v="3022.6"/>
    <n v="4"/>
    <n v="0"/>
    <x v="0"/>
    <x v="1"/>
    <x v="0"/>
    <n v="196469"/>
  </r>
  <r>
    <s v="ORD01405"/>
    <d v="2026-09-26T00:00:00"/>
    <x v="2"/>
    <x v="1"/>
    <x v="1"/>
    <s v="Bangalore"/>
    <x v="1"/>
    <n v="164"/>
    <n v="100"/>
    <n v="77"/>
    <n v="187"/>
    <n v="72"/>
    <n v="2526.2600000000002"/>
    <n v="7"/>
    <n v="0"/>
    <x v="1"/>
    <x v="2"/>
    <x v="0"/>
    <n v="472410.62000000005"/>
  </r>
  <r>
    <s v="ORD01406"/>
    <d v="2026-05-02T00:00:00"/>
    <x v="4"/>
    <x v="2"/>
    <x v="4"/>
    <s v="Bangalore"/>
    <x v="1"/>
    <n v="101"/>
    <n v="58"/>
    <n v="85"/>
    <n v="74"/>
    <n v="45"/>
    <n v="847.01"/>
    <n v="5"/>
    <n v="0"/>
    <x v="1"/>
    <x v="1"/>
    <x v="0"/>
    <n v="62678.74"/>
  </r>
  <r>
    <s v="ORD01407"/>
    <d v="2026-12-22T00:00:00"/>
    <x v="11"/>
    <x v="3"/>
    <x v="3"/>
    <s v="Bangalore"/>
    <x v="1"/>
    <n v="94"/>
    <n v="49"/>
    <n v="97"/>
    <n v="46"/>
    <n v="68"/>
    <n v="2250.38"/>
    <n v="2"/>
    <n v="6"/>
    <x v="0"/>
    <x v="1"/>
    <x v="0"/>
    <n v="103517.48000000001"/>
  </r>
  <r>
    <s v="ORD01408"/>
    <d v="2026-08-20T00:00:00"/>
    <x v="0"/>
    <x v="0"/>
    <x v="1"/>
    <s v="Delhi"/>
    <x v="2"/>
    <n v="184"/>
    <n v="94"/>
    <n v="105"/>
    <n v="173"/>
    <n v="49"/>
    <n v="1909.18"/>
    <n v="4"/>
    <n v="0"/>
    <x v="1"/>
    <x v="2"/>
    <x v="3"/>
    <n v="330288.14"/>
  </r>
  <r>
    <s v="ORD01409"/>
    <d v="2026-11-04T00:00:00"/>
    <x v="13"/>
    <x v="2"/>
    <x v="3"/>
    <s v="Kolkata"/>
    <x v="3"/>
    <n v="199"/>
    <n v="93"/>
    <n v="63"/>
    <n v="229"/>
    <n v="100"/>
    <n v="1161.71"/>
    <n v="4"/>
    <n v="0"/>
    <x v="1"/>
    <x v="2"/>
    <x v="0"/>
    <n v="266031.59000000003"/>
  </r>
  <r>
    <s v="ORD01410"/>
    <d v="2026-02-22T00:00:00"/>
    <x v="8"/>
    <x v="3"/>
    <x v="1"/>
    <s v="Delhi"/>
    <x v="2"/>
    <n v="77"/>
    <n v="88"/>
    <n v="61"/>
    <n v="104"/>
    <n v="82"/>
    <n v="2735.1"/>
    <n v="6"/>
    <n v="0"/>
    <x v="1"/>
    <x v="1"/>
    <x v="0"/>
    <n v="284450.39999999997"/>
  </r>
  <r>
    <s v="ORD01411"/>
    <d v="2026-04-25T00:00:00"/>
    <x v="18"/>
    <x v="2"/>
    <x v="1"/>
    <s v="Delhi"/>
    <x v="2"/>
    <n v="185"/>
    <n v="99"/>
    <n v="39"/>
    <n v="245"/>
    <n v="56"/>
    <n v="3449.95"/>
    <n v="2"/>
    <n v="0"/>
    <x v="1"/>
    <x v="2"/>
    <x v="2"/>
    <n v="845237.75"/>
  </r>
  <r>
    <s v="ORD01412"/>
    <d v="2026-07-23T00:00:00"/>
    <x v="13"/>
    <x v="2"/>
    <x v="3"/>
    <s v="Kolkata"/>
    <x v="3"/>
    <n v="184"/>
    <n v="91"/>
    <n v="22"/>
    <n v="253"/>
    <n v="71"/>
    <n v="1126.8900000000001"/>
    <n v="2"/>
    <n v="0"/>
    <x v="1"/>
    <x v="2"/>
    <x v="0"/>
    <n v="285103.17000000004"/>
  </r>
  <r>
    <s v="ORD01413"/>
    <d v="2026-09-24T00:00:00"/>
    <x v="3"/>
    <x v="0"/>
    <x v="3"/>
    <s v="Bangalore"/>
    <x v="1"/>
    <n v="204"/>
    <n v="76"/>
    <n v="37"/>
    <n v="243"/>
    <n v="92"/>
    <n v="848.86"/>
    <n v="6"/>
    <n v="0"/>
    <x v="1"/>
    <x v="2"/>
    <x v="2"/>
    <n v="206272.98"/>
  </r>
  <r>
    <s v="ORD01414"/>
    <d v="2026-05-26T00:00:00"/>
    <x v="15"/>
    <x v="4"/>
    <x v="0"/>
    <s v="Delhi"/>
    <x v="2"/>
    <n v="206"/>
    <n v="51"/>
    <n v="81"/>
    <n v="176"/>
    <n v="53"/>
    <n v="464.15"/>
    <n v="6"/>
    <n v="0"/>
    <x v="1"/>
    <x v="2"/>
    <x v="1"/>
    <n v="81690.399999999994"/>
  </r>
  <r>
    <s v="ORD01415"/>
    <d v="2026-03-17T00:00:00"/>
    <x v="16"/>
    <x v="0"/>
    <x v="3"/>
    <s v="Bangalore"/>
    <x v="1"/>
    <n v="76"/>
    <n v="108"/>
    <n v="87"/>
    <n v="97"/>
    <n v="84"/>
    <n v="1184.2"/>
    <n v="2"/>
    <n v="0"/>
    <x v="1"/>
    <x v="1"/>
    <x v="1"/>
    <n v="114867.40000000001"/>
  </r>
  <r>
    <s v="ORD01416"/>
    <d v="2026-11-19T00:00:00"/>
    <x v="5"/>
    <x v="3"/>
    <x v="1"/>
    <s v="Mumbai"/>
    <x v="0"/>
    <n v="151"/>
    <n v="104"/>
    <n v="49"/>
    <n v="206"/>
    <n v="50"/>
    <n v="1373.74"/>
    <n v="5"/>
    <n v="0"/>
    <x v="1"/>
    <x v="2"/>
    <x v="0"/>
    <n v="282990.44"/>
  </r>
  <r>
    <s v="ORD01417"/>
    <d v="2026-03-03T00:00:00"/>
    <x v="17"/>
    <x v="0"/>
    <x v="4"/>
    <s v="Kolkata"/>
    <x v="3"/>
    <n v="149"/>
    <n v="32"/>
    <n v="101"/>
    <n v="80"/>
    <n v="98"/>
    <n v="1451.99"/>
    <n v="3"/>
    <n v="6"/>
    <x v="1"/>
    <x v="1"/>
    <x v="0"/>
    <n v="116159.2"/>
  </r>
  <r>
    <s v="ORD01418"/>
    <d v="2026-01-21T00:00:00"/>
    <x v="13"/>
    <x v="2"/>
    <x v="0"/>
    <s v="Kolkata"/>
    <x v="3"/>
    <n v="178"/>
    <n v="39"/>
    <n v="45"/>
    <n v="172"/>
    <n v="82"/>
    <n v="1165.18"/>
    <n v="4"/>
    <n v="0"/>
    <x v="1"/>
    <x v="1"/>
    <x v="0"/>
    <n v="200410.96000000002"/>
  </r>
  <r>
    <s v="ORD01419"/>
    <d v="2026-01-29T00:00:00"/>
    <x v="17"/>
    <x v="0"/>
    <x v="3"/>
    <s v="Mumbai"/>
    <x v="0"/>
    <n v="40"/>
    <n v="20"/>
    <n v="100"/>
    <n v="0"/>
    <n v="99"/>
    <n v="1403.89"/>
    <n v="6"/>
    <n v="7"/>
    <x v="1"/>
    <x v="0"/>
    <x v="0"/>
    <n v="0"/>
  </r>
  <r>
    <s v="ORD01420"/>
    <d v="2026-02-03T00:00:00"/>
    <x v="3"/>
    <x v="0"/>
    <x v="1"/>
    <s v="Mumbai"/>
    <x v="0"/>
    <n v="59"/>
    <n v="30"/>
    <n v="100"/>
    <n v="0"/>
    <n v="57"/>
    <n v="956.58"/>
    <n v="4"/>
    <n v="1"/>
    <x v="1"/>
    <x v="0"/>
    <x v="0"/>
    <n v="0"/>
  </r>
  <r>
    <s v="ORD01421"/>
    <d v="2026-04-01T00:00:00"/>
    <x v="8"/>
    <x v="3"/>
    <x v="1"/>
    <s v="Delhi"/>
    <x v="2"/>
    <n v="60"/>
    <n v="57"/>
    <n v="95"/>
    <n v="22"/>
    <n v="83"/>
    <n v="2560.9699999999998"/>
    <n v="7"/>
    <n v="8"/>
    <x v="1"/>
    <x v="0"/>
    <x v="0"/>
    <n v="56341.34"/>
  </r>
  <r>
    <s v="ORD01422"/>
    <d v="2026-01-09T00:00:00"/>
    <x v="15"/>
    <x v="4"/>
    <x v="1"/>
    <s v="Kolkata"/>
    <x v="3"/>
    <n v="204"/>
    <n v="72"/>
    <n v="95"/>
    <n v="181"/>
    <n v="54"/>
    <n v="409.53"/>
    <n v="4"/>
    <n v="0"/>
    <x v="1"/>
    <x v="2"/>
    <x v="0"/>
    <n v="74124.929999999993"/>
  </r>
  <r>
    <s v="ORD01423"/>
    <d v="2026-07-30T00:00:00"/>
    <x v="7"/>
    <x v="3"/>
    <x v="3"/>
    <s v="Delhi"/>
    <x v="2"/>
    <n v="140"/>
    <n v="40"/>
    <n v="22"/>
    <n v="158"/>
    <n v="90"/>
    <n v="1088.5899999999999"/>
    <n v="3"/>
    <n v="0"/>
    <x v="1"/>
    <x v="1"/>
    <x v="2"/>
    <n v="171997.22"/>
  </r>
  <r>
    <s v="ORD01424"/>
    <d v="2026-03-24T00:00:00"/>
    <x v="1"/>
    <x v="1"/>
    <x v="0"/>
    <s v="Bangalore"/>
    <x v="1"/>
    <n v="182"/>
    <n v="122"/>
    <n v="26"/>
    <n v="278"/>
    <n v="92"/>
    <n v="1396.84"/>
    <n v="11"/>
    <n v="0"/>
    <x v="1"/>
    <x v="2"/>
    <x v="3"/>
    <n v="388321.51999999996"/>
  </r>
  <r>
    <s v="ORD01425"/>
    <d v="2026-02-15T00:00:00"/>
    <x v="12"/>
    <x v="4"/>
    <x v="0"/>
    <s v="Bangalore"/>
    <x v="1"/>
    <n v="141"/>
    <n v="87"/>
    <n v="101"/>
    <n v="127"/>
    <n v="79"/>
    <n v="476.28"/>
    <n v="3"/>
    <n v="0"/>
    <x v="1"/>
    <x v="1"/>
    <x v="0"/>
    <n v="60487.56"/>
  </r>
  <r>
    <s v="ORD01426"/>
    <d v="2026-03-26T00:00:00"/>
    <x v="14"/>
    <x v="1"/>
    <x v="0"/>
    <s v="Mumbai"/>
    <x v="0"/>
    <n v="91"/>
    <n v="64"/>
    <n v="66"/>
    <n v="89"/>
    <n v="51"/>
    <n v="1589.5"/>
    <n v="2"/>
    <n v="0"/>
    <x v="1"/>
    <x v="1"/>
    <x v="0"/>
    <n v="141465.5"/>
  </r>
  <r>
    <s v="ORD01427"/>
    <d v="2026-06-12T00:00:00"/>
    <x v="0"/>
    <x v="0"/>
    <x v="1"/>
    <s v="Mumbai"/>
    <x v="0"/>
    <n v="40"/>
    <n v="68"/>
    <n v="29"/>
    <n v="79"/>
    <n v="59"/>
    <n v="1890.12"/>
    <n v="3"/>
    <n v="0"/>
    <x v="1"/>
    <x v="1"/>
    <x v="3"/>
    <n v="149319.47999999998"/>
  </r>
  <r>
    <s v="ORD01428"/>
    <d v="2026-03-28T00:00:00"/>
    <x v="2"/>
    <x v="1"/>
    <x v="3"/>
    <s v="Delhi"/>
    <x v="2"/>
    <n v="136"/>
    <n v="35"/>
    <n v="39"/>
    <n v="132"/>
    <n v="58"/>
    <n v="2374.79"/>
    <n v="11"/>
    <n v="0"/>
    <x v="0"/>
    <x v="2"/>
    <x v="0"/>
    <n v="313472.27999999997"/>
  </r>
  <r>
    <s v="ORD01429"/>
    <d v="2026-01-28T00:00:00"/>
    <x v="6"/>
    <x v="4"/>
    <x v="4"/>
    <s v="Mumbai"/>
    <x v="0"/>
    <n v="141"/>
    <n v="57"/>
    <n v="80"/>
    <n v="118"/>
    <n v="47"/>
    <n v="711.5"/>
    <n v="2"/>
    <n v="0"/>
    <x v="1"/>
    <x v="2"/>
    <x v="0"/>
    <n v="83957"/>
  </r>
  <r>
    <s v="ORD01430"/>
    <d v="2026-03-29T00:00:00"/>
    <x v="2"/>
    <x v="1"/>
    <x v="2"/>
    <s v="Delhi"/>
    <x v="2"/>
    <n v="66"/>
    <n v="70"/>
    <n v="75"/>
    <n v="61"/>
    <n v="79"/>
    <n v="2211.98"/>
    <n v="3"/>
    <n v="8"/>
    <x v="1"/>
    <x v="1"/>
    <x v="0"/>
    <n v="134930.78"/>
  </r>
  <r>
    <s v="ORD01431"/>
    <d v="2026-05-14T00:00:00"/>
    <x v="9"/>
    <x v="1"/>
    <x v="4"/>
    <s v="Mumbai"/>
    <x v="0"/>
    <n v="203"/>
    <n v="31"/>
    <n v="77"/>
    <n v="157"/>
    <n v="97"/>
    <n v="712.46"/>
    <n v="8"/>
    <n v="0"/>
    <x v="1"/>
    <x v="1"/>
    <x v="0"/>
    <n v="111856.22"/>
  </r>
  <r>
    <s v="ORD01432"/>
    <d v="2026-04-29T00:00:00"/>
    <x v="10"/>
    <x v="4"/>
    <x v="2"/>
    <s v="Delhi"/>
    <x v="2"/>
    <n v="165"/>
    <n v="120"/>
    <n v="108"/>
    <n v="177"/>
    <n v="88"/>
    <n v="612.78"/>
    <n v="3"/>
    <n v="0"/>
    <x v="1"/>
    <x v="1"/>
    <x v="1"/>
    <n v="108462.06"/>
  </r>
  <r>
    <s v="ORD01433"/>
    <d v="2026-01-12T00:00:00"/>
    <x v="15"/>
    <x v="4"/>
    <x v="4"/>
    <s v="Mumbai"/>
    <x v="0"/>
    <n v="179"/>
    <n v="107"/>
    <n v="55"/>
    <n v="231"/>
    <n v="71"/>
    <n v="407.62"/>
    <n v="3"/>
    <n v="0"/>
    <x v="1"/>
    <x v="2"/>
    <x v="0"/>
    <n v="94160.22"/>
  </r>
  <r>
    <s v="ORD01434"/>
    <d v="2026-03-17T00:00:00"/>
    <x v="7"/>
    <x v="3"/>
    <x v="3"/>
    <s v="Bangalore"/>
    <x v="1"/>
    <n v="156"/>
    <n v="81"/>
    <n v="104"/>
    <n v="133"/>
    <n v="48"/>
    <n v="980.53"/>
    <n v="5"/>
    <n v="0"/>
    <x v="1"/>
    <x v="2"/>
    <x v="0"/>
    <n v="130410.48999999999"/>
  </r>
  <r>
    <s v="ORD01435"/>
    <d v="2026-12-12T00:00:00"/>
    <x v="16"/>
    <x v="0"/>
    <x v="4"/>
    <s v="Kolkata"/>
    <x v="3"/>
    <n v="178"/>
    <n v="38"/>
    <n v="25"/>
    <n v="191"/>
    <n v="87"/>
    <n v="1281.76"/>
    <n v="3"/>
    <n v="0"/>
    <x v="1"/>
    <x v="1"/>
    <x v="0"/>
    <n v="244816.16"/>
  </r>
  <r>
    <s v="ORD01436"/>
    <d v="2026-03-18T00:00:00"/>
    <x v="9"/>
    <x v="1"/>
    <x v="3"/>
    <s v="Delhi"/>
    <x v="2"/>
    <n v="43"/>
    <n v="119"/>
    <n v="57"/>
    <n v="105"/>
    <n v="79"/>
    <n v="768.44"/>
    <n v="2"/>
    <n v="0"/>
    <x v="1"/>
    <x v="1"/>
    <x v="0"/>
    <n v="80686.200000000012"/>
  </r>
  <r>
    <s v="ORD01437"/>
    <d v="2026-12-16T00:00:00"/>
    <x v="17"/>
    <x v="0"/>
    <x v="4"/>
    <s v="Mumbai"/>
    <x v="0"/>
    <n v="123"/>
    <n v="92"/>
    <n v="65"/>
    <n v="150"/>
    <n v="74"/>
    <n v="1471.39"/>
    <n v="2"/>
    <n v="0"/>
    <x v="1"/>
    <x v="1"/>
    <x v="0"/>
    <n v="220708.50000000003"/>
  </r>
  <r>
    <s v="ORD01438"/>
    <d v="2026-11-06T00:00:00"/>
    <x v="13"/>
    <x v="2"/>
    <x v="3"/>
    <s v="Delhi"/>
    <x v="2"/>
    <n v="179"/>
    <n v="22"/>
    <n v="35"/>
    <n v="166"/>
    <n v="53"/>
    <n v="1186.28"/>
    <n v="2"/>
    <n v="0"/>
    <x v="1"/>
    <x v="2"/>
    <x v="2"/>
    <n v="196922.47999999998"/>
  </r>
  <r>
    <s v="ORD01439"/>
    <d v="2026-09-20T00:00:00"/>
    <x v="2"/>
    <x v="1"/>
    <x v="1"/>
    <s v="Delhi"/>
    <x v="2"/>
    <n v="169"/>
    <n v="57"/>
    <n v="97"/>
    <n v="129"/>
    <n v="53"/>
    <n v="2303.11"/>
    <n v="6"/>
    <n v="0"/>
    <x v="1"/>
    <x v="2"/>
    <x v="2"/>
    <n v="297101.19"/>
  </r>
  <r>
    <s v="ORD01440"/>
    <d v="2026-12-02T00:00:00"/>
    <x v="12"/>
    <x v="4"/>
    <x v="4"/>
    <s v="Delhi"/>
    <x v="2"/>
    <n v="128"/>
    <n v="77"/>
    <n v="95"/>
    <n v="110"/>
    <n v="79"/>
    <n v="500.75"/>
    <n v="8"/>
    <n v="0"/>
    <x v="1"/>
    <x v="1"/>
    <x v="0"/>
    <n v="55082.5"/>
  </r>
  <r>
    <s v="ORD01441"/>
    <d v="2026-04-06T00:00:00"/>
    <x v="8"/>
    <x v="3"/>
    <x v="0"/>
    <s v="Mumbai"/>
    <x v="0"/>
    <n v="100"/>
    <n v="89"/>
    <n v="66"/>
    <n v="123"/>
    <n v="73"/>
    <n v="2738.68"/>
    <n v="3"/>
    <n v="0"/>
    <x v="1"/>
    <x v="1"/>
    <x v="3"/>
    <n v="336857.63999999996"/>
  </r>
  <r>
    <s v="ORD01442"/>
    <d v="2026-07-16T00:00:00"/>
    <x v="3"/>
    <x v="0"/>
    <x v="0"/>
    <s v="Kolkata"/>
    <x v="3"/>
    <n v="59"/>
    <n v="98"/>
    <n v="23"/>
    <n v="134"/>
    <n v="91"/>
    <n v="923.01"/>
    <n v="5"/>
    <n v="0"/>
    <x v="1"/>
    <x v="1"/>
    <x v="0"/>
    <n v="123683.34"/>
  </r>
  <r>
    <s v="ORD01443"/>
    <d v="2026-04-11T00:00:00"/>
    <x v="15"/>
    <x v="4"/>
    <x v="1"/>
    <s v="Kolkata"/>
    <x v="3"/>
    <n v="169"/>
    <n v="83"/>
    <n v="106"/>
    <n v="146"/>
    <n v="99"/>
    <n v="418.85"/>
    <n v="8"/>
    <n v="0"/>
    <x v="0"/>
    <x v="1"/>
    <x v="0"/>
    <n v="61152.100000000006"/>
  </r>
  <r>
    <s v="ORD01444"/>
    <d v="2026-01-27T00:00:00"/>
    <x v="8"/>
    <x v="3"/>
    <x v="1"/>
    <s v="Delhi"/>
    <x v="2"/>
    <n v="214"/>
    <n v="87"/>
    <n v="15"/>
    <n v="286"/>
    <n v="70"/>
    <n v="2880.39"/>
    <n v="7"/>
    <n v="0"/>
    <x v="1"/>
    <x v="2"/>
    <x v="0"/>
    <n v="823791.53999999992"/>
  </r>
  <r>
    <s v="ORD01445"/>
    <d v="2026-03-27T00:00:00"/>
    <x v="18"/>
    <x v="2"/>
    <x v="0"/>
    <s v="Kolkata"/>
    <x v="3"/>
    <n v="137"/>
    <n v="113"/>
    <n v="94"/>
    <n v="156"/>
    <n v="66"/>
    <n v="3318.79"/>
    <n v="6"/>
    <n v="0"/>
    <x v="0"/>
    <x v="2"/>
    <x v="0"/>
    <n v="517731.24"/>
  </r>
  <r>
    <s v="ORD01446"/>
    <d v="2026-11-10T00:00:00"/>
    <x v="13"/>
    <x v="2"/>
    <x v="0"/>
    <s v="Delhi"/>
    <x v="2"/>
    <n v="108"/>
    <n v="52"/>
    <n v="38"/>
    <n v="122"/>
    <n v="78"/>
    <n v="1076.5"/>
    <n v="6"/>
    <n v="0"/>
    <x v="1"/>
    <x v="1"/>
    <x v="0"/>
    <n v="131333"/>
  </r>
  <r>
    <s v="ORD01447"/>
    <d v="2026-04-10T00:00:00"/>
    <x v="13"/>
    <x v="2"/>
    <x v="2"/>
    <s v="Mumbai"/>
    <x v="0"/>
    <n v="214"/>
    <n v="88"/>
    <n v="109"/>
    <n v="193"/>
    <n v="81"/>
    <n v="1176.28"/>
    <n v="8"/>
    <n v="0"/>
    <x v="1"/>
    <x v="2"/>
    <x v="1"/>
    <n v="227022.04"/>
  </r>
  <r>
    <s v="ORD01448"/>
    <d v="2026-09-05T00:00:00"/>
    <x v="12"/>
    <x v="4"/>
    <x v="0"/>
    <s v="Kolkata"/>
    <x v="3"/>
    <n v="82"/>
    <n v="53"/>
    <n v="25"/>
    <n v="110"/>
    <n v="88"/>
    <n v="518.04999999999995"/>
    <n v="4"/>
    <n v="0"/>
    <x v="1"/>
    <x v="1"/>
    <x v="2"/>
    <n v="56985.499999999993"/>
  </r>
  <r>
    <s v="ORD01449"/>
    <d v="2026-12-18T00:00:00"/>
    <x v="14"/>
    <x v="1"/>
    <x v="3"/>
    <s v="Mumbai"/>
    <x v="0"/>
    <n v="187"/>
    <n v="41"/>
    <n v="66"/>
    <n v="162"/>
    <n v="82"/>
    <n v="1510.93"/>
    <n v="7"/>
    <n v="0"/>
    <x v="1"/>
    <x v="1"/>
    <x v="0"/>
    <n v="244770.66"/>
  </r>
  <r>
    <s v="ORD01450"/>
    <d v="2026-07-17T00:00:00"/>
    <x v="18"/>
    <x v="2"/>
    <x v="2"/>
    <s v="Bangalore"/>
    <x v="1"/>
    <n v="183"/>
    <n v="110"/>
    <n v="65"/>
    <n v="228"/>
    <n v="68"/>
    <n v="3114.11"/>
    <n v="7"/>
    <n v="0"/>
    <x v="1"/>
    <x v="2"/>
    <x v="0"/>
    <n v="710017.08000000007"/>
  </r>
  <r>
    <s v="ORD01451"/>
    <d v="2026-11-16T00:00:00"/>
    <x v="6"/>
    <x v="4"/>
    <x v="4"/>
    <s v="Delhi"/>
    <x v="2"/>
    <n v="164"/>
    <n v="118"/>
    <n v="102"/>
    <n v="180"/>
    <n v="63"/>
    <n v="692.23"/>
    <n v="3"/>
    <n v="0"/>
    <x v="0"/>
    <x v="2"/>
    <x v="0"/>
    <n v="124601.40000000001"/>
  </r>
  <r>
    <s v="ORD01452"/>
    <d v="2026-07-06T00:00:00"/>
    <x v="0"/>
    <x v="0"/>
    <x v="4"/>
    <s v="Kolkata"/>
    <x v="3"/>
    <n v="193"/>
    <n v="81"/>
    <n v="36"/>
    <n v="238"/>
    <n v="48"/>
    <n v="1691.69"/>
    <n v="12"/>
    <n v="1"/>
    <x v="0"/>
    <x v="2"/>
    <x v="0"/>
    <n v="402622.22000000003"/>
  </r>
  <r>
    <s v="ORD01453"/>
    <d v="2026-03-30T00:00:00"/>
    <x v="2"/>
    <x v="1"/>
    <x v="0"/>
    <s v="Bangalore"/>
    <x v="1"/>
    <n v="123"/>
    <n v="57"/>
    <n v="73"/>
    <n v="107"/>
    <n v="51"/>
    <n v="2316.85"/>
    <n v="4"/>
    <n v="0"/>
    <x v="1"/>
    <x v="1"/>
    <x v="0"/>
    <n v="247902.94999999998"/>
  </r>
  <r>
    <s v="ORD01454"/>
    <d v="2026-11-14T00:00:00"/>
    <x v="13"/>
    <x v="2"/>
    <x v="3"/>
    <s v="Kolkata"/>
    <x v="3"/>
    <n v="174"/>
    <n v="32"/>
    <n v="45"/>
    <n v="161"/>
    <n v="96"/>
    <n v="1083.78"/>
    <n v="8"/>
    <n v="0"/>
    <x v="1"/>
    <x v="1"/>
    <x v="0"/>
    <n v="174488.58"/>
  </r>
  <r>
    <s v="ORD01455"/>
    <d v="2026-09-26T00:00:00"/>
    <x v="13"/>
    <x v="2"/>
    <x v="4"/>
    <s v="Delhi"/>
    <x v="2"/>
    <n v="62"/>
    <n v="24"/>
    <n v="60"/>
    <n v="26"/>
    <n v="56"/>
    <n v="1090.46"/>
    <n v="6"/>
    <n v="2"/>
    <x v="1"/>
    <x v="0"/>
    <x v="2"/>
    <n v="28351.96"/>
  </r>
  <r>
    <s v="ORD01456"/>
    <d v="2026-06-28T00:00:00"/>
    <x v="8"/>
    <x v="3"/>
    <x v="1"/>
    <s v="Mumbai"/>
    <x v="0"/>
    <n v="162"/>
    <n v="20"/>
    <n v="49"/>
    <n v="133"/>
    <n v="68"/>
    <n v="2592.67"/>
    <n v="8"/>
    <n v="0"/>
    <x v="1"/>
    <x v="1"/>
    <x v="0"/>
    <n v="344825.11"/>
  </r>
  <r>
    <s v="ORD01457"/>
    <d v="2026-08-15T00:00:00"/>
    <x v="11"/>
    <x v="3"/>
    <x v="2"/>
    <s v="Delhi"/>
    <x v="2"/>
    <n v="182"/>
    <n v="123"/>
    <n v="69"/>
    <n v="236"/>
    <n v="71"/>
    <n v="2005.68"/>
    <n v="8"/>
    <n v="0"/>
    <x v="0"/>
    <x v="2"/>
    <x v="0"/>
    <n v="473340.48000000004"/>
  </r>
  <r>
    <s v="ORD01458"/>
    <d v="2026-11-20T00:00:00"/>
    <x v="4"/>
    <x v="2"/>
    <x v="2"/>
    <s v="Mumbai"/>
    <x v="0"/>
    <n v="166"/>
    <n v="110"/>
    <n v="58"/>
    <n v="218"/>
    <n v="77"/>
    <n v="773.97"/>
    <n v="7"/>
    <n v="0"/>
    <x v="1"/>
    <x v="2"/>
    <x v="0"/>
    <n v="168725.46"/>
  </r>
  <r>
    <s v="ORD01459"/>
    <d v="2026-12-21T00:00:00"/>
    <x v="19"/>
    <x v="2"/>
    <x v="0"/>
    <s v="Delhi"/>
    <x v="2"/>
    <n v="197"/>
    <n v="56"/>
    <n v="37"/>
    <n v="216"/>
    <n v="77"/>
    <n v="1388.67"/>
    <n v="6"/>
    <n v="0"/>
    <x v="1"/>
    <x v="2"/>
    <x v="3"/>
    <n v="299952.72000000003"/>
  </r>
  <r>
    <s v="ORD01460"/>
    <d v="2026-05-02T00:00:00"/>
    <x v="5"/>
    <x v="3"/>
    <x v="4"/>
    <s v="Mumbai"/>
    <x v="0"/>
    <n v="41"/>
    <n v="25"/>
    <n v="20"/>
    <n v="46"/>
    <n v="54"/>
    <n v="1378.42"/>
    <n v="4"/>
    <n v="4"/>
    <x v="1"/>
    <x v="1"/>
    <x v="0"/>
    <n v="63407.320000000007"/>
  </r>
  <r>
    <s v="ORD01461"/>
    <d v="2026-08-06T00:00:00"/>
    <x v="9"/>
    <x v="1"/>
    <x v="0"/>
    <s v="Delhi"/>
    <x v="2"/>
    <n v="57"/>
    <n v="46"/>
    <n v="15"/>
    <n v="88"/>
    <n v="65"/>
    <n v="677.59"/>
    <n v="2"/>
    <n v="0"/>
    <x v="1"/>
    <x v="1"/>
    <x v="0"/>
    <n v="59627.920000000006"/>
  </r>
  <r>
    <s v="ORD01462"/>
    <d v="2026-09-09T00:00:00"/>
    <x v="15"/>
    <x v="4"/>
    <x v="4"/>
    <s v="Delhi"/>
    <x v="2"/>
    <n v="117"/>
    <n v="56"/>
    <n v="81"/>
    <n v="92"/>
    <n v="78"/>
    <n v="460.52"/>
    <n v="5"/>
    <n v="0"/>
    <x v="1"/>
    <x v="1"/>
    <x v="3"/>
    <n v="42367.839999999997"/>
  </r>
  <r>
    <s v="ORD01463"/>
    <d v="2026-03-08T00:00:00"/>
    <x v="2"/>
    <x v="1"/>
    <x v="2"/>
    <s v="Kolkata"/>
    <x v="3"/>
    <n v="154"/>
    <n v="101"/>
    <n v="71"/>
    <n v="184"/>
    <n v="91"/>
    <n v="2615.7399999999998"/>
    <n v="7"/>
    <n v="0"/>
    <x v="1"/>
    <x v="1"/>
    <x v="2"/>
    <n v="481296.16"/>
  </r>
  <r>
    <s v="ORD01464"/>
    <d v="2026-04-08T00:00:00"/>
    <x v="13"/>
    <x v="2"/>
    <x v="0"/>
    <s v="Delhi"/>
    <x v="2"/>
    <n v="93"/>
    <n v="28"/>
    <n v="82"/>
    <n v="39"/>
    <n v="58"/>
    <n v="1167.18"/>
    <n v="3"/>
    <n v="2"/>
    <x v="1"/>
    <x v="1"/>
    <x v="2"/>
    <n v="45520.020000000004"/>
  </r>
  <r>
    <s v="ORD01465"/>
    <d v="2026-02-16T00:00:00"/>
    <x v="17"/>
    <x v="0"/>
    <x v="2"/>
    <s v="Mumbai"/>
    <x v="0"/>
    <n v="205"/>
    <n v="20"/>
    <n v="95"/>
    <n v="130"/>
    <n v="64"/>
    <n v="1434.74"/>
    <n v="2"/>
    <n v="0"/>
    <x v="1"/>
    <x v="1"/>
    <x v="0"/>
    <n v="186516.2"/>
  </r>
  <r>
    <s v="ORD01466"/>
    <d v="2026-08-30T00:00:00"/>
    <x v="15"/>
    <x v="4"/>
    <x v="3"/>
    <s v="Delhi"/>
    <x v="2"/>
    <n v="165"/>
    <n v="40"/>
    <n v="41"/>
    <n v="164"/>
    <n v="90"/>
    <n v="454.75"/>
    <n v="4"/>
    <n v="0"/>
    <x v="0"/>
    <x v="1"/>
    <x v="0"/>
    <n v="74579"/>
  </r>
  <r>
    <s v="ORD01467"/>
    <d v="2026-07-14T00:00:00"/>
    <x v="8"/>
    <x v="3"/>
    <x v="3"/>
    <s v="Mumbai"/>
    <x v="0"/>
    <n v="86"/>
    <n v="64"/>
    <n v="76"/>
    <n v="74"/>
    <n v="74"/>
    <n v="2699.68"/>
    <n v="7"/>
    <n v="5"/>
    <x v="1"/>
    <x v="1"/>
    <x v="0"/>
    <n v="199776.31999999998"/>
  </r>
  <r>
    <s v="ORD01468"/>
    <d v="2026-12-03T00:00:00"/>
    <x v="9"/>
    <x v="1"/>
    <x v="0"/>
    <s v="Mumbai"/>
    <x v="0"/>
    <n v="198"/>
    <n v="31"/>
    <n v="80"/>
    <n v="149"/>
    <n v="97"/>
    <n v="738.57"/>
    <n v="7"/>
    <n v="0"/>
    <x v="1"/>
    <x v="1"/>
    <x v="0"/>
    <n v="110046.93000000001"/>
  </r>
  <r>
    <s v="ORD01469"/>
    <d v="2026-08-23T00:00:00"/>
    <x v="15"/>
    <x v="4"/>
    <x v="4"/>
    <s v="Kolkata"/>
    <x v="3"/>
    <n v="53"/>
    <n v="90"/>
    <n v="38"/>
    <n v="105"/>
    <n v="90"/>
    <n v="444.56"/>
    <n v="2"/>
    <n v="0"/>
    <x v="1"/>
    <x v="1"/>
    <x v="0"/>
    <n v="46678.8"/>
  </r>
  <r>
    <s v="ORD01470"/>
    <d v="2026-10-23T00:00:00"/>
    <x v="1"/>
    <x v="1"/>
    <x v="3"/>
    <s v="Mumbai"/>
    <x v="0"/>
    <n v="184"/>
    <n v="103"/>
    <n v="89"/>
    <n v="198"/>
    <n v="56"/>
    <n v="1418.74"/>
    <n v="2"/>
    <n v="0"/>
    <x v="1"/>
    <x v="2"/>
    <x v="0"/>
    <n v="280910.52"/>
  </r>
  <r>
    <s v="ORD01471"/>
    <d v="2026-05-01T00:00:00"/>
    <x v="15"/>
    <x v="4"/>
    <x v="3"/>
    <s v="Mumbai"/>
    <x v="0"/>
    <n v="65"/>
    <n v="113"/>
    <n v="69"/>
    <n v="109"/>
    <n v="96"/>
    <n v="434.43"/>
    <n v="8"/>
    <n v="0"/>
    <x v="1"/>
    <x v="1"/>
    <x v="0"/>
    <n v="47352.87"/>
  </r>
  <r>
    <s v="ORD01472"/>
    <d v="2026-04-15T00:00:00"/>
    <x v="15"/>
    <x v="4"/>
    <x v="2"/>
    <s v="Mumbai"/>
    <x v="0"/>
    <n v="123"/>
    <n v="103"/>
    <n v="61"/>
    <n v="165"/>
    <n v="89"/>
    <n v="491.77"/>
    <n v="8"/>
    <n v="0"/>
    <x v="1"/>
    <x v="1"/>
    <x v="1"/>
    <n v="81142.05"/>
  </r>
  <r>
    <s v="ORD01473"/>
    <d v="2026-07-21T00:00:00"/>
    <x v="4"/>
    <x v="2"/>
    <x v="0"/>
    <s v="Kolkata"/>
    <x v="3"/>
    <n v="71"/>
    <n v="82"/>
    <n v="107"/>
    <n v="46"/>
    <n v="86"/>
    <n v="794.08"/>
    <n v="7"/>
    <n v="4"/>
    <x v="1"/>
    <x v="0"/>
    <x v="0"/>
    <n v="36527.68"/>
  </r>
  <r>
    <s v="ORD01474"/>
    <d v="2026-03-01T00:00:00"/>
    <x v="13"/>
    <x v="2"/>
    <x v="4"/>
    <s v="Delhi"/>
    <x v="2"/>
    <n v="106"/>
    <n v="130"/>
    <n v="47"/>
    <n v="189"/>
    <n v="81"/>
    <n v="1168.3699999999999"/>
    <n v="8"/>
    <n v="0"/>
    <x v="1"/>
    <x v="2"/>
    <x v="2"/>
    <n v="220821.93"/>
  </r>
  <r>
    <s v="ORD01475"/>
    <d v="2026-11-02T00:00:00"/>
    <x v="2"/>
    <x v="1"/>
    <x v="1"/>
    <s v="Kolkata"/>
    <x v="3"/>
    <n v="40"/>
    <n v="43"/>
    <n v="88"/>
    <n v="0"/>
    <n v="56"/>
    <n v="2371.27"/>
    <n v="3"/>
    <n v="4"/>
    <x v="0"/>
    <x v="0"/>
    <x v="0"/>
    <n v="0"/>
  </r>
  <r>
    <s v="ORD01476"/>
    <d v="2026-03-08T00:00:00"/>
    <x v="7"/>
    <x v="3"/>
    <x v="4"/>
    <s v="Mumbai"/>
    <x v="0"/>
    <n v="165"/>
    <n v="110"/>
    <n v="56"/>
    <n v="219"/>
    <n v="53"/>
    <n v="1015.92"/>
    <n v="6"/>
    <n v="0"/>
    <x v="1"/>
    <x v="2"/>
    <x v="0"/>
    <n v="222486.47999999998"/>
  </r>
  <r>
    <s v="ORD01477"/>
    <d v="2026-01-23T00:00:00"/>
    <x v="9"/>
    <x v="1"/>
    <x v="4"/>
    <s v="Mumbai"/>
    <x v="0"/>
    <n v="133"/>
    <n v="70"/>
    <n v="108"/>
    <n v="95"/>
    <n v="95"/>
    <n v="731.66"/>
    <n v="2"/>
    <n v="3"/>
    <x v="1"/>
    <x v="1"/>
    <x v="0"/>
    <n v="69507.7"/>
  </r>
  <r>
    <s v="ORD01478"/>
    <d v="2026-12-27T00:00:00"/>
    <x v="19"/>
    <x v="2"/>
    <x v="1"/>
    <s v="Kolkata"/>
    <x v="3"/>
    <n v="172"/>
    <n v="84"/>
    <n v="79"/>
    <n v="177"/>
    <n v="100"/>
    <n v="1520.68"/>
    <n v="4"/>
    <n v="0"/>
    <x v="1"/>
    <x v="1"/>
    <x v="2"/>
    <n v="269160.36"/>
  </r>
  <r>
    <s v="ORD01479"/>
    <d v="2026-01-21T00:00:00"/>
    <x v="4"/>
    <x v="2"/>
    <x v="2"/>
    <s v="Mumbai"/>
    <x v="0"/>
    <n v="203"/>
    <n v="88"/>
    <n v="65"/>
    <n v="226"/>
    <n v="48"/>
    <n v="847.79"/>
    <n v="8"/>
    <n v="0"/>
    <x v="1"/>
    <x v="2"/>
    <x v="1"/>
    <n v="191600.53999999998"/>
  </r>
  <r>
    <s v="ORD01480"/>
    <d v="2026-08-24T00:00:00"/>
    <x v="9"/>
    <x v="1"/>
    <x v="0"/>
    <s v="Delhi"/>
    <x v="2"/>
    <n v="100"/>
    <n v="69"/>
    <n v="97"/>
    <n v="72"/>
    <n v="50"/>
    <n v="744.05"/>
    <n v="8"/>
    <n v="0"/>
    <x v="1"/>
    <x v="1"/>
    <x v="0"/>
    <n v="53571.6"/>
  </r>
  <r>
    <s v="ORD01481"/>
    <d v="2026-10-28T00:00:00"/>
    <x v="16"/>
    <x v="0"/>
    <x v="2"/>
    <s v="Mumbai"/>
    <x v="0"/>
    <n v="186"/>
    <n v="31"/>
    <n v="17"/>
    <n v="200"/>
    <n v="94"/>
    <n v="1115.81"/>
    <n v="6"/>
    <n v="0"/>
    <x v="0"/>
    <x v="1"/>
    <x v="3"/>
    <n v="223162"/>
  </r>
  <r>
    <s v="ORD01482"/>
    <d v="2026-04-11T00:00:00"/>
    <x v="18"/>
    <x v="2"/>
    <x v="4"/>
    <s v="Delhi"/>
    <x v="2"/>
    <n v="90"/>
    <n v="81"/>
    <n v="50"/>
    <n v="121"/>
    <n v="86"/>
    <n v="3435.43"/>
    <n v="6"/>
    <n v="0"/>
    <x v="1"/>
    <x v="1"/>
    <x v="0"/>
    <n v="415687.02999999997"/>
  </r>
  <r>
    <s v="ORD01483"/>
    <d v="2026-03-19T00:00:00"/>
    <x v="3"/>
    <x v="0"/>
    <x v="3"/>
    <s v="Bangalore"/>
    <x v="1"/>
    <n v="93"/>
    <n v="107"/>
    <n v="90"/>
    <n v="110"/>
    <n v="76"/>
    <n v="826.73"/>
    <n v="2"/>
    <n v="0"/>
    <x v="0"/>
    <x v="1"/>
    <x v="0"/>
    <n v="90940.3"/>
  </r>
  <r>
    <s v="ORD01484"/>
    <d v="2026-01-28T00:00:00"/>
    <x v="9"/>
    <x v="1"/>
    <x v="2"/>
    <s v="Mumbai"/>
    <x v="0"/>
    <n v="70"/>
    <n v="130"/>
    <n v="102"/>
    <n v="98"/>
    <n v="89"/>
    <n v="764.42"/>
    <n v="5"/>
    <n v="0"/>
    <x v="1"/>
    <x v="1"/>
    <x v="0"/>
    <n v="74913.159999999989"/>
  </r>
  <r>
    <s v="ORD01485"/>
    <d v="2026-12-05T00:00:00"/>
    <x v="0"/>
    <x v="0"/>
    <x v="4"/>
    <s v="Bangalore"/>
    <x v="1"/>
    <n v="137"/>
    <n v="71"/>
    <n v="28"/>
    <n v="180"/>
    <n v="53"/>
    <n v="1948.78"/>
    <n v="4"/>
    <n v="1"/>
    <x v="0"/>
    <x v="2"/>
    <x v="2"/>
    <n v="350780.4"/>
  </r>
  <r>
    <s v="ORD01486"/>
    <d v="2026-04-17T00:00:00"/>
    <x v="10"/>
    <x v="4"/>
    <x v="2"/>
    <s v="Mumbai"/>
    <x v="0"/>
    <n v="199"/>
    <n v="115"/>
    <n v="108"/>
    <n v="206"/>
    <n v="58"/>
    <n v="544.44000000000005"/>
    <n v="6"/>
    <n v="0"/>
    <x v="1"/>
    <x v="2"/>
    <x v="0"/>
    <n v="112154.64000000001"/>
  </r>
  <r>
    <s v="ORD01487"/>
    <d v="2026-02-21T00:00:00"/>
    <x v="12"/>
    <x v="4"/>
    <x v="2"/>
    <s v="Kolkata"/>
    <x v="3"/>
    <n v="206"/>
    <n v="105"/>
    <n v="53"/>
    <n v="258"/>
    <n v="94"/>
    <n v="502.1"/>
    <n v="3"/>
    <n v="0"/>
    <x v="1"/>
    <x v="2"/>
    <x v="0"/>
    <n v="129541.8"/>
  </r>
  <r>
    <s v="ORD01488"/>
    <d v="2026-03-18T00:00:00"/>
    <x v="16"/>
    <x v="0"/>
    <x v="4"/>
    <s v="Kolkata"/>
    <x v="3"/>
    <n v="200"/>
    <n v="87"/>
    <n v="32"/>
    <n v="255"/>
    <n v="66"/>
    <n v="1286.3599999999999"/>
    <n v="6"/>
    <n v="0"/>
    <x v="1"/>
    <x v="2"/>
    <x v="3"/>
    <n v="328021.8"/>
  </r>
  <r>
    <s v="ORD01489"/>
    <d v="2026-07-14T00:00:00"/>
    <x v="6"/>
    <x v="4"/>
    <x v="3"/>
    <s v="Mumbai"/>
    <x v="0"/>
    <n v="44"/>
    <n v="127"/>
    <n v="90"/>
    <n v="81"/>
    <n v="57"/>
    <n v="676.08"/>
    <n v="4"/>
    <n v="0"/>
    <x v="1"/>
    <x v="1"/>
    <x v="0"/>
    <n v="54762.48"/>
  </r>
  <r>
    <s v="ORD01490"/>
    <d v="2026-08-21T00:00:00"/>
    <x v="0"/>
    <x v="0"/>
    <x v="2"/>
    <s v="Delhi"/>
    <x v="2"/>
    <n v="72"/>
    <n v="119"/>
    <n v="103"/>
    <n v="88"/>
    <n v="82"/>
    <n v="1798.76"/>
    <n v="2"/>
    <n v="0"/>
    <x v="1"/>
    <x v="1"/>
    <x v="0"/>
    <n v="158290.88"/>
  </r>
  <r>
    <s v="ORD01491"/>
    <d v="2026-04-19T00:00:00"/>
    <x v="17"/>
    <x v="0"/>
    <x v="0"/>
    <s v="Mumbai"/>
    <x v="0"/>
    <n v="148"/>
    <n v="65"/>
    <n v="85"/>
    <n v="128"/>
    <n v="65"/>
    <n v="1411.1"/>
    <n v="5"/>
    <n v="0"/>
    <x v="1"/>
    <x v="1"/>
    <x v="3"/>
    <n v="180620.79999999999"/>
  </r>
  <r>
    <s v="ORD01492"/>
    <d v="2026-09-11T00:00:00"/>
    <x v="16"/>
    <x v="0"/>
    <x v="4"/>
    <s v="Mumbai"/>
    <x v="0"/>
    <n v="46"/>
    <n v="38"/>
    <n v="76"/>
    <n v="8"/>
    <n v="48"/>
    <n v="1181.3900000000001"/>
    <n v="4"/>
    <n v="8"/>
    <x v="1"/>
    <x v="0"/>
    <x v="0"/>
    <n v="9451.1200000000008"/>
  </r>
  <r>
    <s v="ORD01493"/>
    <d v="2026-03-08T00:00:00"/>
    <x v="18"/>
    <x v="2"/>
    <x v="2"/>
    <s v="Bangalore"/>
    <x v="1"/>
    <n v="153"/>
    <n v="112"/>
    <n v="107"/>
    <n v="158"/>
    <n v="50"/>
    <n v="3155.98"/>
    <n v="8"/>
    <n v="0"/>
    <x v="1"/>
    <x v="2"/>
    <x v="0"/>
    <n v="498644.84"/>
  </r>
  <r>
    <s v="ORD01494"/>
    <d v="2026-12-26T00:00:00"/>
    <x v="14"/>
    <x v="1"/>
    <x v="1"/>
    <s v="Bangalore"/>
    <x v="1"/>
    <n v="127"/>
    <n v="60"/>
    <n v="48"/>
    <n v="139"/>
    <n v="100"/>
    <n v="1490.75"/>
    <n v="7"/>
    <n v="0"/>
    <x v="1"/>
    <x v="1"/>
    <x v="0"/>
    <n v="207214.25"/>
  </r>
  <r>
    <s v="ORD01495"/>
    <d v="2026-06-07T00:00:00"/>
    <x v="18"/>
    <x v="2"/>
    <x v="2"/>
    <s v="Bangalore"/>
    <x v="1"/>
    <n v="71"/>
    <n v="22"/>
    <n v="93"/>
    <n v="0"/>
    <n v="68"/>
    <n v="3461.11"/>
    <n v="5"/>
    <n v="8"/>
    <x v="1"/>
    <x v="0"/>
    <x v="0"/>
    <n v="0"/>
  </r>
  <r>
    <s v="ORD01496"/>
    <d v="2026-09-03T00:00:00"/>
    <x v="12"/>
    <x v="4"/>
    <x v="0"/>
    <s v="Kolkata"/>
    <x v="3"/>
    <n v="191"/>
    <n v="106"/>
    <n v="59"/>
    <n v="238"/>
    <n v="68"/>
    <n v="478.5"/>
    <n v="8"/>
    <n v="0"/>
    <x v="1"/>
    <x v="2"/>
    <x v="0"/>
    <n v="113883"/>
  </r>
  <r>
    <s v="ORD01497"/>
    <d v="2026-03-04T00:00:00"/>
    <x v="17"/>
    <x v="0"/>
    <x v="0"/>
    <s v="Kolkata"/>
    <x v="3"/>
    <n v="151"/>
    <n v="20"/>
    <n v="29"/>
    <n v="142"/>
    <n v="47"/>
    <n v="1415.38"/>
    <n v="8"/>
    <n v="0"/>
    <x v="0"/>
    <x v="2"/>
    <x v="2"/>
    <n v="200983.96000000002"/>
  </r>
  <r>
    <s v="ORD01498"/>
    <d v="2026-08-05T00:00:00"/>
    <x v="17"/>
    <x v="0"/>
    <x v="4"/>
    <s v="Kolkata"/>
    <x v="3"/>
    <n v="181"/>
    <n v="49"/>
    <n v="27"/>
    <n v="203"/>
    <n v="73"/>
    <n v="1371.62"/>
    <n v="8"/>
    <n v="0"/>
    <x v="1"/>
    <x v="2"/>
    <x v="0"/>
    <n v="278438.86"/>
  </r>
  <r>
    <s v="ORD01499"/>
    <d v="2026-02-25T00:00:00"/>
    <x v="12"/>
    <x v="4"/>
    <x v="1"/>
    <s v="Bangalore"/>
    <x v="1"/>
    <n v="172"/>
    <n v="32"/>
    <n v="108"/>
    <n v="96"/>
    <n v="87"/>
    <n v="486.62"/>
    <n v="2"/>
    <n v="0"/>
    <x v="0"/>
    <x v="1"/>
    <x v="0"/>
    <n v="46715.520000000004"/>
  </r>
  <r>
    <s v="ORD01500"/>
    <d v="2026-05-28T00:00:00"/>
    <x v="18"/>
    <x v="2"/>
    <x v="3"/>
    <s v="Bangalore"/>
    <x v="1"/>
    <n v="90"/>
    <n v="85"/>
    <n v="20"/>
    <n v="155"/>
    <n v="71"/>
    <n v="3169.9"/>
    <n v="5"/>
    <n v="1"/>
    <x v="0"/>
    <x v="1"/>
    <x v="3"/>
    <n v="49133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81F747-06DA-4283-8430-E33CDAA9D333}" name="Inventory Status Coun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7" firstHeaderRow="0" firstDataRow="1" firstDataCol="1"/>
  <pivotFields count="19">
    <pivotField dataField="1" showAll="0"/>
    <pivotField numFmtId="164" showAll="0"/>
    <pivotField showAll="0"/>
    <pivotField showAll="0"/>
    <pivotField showAll="0"/>
    <pivotField showAll="0"/>
    <pivotField showAll="0"/>
    <pivotField showAll="0"/>
    <pivotField showAll="0"/>
    <pivotField showAll="0"/>
    <pivotField dataField="1" showAll="0"/>
    <pivotField showAll="0"/>
    <pivotField numFmtId="165" showAll="0"/>
    <pivotField showAll="0"/>
    <pivotField showAll="0"/>
    <pivotField showAll="0"/>
    <pivotField axis="axisRow" showAll="0">
      <items count="4">
        <item x="1"/>
        <item x="0"/>
        <item x="2"/>
        <item t="default"/>
      </items>
    </pivotField>
    <pivotField showAll="0"/>
    <pivotField numFmtId="166" showAll="0"/>
  </pivotFields>
  <rowFields count="1">
    <field x="16"/>
  </rowFields>
  <rowItems count="4">
    <i>
      <x/>
    </i>
    <i>
      <x v="1"/>
    </i>
    <i>
      <x v="2"/>
    </i>
    <i t="grand">
      <x/>
    </i>
  </rowItems>
  <colFields count="1">
    <field x="-2"/>
  </colFields>
  <colItems count="2">
    <i>
      <x/>
    </i>
    <i i="1">
      <x v="1"/>
    </i>
  </colItems>
  <dataFields count="2">
    <dataField name="Count of Order ID" fld="0" subtotal="count" baseField="0" baseItem="0"/>
    <dataField name="Sum of Closing Stock" fld="10" baseField="0" baseItem="0"/>
  </dataField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6" count="1" selected="0">
            <x v="0"/>
          </reference>
        </references>
      </pivotArea>
    </chartFormat>
    <chartFormat chart="3" format="4">
      <pivotArea type="data" outline="0" fieldPosition="0">
        <references count="2">
          <reference field="4294967294" count="1" selected="0">
            <x v="0"/>
          </reference>
          <reference field="16" count="1" selected="0">
            <x v="1"/>
          </reference>
        </references>
      </pivotArea>
    </chartFormat>
    <chartFormat chart="3" format="5">
      <pivotArea type="data" outline="0" fieldPosition="0">
        <references count="2">
          <reference field="4294967294" count="1" selected="0">
            <x v="0"/>
          </reference>
          <reference field="16" count="1" selected="0">
            <x v="2"/>
          </reference>
        </references>
      </pivotArea>
    </chartFormat>
    <chartFormat chart="3" format="6" series="1">
      <pivotArea type="data" outline="0" fieldPosition="0">
        <references count="1">
          <reference field="4294967294" count="1" selected="0">
            <x v="1"/>
          </reference>
        </references>
      </pivotArea>
    </chartFormat>
    <chartFormat chart="3" format="7">
      <pivotArea type="data" outline="0" fieldPosition="0">
        <references count="2">
          <reference field="4294967294" count="1" selected="0">
            <x v="1"/>
          </reference>
          <reference field="16" count="1" selected="0">
            <x v="0"/>
          </reference>
        </references>
      </pivotArea>
    </chartFormat>
    <chartFormat chart="3" format="8">
      <pivotArea type="data" outline="0" fieldPosition="0">
        <references count="2">
          <reference field="4294967294" count="1" selected="0">
            <x v="1"/>
          </reference>
          <reference field="16" count="1" selected="0">
            <x v="1"/>
          </reference>
        </references>
      </pivotArea>
    </chartFormat>
    <chartFormat chart="3" format="9">
      <pivotArea type="data" outline="0" fieldPosition="0">
        <references count="2">
          <reference field="4294967294" count="1" selected="0">
            <x v="1"/>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6B9E8F-F1A5-498E-B821-7B5AB49DA5EA}"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45:Q51" firstHeaderRow="1" firstDataRow="2" firstDataCol="1"/>
  <pivotFields count="19">
    <pivotField dataField="1" showAll="0"/>
    <pivotField numFmtId="164" showAll="0"/>
    <pivotField showAll="0"/>
    <pivotField showAll="0">
      <items count="6">
        <item x="4"/>
        <item x="0"/>
        <item x="1"/>
        <item x="2"/>
        <item x="3"/>
        <item t="default"/>
      </items>
    </pivotField>
    <pivotField showAll="0">
      <items count="6">
        <item x="1"/>
        <item x="3"/>
        <item x="2"/>
        <item x="4"/>
        <item x="0"/>
        <item t="default"/>
      </items>
    </pivotField>
    <pivotField showAll="0"/>
    <pivotField axis="axisRow" showAll="0">
      <items count="5">
        <item x="3"/>
        <item x="2"/>
        <item x="1"/>
        <item x="0"/>
        <item t="default"/>
      </items>
    </pivotField>
    <pivotField showAll="0"/>
    <pivotField showAll="0"/>
    <pivotField showAll="0"/>
    <pivotField showAll="0"/>
    <pivotField showAll="0"/>
    <pivotField numFmtId="165" showAll="0"/>
    <pivotField showAll="0"/>
    <pivotField showAll="0"/>
    <pivotField showAll="0"/>
    <pivotField showAll="0">
      <items count="4">
        <item x="1"/>
        <item x="0"/>
        <item x="2"/>
        <item t="default"/>
      </items>
    </pivotField>
    <pivotField axis="axisCol" showAll="0">
      <items count="5">
        <item x="1"/>
        <item x="0"/>
        <item x="2"/>
        <item x="3"/>
        <item t="default"/>
      </items>
    </pivotField>
    <pivotField numFmtId="165" showAll="0"/>
  </pivotFields>
  <rowFields count="1">
    <field x="6"/>
  </rowFields>
  <rowItems count="5">
    <i>
      <x/>
    </i>
    <i>
      <x v="1"/>
    </i>
    <i>
      <x v="2"/>
    </i>
    <i>
      <x v="3"/>
    </i>
    <i t="grand">
      <x/>
    </i>
  </rowItems>
  <colFields count="1">
    <field x="17"/>
  </colFields>
  <colItems count="5">
    <i>
      <x/>
    </i>
    <i>
      <x v="1"/>
    </i>
    <i>
      <x v="2"/>
    </i>
    <i>
      <x v="3"/>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C24728-3D37-42FD-AFA2-850C69239F6A}" name="Overstocked Products By Inventory Valu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C44" firstHeaderRow="0" firstDataRow="1" firstDataCol="1" rowPageCount="1" colPageCount="1"/>
  <pivotFields count="19">
    <pivotField showAll="0"/>
    <pivotField numFmtId="164" showAll="0"/>
    <pivotField axis="axisRow" showAll="0" sortType="descending">
      <items count="21">
        <item x="19"/>
        <item x="0"/>
        <item x="18"/>
        <item x="11"/>
        <item x="13"/>
        <item x="15"/>
        <item x="5"/>
        <item x="1"/>
        <item x="14"/>
        <item x="17"/>
        <item x="10"/>
        <item x="8"/>
        <item x="12"/>
        <item x="2"/>
        <item x="4"/>
        <item x="6"/>
        <item x="9"/>
        <item x="16"/>
        <item x="3"/>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numFmtId="165" showAll="0"/>
    <pivotField showAll="0"/>
    <pivotField showAll="0"/>
    <pivotField showAll="0"/>
    <pivotField axis="axisPage" showAll="0">
      <items count="4">
        <item x="1"/>
        <item x="0"/>
        <item x="2"/>
        <item t="default"/>
      </items>
    </pivotField>
    <pivotField showAll="0"/>
    <pivotField dataField="1" numFmtId="166" showAll="0"/>
  </pivotFields>
  <rowFields count="1">
    <field x="2"/>
  </rowFields>
  <rowItems count="21">
    <i>
      <x v="2"/>
    </i>
    <i>
      <x v="11"/>
    </i>
    <i>
      <x v="13"/>
    </i>
    <i>
      <x v="3"/>
    </i>
    <i>
      <x v="8"/>
    </i>
    <i>
      <x v="1"/>
    </i>
    <i>
      <x/>
    </i>
    <i>
      <x v="4"/>
    </i>
    <i>
      <x v="6"/>
    </i>
    <i>
      <x v="17"/>
    </i>
    <i>
      <x v="7"/>
    </i>
    <i>
      <x v="14"/>
    </i>
    <i>
      <x v="15"/>
    </i>
    <i>
      <x v="19"/>
    </i>
    <i>
      <x v="9"/>
    </i>
    <i>
      <x v="18"/>
    </i>
    <i>
      <x v="12"/>
    </i>
    <i>
      <x v="16"/>
    </i>
    <i>
      <x v="10"/>
    </i>
    <i>
      <x v="5"/>
    </i>
    <i t="grand">
      <x/>
    </i>
  </rowItems>
  <colFields count="1">
    <field x="-2"/>
  </colFields>
  <colItems count="2">
    <i>
      <x/>
    </i>
    <i i="1">
      <x v="1"/>
    </i>
  </colItems>
  <pageFields count="1">
    <pageField fld="16" item="2" hier="-1"/>
  </pageFields>
  <dataFields count="2">
    <dataField name="Sum of Inventory Value" fld="18" baseField="0" baseItem="0" numFmtId="166"/>
    <dataField name="Sum of Closing Stock"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7AB9B0-58AA-44C7-B4D6-725D9D1094AB}"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9:Q81" firstHeaderRow="1" firstDataRow="2" firstDataCol="1"/>
  <pivotFields count="19">
    <pivotField dataField="1" showAll="0"/>
    <pivotField numFmtId="164" showAll="0"/>
    <pivotField axis="axisRow" showAll="0" sortType="descending">
      <items count="21">
        <item x="19"/>
        <item x="0"/>
        <item x="18"/>
        <item x="11"/>
        <item x="13"/>
        <item x="15"/>
        <item x="5"/>
        <item x="1"/>
        <item x="14"/>
        <item x="17"/>
        <item x="10"/>
        <item x="8"/>
        <item x="12"/>
        <item x="2"/>
        <item x="4"/>
        <item x="6"/>
        <item x="9"/>
        <item x="16"/>
        <item x="3"/>
        <item x="7"/>
        <item t="default"/>
      </items>
      <autoSortScope>
        <pivotArea dataOnly="0" outline="0" fieldPosition="0">
          <references count="2">
            <reference field="4294967294" count="1" selected="0">
              <x v="0"/>
            </reference>
            <reference field="17" count="1" selected="0">
              <x v="3"/>
            </reference>
          </references>
        </pivotArea>
      </autoSortScope>
    </pivotField>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axis="axisCol" showAll="0">
      <items count="5">
        <item x="1"/>
        <item x="0"/>
        <item x="2"/>
        <item x="3"/>
        <item t="default"/>
      </items>
    </pivotField>
    <pivotField numFmtId="165" showAll="0"/>
  </pivotFields>
  <rowFields count="1">
    <field x="2"/>
  </rowFields>
  <rowItems count="21">
    <i>
      <x v="12"/>
    </i>
    <i>
      <x v="17"/>
    </i>
    <i>
      <x v="15"/>
    </i>
    <i>
      <x v="7"/>
    </i>
    <i>
      <x/>
    </i>
    <i>
      <x v="4"/>
    </i>
    <i>
      <x v="13"/>
    </i>
    <i>
      <x v="10"/>
    </i>
    <i>
      <x v="16"/>
    </i>
    <i>
      <x v="6"/>
    </i>
    <i>
      <x v="5"/>
    </i>
    <i>
      <x v="14"/>
    </i>
    <i>
      <x v="8"/>
    </i>
    <i>
      <x v="3"/>
    </i>
    <i>
      <x v="11"/>
    </i>
    <i>
      <x v="18"/>
    </i>
    <i>
      <x v="19"/>
    </i>
    <i>
      <x v="2"/>
    </i>
    <i>
      <x v="1"/>
    </i>
    <i>
      <x v="9"/>
    </i>
    <i t="grand">
      <x/>
    </i>
  </rowItems>
  <colFields count="1">
    <field x="17"/>
  </colFields>
  <colItems count="5">
    <i>
      <x/>
    </i>
    <i>
      <x v="1"/>
    </i>
    <i>
      <x v="2"/>
    </i>
    <i>
      <x v="3"/>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253B24-2CF0-402D-A383-40BF0E014544}"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D69" firstHeaderRow="0" firstDataRow="1" firstDataCol="1"/>
  <pivotFields count="19">
    <pivotField dataField="1" showAll="0"/>
    <pivotField numFmtId="164" showAll="0"/>
    <pivotField axis="axisRow" showAll="0" sortType="descending">
      <items count="21">
        <item x="19"/>
        <item x="0"/>
        <item x="18"/>
        <item x="11"/>
        <item x="13"/>
        <item x="15"/>
        <item x="5"/>
        <item x="1"/>
        <item x="14"/>
        <item x="17"/>
        <item x="10"/>
        <item x="8"/>
        <item x="12"/>
        <item x="2"/>
        <item x="4"/>
        <item x="6"/>
        <item x="9"/>
        <item x="16"/>
        <item x="3"/>
        <item x="7"/>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numFmtId="165" showAll="0"/>
    <pivotField showAll="0"/>
    <pivotField dataField="1" showAll="0"/>
    <pivotField showAll="0"/>
    <pivotField showAll="0"/>
    <pivotField showAll="0"/>
    <pivotField numFmtId="166" showAll="0"/>
  </pivotFields>
  <rowFields count="1">
    <field x="2"/>
  </rowFields>
  <rowItems count="21">
    <i>
      <x v="3"/>
    </i>
    <i>
      <x v="7"/>
    </i>
    <i>
      <x v="10"/>
    </i>
    <i>
      <x v="16"/>
    </i>
    <i>
      <x v="12"/>
    </i>
    <i>
      <x v="13"/>
    </i>
    <i>
      <x v="9"/>
    </i>
    <i>
      <x/>
    </i>
    <i>
      <x v="19"/>
    </i>
    <i>
      <x v="1"/>
    </i>
    <i>
      <x v="18"/>
    </i>
    <i>
      <x v="2"/>
    </i>
    <i>
      <x v="6"/>
    </i>
    <i>
      <x v="8"/>
    </i>
    <i>
      <x v="14"/>
    </i>
    <i>
      <x v="15"/>
    </i>
    <i>
      <x v="17"/>
    </i>
    <i>
      <x v="4"/>
    </i>
    <i>
      <x v="11"/>
    </i>
    <i>
      <x v="5"/>
    </i>
    <i t="grand">
      <x/>
    </i>
  </rowItems>
  <colFields count="1">
    <field x="-2"/>
  </colFields>
  <colItems count="3">
    <i>
      <x/>
    </i>
    <i i="1">
      <x v="1"/>
    </i>
    <i i="2">
      <x v="2"/>
    </i>
  </colItems>
  <dataFields count="3">
    <dataField name="Sum of Stockout Days" fld="14" baseField="0" baseItem="0"/>
    <dataField name="Count of Order ID" fld="0" subtotal="count" baseField="0" baseItem="0"/>
    <dataField name="Average of Stockout Days" fld="14" subtotal="average" baseField="2" baseItem="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43203A-11A0-4E44-B81D-6EE3D9302637}" name="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56:U61" firstHeaderRow="1" firstDataRow="1" firstDataCol="1"/>
  <pivotFields count="2">
    <pivotField axis="axisRow" showAll="0">
      <items count="5">
        <item x="0"/>
        <item x="1"/>
        <item x="2"/>
        <item x="3"/>
        <item t="default"/>
      </items>
    </pivotField>
    <pivotField dataField="1" numFmtId="10" showAll="0"/>
  </pivotFields>
  <rowFields count="1">
    <field x="0"/>
  </rowFields>
  <rowItems count="5">
    <i>
      <x/>
    </i>
    <i>
      <x v="1"/>
    </i>
    <i>
      <x v="2"/>
    </i>
    <i>
      <x v="3"/>
    </i>
    <i t="grand">
      <x/>
    </i>
  </rowItems>
  <colItems count="1">
    <i/>
  </colItems>
  <dataFields count="1">
    <dataField name="Sum of Fullfillment Rate" fld="1"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2D571D-AD55-4E2E-898A-130E45FE5650}" name="Inventory Value by Region"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25:P31" firstHeaderRow="1" firstDataRow="2" firstDataCol="1"/>
  <pivotFields count="19">
    <pivotField showAll="0"/>
    <pivotField numFmtId="164" showAll="0"/>
    <pivotField showAll="0"/>
    <pivotField showAll="0"/>
    <pivotField showAll="0"/>
    <pivotField showAll="0"/>
    <pivotField axis="axisRow" showAll="0">
      <items count="5">
        <item x="3"/>
        <item x="2"/>
        <item x="1"/>
        <item x="0"/>
        <item t="default"/>
      </items>
    </pivotField>
    <pivotField showAll="0"/>
    <pivotField showAll="0"/>
    <pivotField showAll="0"/>
    <pivotField showAll="0"/>
    <pivotField showAll="0"/>
    <pivotField numFmtId="165" showAll="0"/>
    <pivotField showAll="0"/>
    <pivotField showAll="0"/>
    <pivotField showAll="0"/>
    <pivotField axis="axisCol" showAll="0">
      <items count="4">
        <item x="1"/>
        <item x="0"/>
        <item x="2"/>
        <item t="default"/>
      </items>
    </pivotField>
    <pivotField showAll="0"/>
    <pivotField dataField="1" numFmtId="165" showAll="0"/>
  </pivotFields>
  <rowFields count="1">
    <field x="6"/>
  </rowFields>
  <rowItems count="5">
    <i>
      <x/>
    </i>
    <i>
      <x v="1"/>
    </i>
    <i>
      <x v="2"/>
    </i>
    <i>
      <x v="3"/>
    </i>
    <i t="grand">
      <x/>
    </i>
  </rowItems>
  <colFields count="1">
    <field x="16"/>
  </colFields>
  <colItems count="4">
    <i>
      <x/>
    </i>
    <i>
      <x v="1"/>
    </i>
    <i>
      <x v="2"/>
    </i>
    <i t="grand">
      <x/>
    </i>
  </colItems>
  <dataFields count="1">
    <dataField name="Sum of Inventory Value" fld="18" baseField="0" baseItem="0" numFmtId="165"/>
  </dataFields>
  <chartFormats count="3">
    <chartFormat chart="1" format="3" series="1">
      <pivotArea type="data" outline="0" fieldPosition="0">
        <references count="2">
          <reference field="4294967294" count="1" selected="0">
            <x v="0"/>
          </reference>
          <reference field="16" count="1" selected="0">
            <x v="0"/>
          </reference>
        </references>
      </pivotArea>
    </chartFormat>
    <chartFormat chart="1" format="4" series="1">
      <pivotArea type="data" outline="0" fieldPosition="0">
        <references count="2">
          <reference field="4294967294" count="1" selected="0">
            <x v="0"/>
          </reference>
          <reference field="16" count="1" selected="0">
            <x v="1"/>
          </reference>
        </references>
      </pivotArea>
    </chartFormat>
    <chartFormat chart="1" format="5"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D8614B-05BC-4CBA-BF0C-98A72BF8DE7A}"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7:O22" firstHeaderRow="0" firstDataRow="1" firstDataCol="1"/>
  <pivotFields count="19">
    <pivotField dataField="1" showAll="0"/>
    <pivotField numFmtId="164" showAll="0"/>
    <pivotField showAll="0"/>
    <pivotField showAll="0"/>
    <pivotField showAll="0"/>
    <pivotField showAll="0"/>
    <pivotField axis="axisRow" showAll="0">
      <items count="5">
        <item x="3"/>
        <item x="2"/>
        <item x="1"/>
        <item x="0"/>
        <item t="default"/>
      </items>
    </pivotField>
    <pivotField showAll="0"/>
    <pivotField showAll="0"/>
    <pivotField showAll="0"/>
    <pivotField showAll="0"/>
    <pivotField showAll="0"/>
    <pivotField numFmtId="165" showAll="0"/>
    <pivotField showAll="0"/>
    <pivotField dataField="1" showAll="0"/>
    <pivotField showAll="0"/>
    <pivotField showAll="0"/>
    <pivotField showAll="0"/>
    <pivotField numFmtId="165" showAll="0"/>
  </pivotFields>
  <rowFields count="1">
    <field x="6"/>
  </rowFields>
  <rowItems count="5">
    <i>
      <x/>
    </i>
    <i>
      <x v="1"/>
    </i>
    <i>
      <x v="2"/>
    </i>
    <i>
      <x v="3"/>
    </i>
    <i t="grand">
      <x/>
    </i>
  </rowItems>
  <colFields count="1">
    <field x="-2"/>
  </colFields>
  <colItems count="3">
    <i>
      <x/>
    </i>
    <i i="1">
      <x v="1"/>
    </i>
    <i i="2">
      <x v="2"/>
    </i>
  </colItems>
  <dataFields count="3">
    <dataField name="Sum of Stockout Days" fld="14" baseField="0" baseItem="0"/>
    <dataField name="Average of Stockout Days" fld="14" subtotal="average" baseField="6"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76DC21-A005-425F-800F-57417A7A4223}"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3:D77" firstHeaderRow="0" firstDataRow="1" firstDataCol="1"/>
  <pivotFields count="19">
    <pivotField dataField="1" showAll="0"/>
    <pivotField numFmtId="164" showAll="0"/>
    <pivotField showAll="0"/>
    <pivotField showAll="0"/>
    <pivotField showAll="0"/>
    <pivotField showAll="0"/>
    <pivotField showAll="0"/>
    <pivotField showAll="0"/>
    <pivotField showAll="0"/>
    <pivotField showAll="0"/>
    <pivotField showAll="0"/>
    <pivotField showAll="0"/>
    <pivotField numFmtId="165" showAll="0"/>
    <pivotField showAll="0"/>
    <pivotField dataField="1" showAll="0"/>
    <pivotField showAll="0"/>
    <pivotField axis="axisRow" showAll="0">
      <items count="4">
        <item x="1"/>
        <item x="0"/>
        <item x="2"/>
        <item t="default"/>
      </items>
    </pivotField>
    <pivotField showAll="0"/>
    <pivotField numFmtId="166" showAll="0"/>
  </pivotFields>
  <rowFields count="1">
    <field x="16"/>
  </rowFields>
  <rowItems count="4">
    <i>
      <x/>
    </i>
    <i>
      <x v="1"/>
    </i>
    <i>
      <x v="2"/>
    </i>
    <i t="grand">
      <x/>
    </i>
  </rowItems>
  <colFields count="1">
    <field x="-2"/>
  </colFields>
  <colItems count="3">
    <i>
      <x/>
    </i>
    <i i="1">
      <x v="1"/>
    </i>
    <i i="2">
      <x v="2"/>
    </i>
  </colItems>
  <dataFields count="3">
    <dataField name="Sum of Stockout Days" fld="14" baseField="0" baseItem="0"/>
    <dataField name="Average of Stockout Days" fld="14" subtotal="average" baseField="16" baseItem="0"/>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813087-7917-42B5-BC1C-A8195A04F326}" name="PivotTable2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06:M127" firstHeaderRow="1" firstDataRow="1" firstDataCol="1"/>
  <pivotFields count="19">
    <pivotField showAll="0"/>
    <pivotField numFmtId="164" showAll="0"/>
    <pivotField axis="axisRow" showAll="0" sortType="descending">
      <items count="21">
        <item x="19"/>
        <item x="0"/>
        <item x="18"/>
        <item x="11"/>
        <item x="13"/>
        <item x="15"/>
        <item x="5"/>
        <item x="1"/>
        <item x="14"/>
        <item x="17"/>
        <item x="10"/>
        <item x="8"/>
        <item x="12"/>
        <item x="2"/>
        <item x="4"/>
        <item x="6"/>
        <item x="9"/>
        <item x="16"/>
        <item x="3"/>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65" showAll="0"/>
    <pivotField showAll="0"/>
    <pivotField dataField="1" showAll="0"/>
    <pivotField showAll="0"/>
    <pivotField showAll="0"/>
    <pivotField showAll="0"/>
    <pivotField numFmtId="165" showAll="0"/>
  </pivotFields>
  <rowFields count="1">
    <field x="2"/>
  </rowFields>
  <rowItems count="21">
    <i>
      <x v="3"/>
    </i>
    <i>
      <x v="7"/>
    </i>
    <i>
      <x v="10"/>
    </i>
    <i>
      <x v="16"/>
    </i>
    <i>
      <x v="12"/>
    </i>
    <i>
      <x v="13"/>
    </i>
    <i>
      <x v="9"/>
    </i>
    <i>
      <x/>
    </i>
    <i>
      <x v="19"/>
    </i>
    <i>
      <x v="1"/>
    </i>
    <i>
      <x v="18"/>
    </i>
    <i>
      <x v="2"/>
    </i>
    <i>
      <x v="6"/>
    </i>
    <i>
      <x v="8"/>
    </i>
    <i>
      <x v="14"/>
    </i>
    <i>
      <x v="15"/>
    </i>
    <i>
      <x v="17"/>
    </i>
    <i>
      <x v="4"/>
    </i>
    <i>
      <x v="11"/>
    </i>
    <i>
      <x v="5"/>
    </i>
    <i t="grand">
      <x/>
    </i>
  </rowItems>
  <colItems count="1">
    <i/>
  </colItems>
  <dataFields count="1">
    <dataField name="Average of Stockout Days" fld="14" subtotal="average" baseField="2"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15F1CE-6DB6-4A8F-98AA-0C260B1B33F4}"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3:I120" firstHeaderRow="1" firstDataRow="2" firstDataCol="1"/>
  <pivotFields count="19">
    <pivotField dataField="1" showAll="0"/>
    <pivotField numFmtId="164" showAll="0"/>
    <pivotField axis="axisRow" showAll="0">
      <items count="21">
        <item x="19"/>
        <item x="0"/>
        <item x="18"/>
        <item x="11"/>
        <item x="13"/>
        <item x="15"/>
        <item x="5"/>
        <item x="1"/>
        <item x="14"/>
        <item x="17"/>
        <item x="10"/>
        <item x="8"/>
        <item x="12"/>
        <item x="2"/>
        <item x="4"/>
        <item x="6"/>
        <item x="9"/>
        <item x="16"/>
        <item x="3"/>
        <item x="7"/>
        <item t="default"/>
      </items>
    </pivotField>
    <pivotField showAll="0"/>
    <pivotField axis="axisRow" showAll="0">
      <items count="6">
        <item x="1"/>
        <item x="3"/>
        <item x="2"/>
        <item x="4"/>
        <item x="0"/>
        <item t="default"/>
      </items>
    </pivotField>
    <pivotField showAll="0"/>
    <pivotField showAll="0"/>
    <pivotField showAll="0"/>
    <pivotField showAll="0"/>
    <pivotField showAll="0"/>
    <pivotField showAll="0"/>
    <pivotField showAll="0"/>
    <pivotField numFmtId="165" showAll="0"/>
    <pivotField showAll="0"/>
    <pivotField showAll="0"/>
    <pivotField axis="axisCol" showAll="0">
      <items count="3">
        <item x="0"/>
        <item x="1"/>
        <item t="default"/>
      </items>
    </pivotField>
    <pivotField showAll="0"/>
    <pivotField showAll="0"/>
    <pivotField numFmtId="166" showAll="0"/>
  </pivotFields>
  <rowFields count="2">
    <field x="4"/>
    <field x="2"/>
  </rowFields>
  <rowItems count="106">
    <i>
      <x/>
    </i>
    <i r="1">
      <x/>
    </i>
    <i r="1">
      <x v="1"/>
    </i>
    <i r="1">
      <x v="2"/>
    </i>
    <i r="1">
      <x v="3"/>
    </i>
    <i r="1">
      <x v="4"/>
    </i>
    <i r="1">
      <x v="5"/>
    </i>
    <i r="1">
      <x v="6"/>
    </i>
    <i r="1">
      <x v="7"/>
    </i>
    <i r="1">
      <x v="8"/>
    </i>
    <i r="1">
      <x v="9"/>
    </i>
    <i r="1">
      <x v="10"/>
    </i>
    <i r="1">
      <x v="11"/>
    </i>
    <i r="1">
      <x v="12"/>
    </i>
    <i r="1">
      <x v="13"/>
    </i>
    <i r="1">
      <x v="14"/>
    </i>
    <i r="1">
      <x v="15"/>
    </i>
    <i r="1">
      <x v="16"/>
    </i>
    <i r="1">
      <x v="17"/>
    </i>
    <i r="1">
      <x v="18"/>
    </i>
    <i r="1">
      <x v="19"/>
    </i>
    <i>
      <x v="1"/>
    </i>
    <i r="1">
      <x/>
    </i>
    <i r="1">
      <x v="1"/>
    </i>
    <i r="1">
      <x v="2"/>
    </i>
    <i r="1">
      <x v="3"/>
    </i>
    <i r="1">
      <x v="4"/>
    </i>
    <i r="1">
      <x v="5"/>
    </i>
    <i r="1">
      <x v="6"/>
    </i>
    <i r="1">
      <x v="7"/>
    </i>
    <i r="1">
      <x v="8"/>
    </i>
    <i r="1">
      <x v="9"/>
    </i>
    <i r="1">
      <x v="10"/>
    </i>
    <i r="1">
      <x v="11"/>
    </i>
    <i r="1">
      <x v="12"/>
    </i>
    <i r="1">
      <x v="13"/>
    </i>
    <i r="1">
      <x v="14"/>
    </i>
    <i r="1">
      <x v="15"/>
    </i>
    <i r="1">
      <x v="16"/>
    </i>
    <i r="1">
      <x v="17"/>
    </i>
    <i r="1">
      <x v="18"/>
    </i>
    <i r="1">
      <x v="19"/>
    </i>
    <i>
      <x v="2"/>
    </i>
    <i r="1">
      <x/>
    </i>
    <i r="1">
      <x v="1"/>
    </i>
    <i r="1">
      <x v="2"/>
    </i>
    <i r="1">
      <x v="3"/>
    </i>
    <i r="1">
      <x v="4"/>
    </i>
    <i r="1">
      <x v="5"/>
    </i>
    <i r="1">
      <x v="6"/>
    </i>
    <i r="1">
      <x v="7"/>
    </i>
    <i r="1">
      <x v="8"/>
    </i>
    <i r="1">
      <x v="9"/>
    </i>
    <i r="1">
      <x v="10"/>
    </i>
    <i r="1">
      <x v="11"/>
    </i>
    <i r="1">
      <x v="12"/>
    </i>
    <i r="1">
      <x v="13"/>
    </i>
    <i r="1">
      <x v="14"/>
    </i>
    <i r="1">
      <x v="15"/>
    </i>
    <i r="1">
      <x v="16"/>
    </i>
    <i r="1">
      <x v="17"/>
    </i>
    <i r="1">
      <x v="18"/>
    </i>
    <i r="1">
      <x v="19"/>
    </i>
    <i>
      <x v="3"/>
    </i>
    <i r="1">
      <x/>
    </i>
    <i r="1">
      <x v="1"/>
    </i>
    <i r="1">
      <x v="2"/>
    </i>
    <i r="1">
      <x v="3"/>
    </i>
    <i r="1">
      <x v="4"/>
    </i>
    <i r="1">
      <x v="5"/>
    </i>
    <i r="1">
      <x v="6"/>
    </i>
    <i r="1">
      <x v="7"/>
    </i>
    <i r="1">
      <x v="8"/>
    </i>
    <i r="1">
      <x v="9"/>
    </i>
    <i r="1">
      <x v="10"/>
    </i>
    <i r="1">
      <x v="11"/>
    </i>
    <i r="1">
      <x v="12"/>
    </i>
    <i r="1">
      <x v="13"/>
    </i>
    <i r="1">
      <x v="14"/>
    </i>
    <i r="1">
      <x v="15"/>
    </i>
    <i r="1">
      <x v="16"/>
    </i>
    <i r="1">
      <x v="17"/>
    </i>
    <i r="1">
      <x v="18"/>
    </i>
    <i r="1">
      <x v="19"/>
    </i>
    <i>
      <x v="4"/>
    </i>
    <i r="1">
      <x/>
    </i>
    <i r="1">
      <x v="1"/>
    </i>
    <i r="1">
      <x v="2"/>
    </i>
    <i r="1">
      <x v="3"/>
    </i>
    <i r="1">
      <x v="4"/>
    </i>
    <i r="1">
      <x v="5"/>
    </i>
    <i r="1">
      <x v="6"/>
    </i>
    <i r="1">
      <x v="7"/>
    </i>
    <i r="1">
      <x v="8"/>
    </i>
    <i r="1">
      <x v="9"/>
    </i>
    <i r="1">
      <x v="10"/>
    </i>
    <i r="1">
      <x v="11"/>
    </i>
    <i r="1">
      <x v="12"/>
    </i>
    <i r="1">
      <x v="13"/>
    </i>
    <i r="1">
      <x v="14"/>
    </i>
    <i r="1">
      <x v="15"/>
    </i>
    <i r="1">
      <x v="16"/>
    </i>
    <i r="1">
      <x v="17"/>
    </i>
    <i r="1">
      <x v="18"/>
    </i>
    <i r="1">
      <x v="19"/>
    </i>
    <i t="grand">
      <x/>
    </i>
  </rowItems>
  <colFields count="1">
    <field x="15"/>
  </colFields>
  <colItems count="3">
    <i>
      <x/>
    </i>
    <i>
      <x v="1"/>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0CAD83-B819-4078-94B8-F88DEAA1F065}"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P9" firstHeaderRow="1" firstDataRow="2" firstDataCol="1"/>
  <pivotFields count="19">
    <pivotField dataField="1" showAll="0"/>
    <pivotField numFmtId="164"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 numFmtId="165" showAll="0"/>
    <pivotField showAll="0"/>
    <pivotField showAll="0"/>
    <pivotField showAll="0"/>
    <pivotField axis="axisCol" showAll="0">
      <items count="4">
        <item x="1"/>
        <item x="0"/>
        <item x="2"/>
        <item t="default"/>
      </items>
    </pivotField>
    <pivotField showAll="0"/>
    <pivotField numFmtId="166" showAll="0"/>
  </pivotFields>
  <rowFields count="1">
    <field x="6"/>
  </rowFields>
  <rowItems count="5">
    <i>
      <x/>
    </i>
    <i>
      <x v="1"/>
    </i>
    <i>
      <x v="2"/>
    </i>
    <i>
      <x v="3"/>
    </i>
    <i t="grand">
      <x/>
    </i>
  </rowItems>
  <colFields count="1">
    <field x="16"/>
  </colFields>
  <colItems count="4">
    <i>
      <x/>
    </i>
    <i>
      <x v="1"/>
    </i>
    <i>
      <x v="2"/>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0E0759D-D57E-4CB0-BE7D-176D441F3B15}"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I10" firstHeaderRow="1" firstDataRow="2" firstDataCol="1"/>
  <pivotFields count="19">
    <pivotField dataField="1" showAll="0"/>
    <pivotField numFmtId="164" showAll="0"/>
    <pivotField showAll="0"/>
    <pivotField showAll="0"/>
    <pivotField axis="axisRow" showAll="0">
      <items count="6">
        <item x="1"/>
        <item x="3"/>
        <item x="2"/>
        <item x="4"/>
        <item x="0"/>
        <item t="default"/>
      </items>
    </pivotField>
    <pivotField showAll="0"/>
    <pivotField showAll="0"/>
    <pivotField showAll="0"/>
    <pivotField showAll="0"/>
    <pivotField showAll="0"/>
    <pivotField showAll="0"/>
    <pivotField showAll="0"/>
    <pivotField numFmtId="165" showAll="0"/>
    <pivotField showAll="0"/>
    <pivotField showAll="0"/>
    <pivotField axis="axisCol" showAll="0">
      <items count="3">
        <item x="0"/>
        <item x="1"/>
        <item t="default"/>
      </items>
    </pivotField>
    <pivotField showAll="0"/>
    <pivotField showAll="0"/>
    <pivotField numFmtId="166" showAll="0"/>
  </pivotFields>
  <rowFields count="1">
    <field x="4"/>
  </rowFields>
  <rowItems count="6">
    <i>
      <x/>
    </i>
    <i>
      <x v="1"/>
    </i>
    <i>
      <x v="2"/>
    </i>
    <i>
      <x v="3"/>
    </i>
    <i>
      <x v="4"/>
    </i>
    <i t="grand">
      <x/>
    </i>
  </rowItems>
  <colFields count="1">
    <field x="15"/>
  </colFields>
  <colItems count="3">
    <i>
      <x/>
    </i>
    <i>
      <x v="1"/>
    </i>
    <i t="grand">
      <x/>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BCBFD02-3958-4F40-BA83-136900D8BBA5}" name="Inventory Status Value Coun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3:B17" firstHeaderRow="1" firstDataRow="1" firstDataCol="1"/>
  <pivotFields count="19">
    <pivotField showAll="0"/>
    <pivotField numFmtId="164"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axis="axisRow" showAll="0">
      <items count="4">
        <item x="1"/>
        <item x="0"/>
        <item x="2"/>
        <item t="default"/>
      </items>
    </pivotField>
    <pivotField showAll="0"/>
    <pivotField dataField="1" numFmtId="166" showAll="0"/>
  </pivotFields>
  <rowFields count="1">
    <field x="16"/>
  </rowFields>
  <rowItems count="4">
    <i>
      <x/>
    </i>
    <i>
      <x v="1"/>
    </i>
    <i>
      <x v="2"/>
    </i>
    <i t="grand">
      <x/>
    </i>
  </rowItems>
  <colItems count="1">
    <i/>
  </colItems>
  <dataFields count="1">
    <dataField name="Sum of Inventory Value" fld="18" baseField="0" baseItem="0" numFmtId="166"/>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0B2552B-F8FE-4734-8C1F-2AAC4B3197E8}"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3:M38" firstHeaderRow="1" firstDataRow="1" firstDataCol="1"/>
  <pivotFields count="19">
    <pivotField dataField="1" showAll="0"/>
    <pivotField numFmtId="164" showAll="0"/>
    <pivotField showAll="0"/>
    <pivotField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axis="axisRow" showAll="0">
      <items count="5">
        <item x="1"/>
        <item x="0"/>
        <item x="2"/>
        <item x="3"/>
        <item t="default"/>
      </items>
    </pivotField>
    <pivotField numFmtId="165" showAll="0"/>
  </pivotFields>
  <rowFields count="1">
    <field x="17"/>
  </rowFields>
  <rowItems count="5">
    <i>
      <x/>
    </i>
    <i>
      <x v="1"/>
    </i>
    <i>
      <x v="2"/>
    </i>
    <i>
      <x v="3"/>
    </i>
    <i t="grand">
      <x/>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ntory_Status" xr10:uid="{428B174B-6A15-4450-835E-46A55E79AF7E}" sourceName="Inventory Status">
  <pivotTables>
    <pivotTable tabId="2" name="PivotTable12"/>
    <pivotTable tabId="2" name="Inventory Status Count"/>
    <pivotTable tabId="2" name="Inventory Status Value Count"/>
  </pivotTables>
  <data>
    <tabular pivotCacheId="111673687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B07CB3-0A12-4AFC-8840-E994F8D52521}" sourceName="Region">
  <pivotTables>
    <pivotTable tabId="2" name="Inventory Value by Region"/>
  </pivotTables>
  <data>
    <tabular pivotCacheId="1116736878">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74D738C6-FC5D-449C-9108-6B37D34EEAED}" sourceName="Supplier">
  <pivotTables>
    <pivotTable tabId="2" name="PivotTable12"/>
  </pivotTables>
  <data>
    <tabular pivotCacheId="1116736878">
      <items count="5">
        <i x="1" s="1"/>
        <i x="3" s="1"/>
        <i x="2"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48C5844-39FC-4967-9DFF-6A00A2BDDDDD}" sourceName="Category">
  <pivotTables>
    <pivotTable tabId="2" name="PivotTable12"/>
  </pivotTables>
  <data>
    <tabular pivotCacheId="1116736878">
      <items count="5">
        <i x="4" s="1"/>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entory Status" xr10:uid="{8EB539A8-CA08-438C-ABDC-2F3A15AFB368}" cache="Slicer_Inventory_Status" caption="Inventory Status" rowHeight="234950"/>
  <slicer name="Region" xr10:uid="{3EDE7631-FDAC-48A9-8E41-B554ABDDBF4D}" cache="Slicer_Region" caption="Region" rowHeight="234950"/>
  <slicer name="Supplier" xr10:uid="{300C6A19-7DB4-4D7A-9868-8B444300856D}" cache="Slicer_Supplier" caption="Supplier" rowHeight="234950"/>
  <slicer name="Category" xr10:uid="{9461E11C-26FB-4C21-A164-A8121E7D32D2}"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ventoryData" displayName="InventoryData" ref="A1:S1501">
  <autoFilter ref="A1:S1501" xr:uid="{00000000-0009-0000-0100-000001000000}"/>
  <tableColumns count="19">
    <tableColumn id="1" xr3:uid="{00000000-0010-0000-0000-000001000000}" name="Order ID"/>
    <tableColumn id="2" xr3:uid="{00000000-0010-0000-0000-000002000000}" name="Order Date" dataDxfId="6"/>
    <tableColumn id="3" xr3:uid="{00000000-0010-0000-0000-000003000000}" name="Product"/>
    <tableColumn id="4" xr3:uid="{00000000-0010-0000-0000-000004000000}" name="Category"/>
    <tableColumn id="5" xr3:uid="{00000000-0010-0000-0000-000005000000}" name="Supplier"/>
    <tableColumn id="6" xr3:uid="{00000000-0010-0000-0000-000006000000}" name="Warehouse"/>
    <tableColumn id="7" xr3:uid="{00000000-0010-0000-0000-000007000000}" name="Region"/>
    <tableColumn id="8" xr3:uid="{00000000-0010-0000-0000-000008000000}" name="Opening Stock"/>
    <tableColumn id="9" xr3:uid="{00000000-0010-0000-0000-000009000000}" name="Units Received"/>
    <tableColumn id="10" xr3:uid="{00000000-0010-0000-0000-00000A000000}" name="Units Sold"/>
    <tableColumn id="11" xr3:uid="{00000000-0010-0000-0000-00000B000000}" name="Closing Stock"/>
    <tableColumn id="12" xr3:uid="{00000000-0010-0000-0000-00000C000000}" name="Reorder Level"/>
    <tableColumn id="13" xr3:uid="{00000000-0010-0000-0000-00000D000000}" name="Unit Cost" dataDxfId="5"/>
    <tableColumn id="14" xr3:uid="{00000000-0010-0000-0000-00000E000000}" name="Lead Time Days"/>
    <tableColumn id="15" xr3:uid="{00000000-0010-0000-0000-00000F000000}" name="Stockout Days"/>
    <tableColumn id="16" xr3:uid="{00000000-0010-0000-0000-000010000000}" name="Supplier Delivery Status"/>
    <tableColumn id="17" xr3:uid="{00000000-0010-0000-0000-000011000000}" name="Inventory Status"/>
    <tableColumn id="18" xr3:uid="{00000000-0010-0000-0000-000012000000}" name="Order Status"/>
    <tableColumn id="19" xr3:uid="{CB9103B5-77A9-44FE-BEAD-5DA49309A07F}" name="Inventory Value" dataDxfId="4">
      <calculatedColumnFormula>K2*M2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921556-FB9C-4E3D-8E22-ADBC709E1281}" name="Table3" displayName="Table3" ref="F128:G133" totalsRowShown="0">
  <autoFilter ref="F128:G133" xr:uid="{7F921556-FB9C-4E3D-8E22-ADBC709E1281}"/>
  <sortState xmlns:xlrd2="http://schemas.microsoft.com/office/spreadsheetml/2017/richdata2" ref="F129:G133">
    <sortCondition descending="1" ref="G129:G133"/>
  </sortState>
  <tableColumns count="2">
    <tableColumn id="1" xr3:uid="{D765F723-95BE-49C9-9887-9FF71700F9E7}" name="Supplier" dataDxfId="3"/>
    <tableColumn id="2" xr3:uid="{141C3BC3-1E64-457E-B0AD-3AC284B3A02C}" name="Late Delivery Rate" dataDxfId="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0F17F0-FC0C-4559-8A8B-926C9676B221}" name="Table2" displayName="Table2" ref="L53:M57" totalsRowShown="0">
  <autoFilter ref="L53:M57" xr:uid="{A10F17F0-FC0C-4559-8A8B-926C9676B221}"/>
  <tableColumns count="2">
    <tableColumn id="1" xr3:uid="{D4C1EE09-F5B7-4FB9-A1B3-E6C87183A3CC}" name="Region" dataDxfId="1"/>
    <tableColumn id="2" xr3:uid="{E44A8B7F-C3EF-417B-80F1-CD92F2BE9930}" name="Fullfillment Rate" dataDxfId="0" dataCellStyle="Perc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table" Target="../tables/table2.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01"/>
  <sheetViews>
    <sheetView workbookViewId="0">
      <pane ySplit="1" topLeftCell="A2" activePane="bottomLeft" state="frozen"/>
      <selection pane="bottomLeft" activeCell="C24" sqref="C24"/>
    </sheetView>
  </sheetViews>
  <sheetFormatPr defaultRowHeight="14.4" x14ac:dyDescent="0.3"/>
  <cols>
    <col min="1" max="2" width="14" customWidth="1"/>
    <col min="3" max="3" width="22" customWidth="1"/>
    <col min="4" max="4" width="16" customWidth="1"/>
    <col min="5" max="5" width="18" customWidth="1"/>
    <col min="6" max="6" width="14" customWidth="1"/>
    <col min="7" max="7" width="12" customWidth="1"/>
    <col min="8" max="8" width="14" customWidth="1"/>
    <col min="9" max="9" width="15" customWidth="1"/>
    <col min="10" max="10" width="12" customWidth="1"/>
    <col min="11" max="12" width="14" customWidth="1"/>
    <col min="13" max="13" width="12" customWidth="1"/>
    <col min="14" max="14" width="15" customWidth="1"/>
    <col min="15" max="15" width="14" customWidth="1"/>
    <col min="16" max="16" width="24" customWidth="1"/>
    <col min="17" max="17" width="16" customWidth="1"/>
    <col min="18" max="18" width="14" customWidth="1"/>
    <col min="19" max="19" width="16.77734375" style="6" bestFit="1"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6" t="s">
        <v>1570</v>
      </c>
    </row>
    <row r="2" spans="1:19" x14ac:dyDescent="0.3">
      <c r="A2" t="s">
        <v>18</v>
      </c>
      <c r="B2" s="1">
        <v>46070</v>
      </c>
      <c r="C2" t="s">
        <v>19</v>
      </c>
      <c r="D2" t="s">
        <v>20</v>
      </c>
      <c r="E2" t="s">
        <v>21</v>
      </c>
      <c r="F2" t="s">
        <v>22</v>
      </c>
      <c r="G2" t="s">
        <v>23</v>
      </c>
      <c r="H2">
        <v>97</v>
      </c>
      <c r="I2">
        <v>37</v>
      </c>
      <c r="J2">
        <v>109</v>
      </c>
      <c r="K2">
        <v>25</v>
      </c>
      <c r="L2">
        <v>51</v>
      </c>
      <c r="M2" s="2">
        <v>1863.61</v>
      </c>
      <c r="N2">
        <v>6</v>
      </c>
      <c r="O2">
        <v>7</v>
      </c>
      <c r="P2" t="s">
        <v>24</v>
      </c>
      <c r="Q2" t="s">
        <v>25</v>
      </c>
      <c r="R2" t="s">
        <v>26</v>
      </c>
      <c r="S2" s="2">
        <f t="shared" ref="S2:S65" si="0">K2*M2</f>
        <v>46590.25</v>
      </c>
    </row>
    <row r="3" spans="1:19" x14ac:dyDescent="0.3">
      <c r="A3" t="s">
        <v>27</v>
      </c>
      <c r="B3" s="1">
        <v>46026</v>
      </c>
      <c r="C3" t="s">
        <v>28</v>
      </c>
      <c r="D3" t="s">
        <v>29</v>
      </c>
      <c r="E3" t="s">
        <v>30</v>
      </c>
      <c r="F3" t="s">
        <v>31</v>
      </c>
      <c r="G3" t="s">
        <v>32</v>
      </c>
      <c r="H3">
        <v>183</v>
      </c>
      <c r="I3">
        <v>45</v>
      </c>
      <c r="J3">
        <v>106</v>
      </c>
      <c r="K3">
        <v>122</v>
      </c>
      <c r="L3">
        <v>86</v>
      </c>
      <c r="M3" s="2">
        <v>1352.34</v>
      </c>
      <c r="N3">
        <v>5</v>
      </c>
      <c r="O3">
        <v>0</v>
      </c>
      <c r="P3" t="s">
        <v>33</v>
      </c>
      <c r="Q3" t="s">
        <v>34</v>
      </c>
      <c r="R3" t="s">
        <v>26</v>
      </c>
      <c r="S3" s="2">
        <f t="shared" si="0"/>
        <v>164985.47999999998</v>
      </c>
    </row>
    <row r="4" spans="1:19" x14ac:dyDescent="0.3">
      <c r="A4" t="s">
        <v>35</v>
      </c>
      <c r="B4" s="1">
        <v>46158</v>
      </c>
      <c r="C4" t="s">
        <v>36</v>
      </c>
      <c r="D4" t="s">
        <v>29</v>
      </c>
      <c r="E4" t="s">
        <v>21</v>
      </c>
      <c r="F4" t="s">
        <v>37</v>
      </c>
      <c r="G4" t="s">
        <v>38</v>
      </c>
      <c r="H4">
        <v>79</v>
      </c>
      <c r="I4">
        <v>47</v>
      </c>
      <c r="J4">
        <v>58</v>
      </c>
      <c r="K4">
        <v>68</v>
      </c>
      <c r="L4">
        <v>51</v>
      </c>
      <c r="M4" s="2">
        <v>2204.52</v>
      </c>
      <c r="N4">
        <v>2</v>
      </c>
      <c r="O4">
        <v>0</v>
      </c>
      <c r="P4" t="s">
        <v>33</v>
      </c>
      <c r="Q4" t="s">
        <v>34</v>
      </c>
      <c r="R4" t="s">
        <v>26</v>
      </c>
      <c r="S4" s="2">
        <f t="shared" si="0"/>
        <v>149907.35999999999</v>
      </c>
    </row>
    <row r="5" spans="1:19" x14ac:dyDescent="0.3">
      <c r="A5" t="s">
        <v>39</v>
      </c>
      <c r="B5" s="1">
        <v>46121</v>
      </c>
      <c r="C5" t="s">
        <v>40</v>
      </c>
      <c r="D5" t="s">
        <v>20</v>
      </c>
      <c r="E5" t="s">
        <v>30</v>
      </c>
      <c r="F5" t="s">
        <v>31</v>
      </c>
      <c r="G5" t="s">
        <v>32</v>
      </c>
      <c r="H5">
        <v>136</v>
      </c>
      <c r="I5">
        <v>30</v>
      </c>
      <c r="J5">
        <v>85</v>
      </c>
      <c r="K5">
        <v>81</v>
      </c>
      <c r="L5">
        <v>63</v>
      </c>
      <c r="M5" s="2">
        <v>959.29</v>
      </c>
      <c r="N5">
        <v>6</v>
      </c>
      <c r="O5">
        <v>0</v>
      </c>
      <c r="P5" t="s">
        <v>33</v>
      </c>
      <c r="Q5" t="s">
        <v>34</v>
      </c>
      <c r="R5" t="s">
        <v>26</v>
      </c>
      <c r="S5" s="2">
        <f t="shared" si="0"/>
        <v>77702.489999999991</v>
      </c>
    </row>
    <row r="6" spans="1:19" x14ac:dyDescent="0.3">
      <c r="A6" t="s">
        <v>41</v>
      </c>
      <c r="B6" s="1">
        <v>46106</v>
      </c>
      <c r="C6" t="s">
        <v>19</v>
      </c>
      <c r="D6" t="s">
        <v>20</v>
      </c>
      <c r="E6" t="s">
        <v>42</v>
      </c>
      <c r="F6" t="s">
        <v>37</v>
      </c>
      <c r="G6" t="s">
        <v>38</v>
      </c>
      <c r="H6">
        <v>60</v>
      </c>
      <c r="I6">
        <v>129</v>
      </c>
      <c r="J6">
        <v>44</v>
      </c>
      <c r="K6">
        <v>145</v>
      </c>
      <c r="L6">
        <v>100</v>
      </c>
      <c r="M6" s="2">
        <v>1656.36</v>
      </c>
      <c r="N6">
        <v>4</v>
      </c>
      <c r="O6">
        <v>0</v>
      </c>
      <c r="P6" t="s">
        <v>33</v>
      </c>
      <c r="Q6" t="s">
        <v>34</v>
      </c>
      <c r="R6" t="s">
        <v>43</v>
      </c>
      <c r="S6" s="2">
        <f t="shared" si="0"/>
        <v>240172.19999999998</v>
      </c>
    </row>
    <row r="7" spans="1:19" x14ac:dyDescent="0.3">
      <c r="A7" t="s">
        <v>44</v>
      </c>
      <c r="B7" s="1">
        <v>46259</v>
      </c>
      <c r="C7" t="s">
        <v>45</v>
      </c>
      <c r="D7" t="s">
        <v>46</v>
      </c>
      <c r="E7" t="s">
        <v>42</v>
      </c>
      <c r="F7" t="s">
        <v>37</v>
      </c>
      <c r="G7" t="s">
        <v>38</v>
      </c>
      <c r="H7">
        <v>219</v>
      </c>
      <c r="I7">
        <v>107</v>
      </c>
      <c r="J7">
        <v>97</v>
      </c>
      <c r="K7">
        <v>229</v>
      </c>
      <c r="L7">
        <v>49</v>
      </c>
      <c r="M7" s="2">
        <v>817.46</v>
      </c>
      <c r="N7">
        <v>3</v>
      </c>
      <c r="O7">
        <v>0</v>
      </c>
      <c r="P7" t="s">
        <v>33</v>
      </c>
      <c r="Q7" t="s">
        <v>47</v>
      </c>
      <c r="R7" t="s">
        <v>26</v>
      </c>
      <c r="S7" s="2">
        <f t="shared" si="0"/>
        <v>187198.34</v>
      </c>
    </row>
    <row r="8" spans="1:19" x14ac:dyDescent="0.3">
      <c r="A8" t="s">
        <v>48</v>
      </c>
      <c r="B8" s="1">
        <v>46131</v>
      </c>
      <c r="C8" t="s">
        <v>49</v>
      </c>
      <c r="D8" t="s">
        <v>50</v>
      </c>
      <c r="E8" t="s">
        <v>30</v>
      </c>
      <c r="F8" t="s">
        <v>22</v>
      </c>
      <c r="G8" t="s">
        <v>23</v>
      </c>
      <c r="H8">
        <v>215</v>
      </c>
      <c r="I8">
        <v>61</v>
      </c>
      <c r="J8">
        <v>22</v>
      </c>
      <c r="K8">
        <v>254</v>
      </c>
      <c r="L8">
        <v>59</v>
      </c>
      <c r="M8" s="2">
        <v>1383.67</v>
      </c>
      <c r="N8">
        <v>8</v>
      </c>
      <c r="O8">
        <v>0</v>
      </c>
      <c r="P8" t="s">
        <v>33</v>
      </c>
      <c r="Q8" t="s">
        <v>47</v>
      </c>
      <c r="R8" t="s">
        <v>26</v>
      </c>
      <c r="S8" s="2">
        <f t="shared" si="0"/>
        <v>351452.18</v>
      </c>
    </row>
    <row r="9" spans="1:19" x14ac:dyDescent="0.3">
      <c r="A9" t="s">
        <v>51</v>
      </c>
      <c r="B9" s="1">
        <v>46322</v>
      </c>
      <c r="C9" t="s">
        <v>52</v>
      </c>
      <c r="D9" t="s">
        <v>53</v>
      </c>
      <c r="E9" t="s">
        <v>42</v>
      </c>
      <c r="F9" t="s">
        <v>1582</v>
      </c>
      <c r="G9" t="s">
        <v>1583</v>
      </c>
      <c r="H9">
        <v>141</v>
      </c>
      <c r="I9">
        <v>102</v>
      </c>
      <c r="J9">
        <v>73</v>
      </c>
      <c r="K9">
        <v>170</v>
      </c>
      <c r="L9">
        <v>54</v>
      </c>
      <c r="M9" s="2">
        <v>619.42999999999995</v>
      </c>
      <c r="N9">
        <v>3</v>
      </c>
      <c r="O9">
        <v>0</v>
      </c>
      <c r="P9" t="s">
        <v>33</v>
      </c>
      <c r="Q9" t="s">
        <v>47</v>
      </c>
      <c r="R9" t="s">
        <v>26</v>
      </c>
      <c r="S9" s="2">
        <f t="shared" si="0"/>
        <v>105303.09999999999</v>
      </c>
    </row>
    <row r="10" spans="1:19" x14ac:dyDescent="0.3">
      <c r="A10" t="s">
        <v>54</v>
      </c>
      <c r="B10" s="1">
        <v>46371</v>
      </c>
      <c r="C10" t="s">
        <v>55</v>
      </c>
      <c r="D10" t="s">
        <v>50</v>
      </c>
      <c r="E10" t="s">
        <v>21</v>
      </c>
      <c r="F10" t="s">
        <v>22</v>
      </c>
      <c r="G10" t="s">
        <v>23</v>
      </c>
      <c r="H10">
        <v>75</v>
      </c>
      <c r="I10">
        <v>85</v>
      </c>
      <c r="J10">
        <v>78</v>
      </c>
      <c r="K10">
        <v>82</v>
      </c>
      <c r="L10">
        <v>50</v>
      </c>
      <c r="M10" s="2">
        <v>1051.1600000000001</v>
      </c>
      <c r="N10">
        <v>8</v>
      </c>
      <c r="O10">
        <v>0</v>
      </c>
      <c r="P10" t="s">
        <v>24</v>
      </c>
      <c r="Q10" t="s">
        <v>34</v>
      </c>
      <c r="R10" t="s">
        <v>26</v>
      </c>
      <c r="S10" s="2">
        <f t="shared" si="0"/>
        <v>86195.12000000001</v>
      </c>
    </row>
    <row r="11" spans="1:19" x14ac:dyDescent="0.3">
      <c r="A11" t="s">
        <v>56</v>
      </c>
      <c r="B11" s="1">
        <v>46081</v>
      </c>
      <c r="C11" t="s">
        <v>57</v>
      </c>
      <c r="D11" t="s">
        <v>50</v>
      </c>
      <c r="E11" t="s">
        <v>58</v>
      </c>
      <c r="F11" t="s">
        <v>1582</v>
      </c>
      <c r="G11" t="s">
        <v>1583</v>
      </c>
      <c r="H11">
        <v>192</v>
      </c>
      <c r="I11">
        <v>79</v>
      </c>
      <c r="J11">
        <v>82</v>
      </c>
      <c r="K11">
        <v>189</v>
      </c>
      <c r="L11">
        <v>61</v>
      </c>
      <c r="M11" s="2">
        <v>3063.8</v>
      </c>
      <c r="N11">
        <v>8</v>
      </c>
      <c r="O11">
        <v>0</v>
      </c>
      <c r="P11" t="s">
        <v>33</v>
      </c>
      <c r="Q11" t="s">
        <v>47</v>
      </c>
      <c r="R11" t="s">
        <v>59</v>
      </c>
      <c r="S11" s="2">
        <f t="shared" si="0"/>
        <v>579058.20000000007</v>
      </c>
    </row>
    <row r="12" spans="1:19" x14ac:dyDescent="0.3">
      <c r="A12" t="s">
        <v>60</v>
      </c>
      <c r="B12" s="1">
        <v>46279</v>
      </c>
      <c r="C12" t="s">
        <v>52</v>
      </c>
      <c r="D12" t="s">
        <v>53</v>
      </c>
      <c r="E12" t="s">
        <v>21</v>
      </c>
      <c r="F12" t="s">
        <v>31</v>
      </c>
      <c r="G12" t="s">
        <v>32</v>
      </c>
      <c r="H12">
        <v>115</v>
      </c>
      <c r="I12">
        <v>75</v>
      </c>
      <c r="J12">
        <v>35</v>
      </c>
      <c r="K12">
        <v>155</v>
      </c>
      <c r="L12">
        <v>74</v>
      </c>
      <c r="M12" s="2">
        <v>585.41999999999996</v>
      </c>
      <c r="N12">
        <v>7</v>
      </c>
      <c r="O12">
        <v>0</v>
      </c>
      <c r="P12" t="s">
        <v>33</v>
      </c>
      <c r="Q12" t="s">
        <v>34</v>
      </c>
      <c r="R12" t="s">
        <v>26</v>
      </c>
      <c r="S12" s="2">
        <f t="shared" si="0"/>
        <v>90740.099999999991</v>
      </c>
    </row>
    <row r="13" spans="1:19" x14ac:dyDescent="0.3">
      <c r="A13" t="s">
        <v>61</v>
      </c>
      <c r="B13" s="1">
        <v>46273</v>
      </c>
      <c r="C13" t="s">
        <v>62</v>
      </c>
      <c r="D13" t="s">
        <v>29</v>
      </c>
      <c r="E13" t="s">
        <v>21</v>
      </c>
      <c r="F13" t="s">
        <v>22</v>
      </c>
      <c r="G13" t="s">
        <v>23</v>
      </c>
      <c r="H13">
        <v>79</v>
      </c>
      <c r="I13">
        <v>67</v>
      </c>
      <c r="J13">
        <v>35</v>
      </c>
      <c r="K13">
        <v>111</v>
      </c>
      <c r="L13">
        <v>79</v>
      </c>
      <c r="M13" s="2">
        <v>763.49</v>
      </c>
      <c r="N13">
        <v>6</v>
      </c>
      <c r="O13">
        <v>0</v>
      </c>
      <c r="P13" t="s">
        <v>33</v>
      </c>
      <c r="Q13" t="s">
        <v>34</v>
      </c>
      <c r="R13" t="s">
        <v>26</v>
      </c>
      <c r="S13" s="2">
        <f t="shared" si="0"/>
        <v>84747.39</v>
      </c>
    </row>
    <row r="14" spans="1:19" x14ac:dyDescent="0.3">
      <c r="A14" t="s">
        <v>63</v>
      </c>
      <c r="B14" s="1">
        <v>46295</v>
      </c>
      <c r="C14" t="s">
        <v>19</v>
      </c>
      <c r="D14" t="s">
        <v>20</v>
      </c>
      <c r="E14" t="s">
        <v>21</v>
      </c>
      <c r="F14" t="s">
        <v>37</v>
      </c>
      <c r="G14" t="s">
        <v>38</v>
      </c>
      <c r="H14">
        <v>101</v>
      </c>
      <c r="I14">
        <v>27</v>
      </c>
      <c r="J14">
        <v>45</v>
      </c>
      <c r="K14">
        <v>83</v>
      </c>
      <c r="L14">
        <v>81</v>
      </c>
      <c r="M14" s="2">
        <v>1960.9</v>
      </c>
      <c r="N14">
        <v>2</v>
      </c>
      <c r="O14">
        <v>0</v>
      </c>
      <c r="P14" t="s">
        <v>33</v>
      </c>
      <c r="Q14" t="s">
        <v>34</v>
      </c>
      <c r="R14" t="s">
        <v>43</v>
      </c>
      <c r="S14" s="2">
        <f t="shared" si="0"/>
        <v>162754.70000000001</v>
      </c>
    </row>
    <row r="15" spans="1:19" x14ac:dyDescent="0.3">
      <c r="A15" t="s">
        <v>64</v>
      </c>
      <c r="B15" s="1">
        <v>46182</v>
      </c>
      <c r="C15" t="s">
        <v>28</v>
      </c>
      <c r="D15" t="s">
        <v>29</v>
      </c>
      <c r="E15" t="s">
        <v>58</v>
      </c>
      <c r="F15" t="s">
        <v>22</v>
      </c>
      <c r="G15" t="s">
        <v>23</v>
      </c>
      <c r="H15">
        <v>107</v>
      </c>
      <c r="I15">
        <v>87</v>
      </c>
      <c r="J15">
        <v>92</v>
      </c>
      <c r="K15">
        <v>102</v>
      </c>
      <c r="L15">
        <v>72</v>
      </c>
      <c r="M15" s="2">
        <v>1420.73</v>
      </c>
      <c r="N15">
        <v>6</v>
      </c>
      <c r="O15">
        <v>0</v>
      </c>
      <c r="P15" t="s">
        <v>33</v>
      </c>
      <c r="Q15" t="s">
        <v>34</v>
      </c>
      <c r="R15" t="s">
        <v>59</v>
      </c>
      <c r="S15" s="2">
        <f t="shared" si="0"/>
        <v>144914.46</v>
      </c>
    </row>
    <row r="16" spans="1:19" x14ac:dyDescent="0.3">
      <c r="A16" t="s">
        <v>65</v>
      </c>
      <c r="B16" s="1">
        <v>46026</v>
      </c>
      <c r="C16" t="s">
        <v>49</v>
      </c>
      <c r="D16" t="s">
        <v>50</v>
      </c>
      <c r="E16" t="s">
        <v>58</v>
      </c>
      <c r="F16" t="s">
        <v>1582</v>
      </c>
      <c r="G16" t="s">
        <v>1583</v>
      </c>
      <c r="H16">
        <v>70</v>
      </c>
      <c r="I16">
        <v>51</v>
      </c>
      <c r="J16">
        <v>43</v>
      </c>
      <c r="K16">
        <v>78</v>
      </c>
      <c r="L16">
        <v>49</v>
      </c>
      <c r="M16" s="2">
        <v>1257.9000000000001</v>
      </c>
      <c r="N16">
        <v>6</v>
      </c>
      <c r="O16">
        <v>0</v>
      </c>
      <c r="P16" t="s">
        <v>33</v>
      </c>
      <c r="Q16" t="s">
        <v>34</v>
      </c>
      <c r="R16" t="s">
        <v>26</v>
      </c>
      <c r="S16" s="2">
        <f t="shared" si="0"/>
        <v>98116.200000000012</v>
      </c>
    </row>
    <row r="17" spans="1:19" x14ac:dyDescent="0.3">
      <c r="A17" t="s">
        <v>66</v>
      </c>
      <c r="B17" s="1">
        <v>46090</v>
      </c>
      <c r="C17" t="s">
        <v>19</v>
      </c>
      <c r="D17" t="s">
        <v>20</v>
      </c>
      <c r="E17" t="s">
        <v>42</v>
      </c>
      <c r="F17" t="s">
        <v>31</v>
      </c>
      <c r="G17" t="s">
        <v>32</v>
      </c>
      <c r="H17">
        <v>48</v>
      </c>
      <c r="I17">
        <v>130</v>
      </c>
      <c r="J17">
        <v>57</v>
      </c>
      <c r="K17">
        <v>121</v>
      </c>
      <c r="L17">
        <v>49</v>
      </c>
      <c r="M17" s="2">
        <v>1805.1</v>
      </c>
      <c r="N17">
        <v>4</v>
      </c>
      <c r="O17">
        <v>0</v>
      </c>
      <c r="P17" t="s">
        <v>33</v>
      </c>
      <c r="Q17" t="s">
        <v>47</v>
      </c>
      <c r="R17" t="s">
        <v>26</v>
      </c>
      <c r="S17" s="2">
        <f t="shared" si="0"/>
        <v>218417.09999999998</v>
      </c>
    </row>
    <row r="18" spans="1:19" x14ac:dyDescent="0.3">
      <c r="A18" t="s">
        <v>67</v>
      </c>
      <c r="B18" s="1">
        <v>46050</v>
      </c>
      <c r="C18" t="s">
        <v>68</v>
      </c>
      <c r="D18" t="s">
        <v>53</v>
      </c>
      <c r="E18" t="s">
        <v>42</v>
      </c>
      <c r="F18" t="s">
        <v>1582</v>
      </c>
      <c r="G18" t="s">
        <v>1583</v>
      </c>
      <c r="H18">
        <v>144</v>
      </c>
      <c r="I18">
        <v>44</v>
      </c>
      <c r="J18">
        <v>27</v>
      </c>
      <c r="K18">
        <v>161</v>
      </c>
      <c r="L18">
        <v>51</v>
      </c>
      <c r="M18" s="2">
        <v>619.08000000000004</v>
      </c>
      <c r="N18">
        <v>4</v>
      </c>
      <c r="O18">
        <v>0</v>
      </c>
      <c r="P18" t="s">
        <v>33</v>
      </c>
      <c r="Q18" t="s">
        <v>47</v>
      </c>
      <c r="R18" t="s">
        <v>26</v>
      </c>
      <c r="S18" s="2">
        <f t="shared" si="0"/>
        <v>99671.88</v>
      </c>
    </row>
    <row r="19" spans="1:19" x14ac:dyDescent="0.3">
      <c r="A19" t="s">
        <v>69</v>
      </c>
      <c r="B19" s="1">
        <v>46150</v>
      </c>
      <c r="C19" t="s">
        <v>19</v>
      </c>
      <c r="D19" t="s">
        <v>20</v>
      </c>
      <c r="E19" t="s">
        <v>58</v>
      </c>
      <c r="F19" t="s">
        <v>37</v>
      </c>
      <c r="G19" t="s">
        <v>38</v>
      </c>
      <c r="H19">
        <v>67</v>
      </c>
      <c r="I19">
        <v>51</v>
      </c>
      <c r="J19">
        <v>39</v>
      </c>
      <c r="K19">
        <v>79</v>
      </c>
      <c r="L19">
        <v>57</v>
      </c>
      <c r="M19" s="2">
        <v>1813.06</v>
      </c>
      <c r="N19">
        <v>3</v>
      </c>
      <c r="O19">
        <v>0</v>
      </c>
      <c r="P19" t="s">
        <v>33</v>
      </c>
      <c r="Q19" t="s">
        <v>34</v>
      </c>
      <c r="R19" t="s">
        <v>26</v>
      </c>
      <c r="S19" s="2">
        <f t="shared" si="0"/>
        <v>143231.74</v>
      </c>
    </row>
    <row r="20" spans="1:19" x14ac:dyDescent="0.3">
      <c r="A20" t="s">
        <v>70</v>
      </c>
      <c r="B20" s="1">
        <v>46271</v>
      </c>
      <c r="C20" t="s">
        <v>40</v>
      </c>
      <c r="D20" t="s">
        <v>20</v>
      </c>
      <c r="E20" t="s">
        <v>30</v>
      </c>
      <c r="F20" t="s">
        <v>31</v>
      </c>
      <c r="G20" t="s">
        <v>32</v>
      </c>
      <c r="H20">
        <v>52</v>
      </c>
      <c r="I20">
        <v>103</v>
      </c>
      <c r="J20">
        <v>84</v>
      </c>
      <c r="K20">
        <v>71</v>
      </c>
      <c r="L20">
        <v>98</v>
      </c>
      <c r="M20" s="2">
        <v>812.66</v>
      </c>
      <c r="N20">
        <v>2</v>
      </c>
      <c r="O20">
        <v>4</v>
      </c>
      <c r="P20" t="s">
        <v>33</v>
      </c>
      <c r="Q20" t="s">
        <v>34</v>
      </c>
      <c r="R20" t="s">
        <v>26</v>
      </c>
      <c r="S20" s="2">
        <f t="shared" si="0"/>
        <v>57698.86</v>
      </c>
    </row>
    <row r="21" spans="1:19" x14ac:dyDescent="0.3">
      <c r="A21" t="s">
        <v>71</v>
      </c>
      <c r="B21" s="1">
        <v>46379</v>
      </c>
      <c r="C21" t="s">
        <v>72</v>
      </c>
      <c r="D21" t="s">
        <v>50</v>
      </c>
      <c r="E21" t="s">
        <v>58</v>
      </c>
      <c r="F21" t="s">
        <v>31</v>
      </c>
      <c r="G21" t="s">
        <v>32</v>
      </c>
      <c r="H21">
        <v>82</v>
      </c>
      <c r="I21">
        <v>68</v>
      </c>
      <c r="J21">
        <v>15</v>
      </c>
      <c r="K21">
        <v>135</v>
      </c>
      <c r="L21">
        <v>69</v>
      </c>
      <c r="M21" s="2">
        <v>2096.69</v>
      </c>
      <c r="N21">
        <v>8</v>
      </c>
      <c r="O21">
        <v>0</v>
      </c>
      <c r="P21" t="s">
        <v>33</v>
      </c>
      <c r="Q21" t="s">
        <v>34</v>
      </c>
      <c r="R21" t="s">
        <v>26</v>
      </c>
      <c r="S21" s="2">
        <f t="shared" si="0"/>
        <v>283053.15000000002</v>
      </c>
    </row>
    <row r="22" spans="1:19" x14ac:dyDescent="0.3">
      <c r="A22" t="s">
        <v>73</v>
      </c>
      <c r="B22" s="1">
        <v>46322</v>
      </c>
      <c r="C22" t="s">
        <v>68</v>
      </c>
      <c r="D22" t="s">
        <v>53</v>
      </c>
      <c r="E22" t="s">
        <v>42</v>
      </c>
      <c r="F22" t="s">
        <v>22</v>
      </c>
      <c r="G22" t="s">
        <v>23</v>
      </c>
      <c r="H22">
        <v>115</v>
      </c>
      <c r="I22">
        <v>47</v>
      </c>
      <c r="J22">
        <v>22</v>
      </c>
      <c r="K22">
        <v>140</v>
      </c>
      <c r="L22">
        <v>82</v>
      </c>
      <c r="M22" s="2">
        <v>628.29</v>
      </c>
      <c r="N22">
        <v>2</v>
      </c>
      <c r="O22">
        <v>0</v>
      </c>
      <c r="P22" t="s">
        <v>33</v>
      </c>
      <c r="Q22" t="s">
        <v>34</v>
      </c>
      <c r="R22" t="s">
        <v>26</v>
      </c>
      <c r="S22" s="2">
        <f t="shared" si="0"/>
        <v>87960.599999999991</v>
      </c>
    </row>
    <row r="23" spans="1:19" x14ac:dyDescent="0.3">
      <c r="A23" t="s">
        <v>74</v>
      </c>
      <c r="B23" s="1">
        <v>46043</v>
      </c>
      <c r="C23" t="s">
        <v>72</v>
      </c>
      <c r="D23" t="s">
        <v>50</v>
      </c>
      <c r="E23" t="s">
        <v>75</v>
      </c>
      <c r="F23" t="s">
        <v>31</v>
      </c>
      <c r="G23" t="s">
        <v>32</v>
      </c>
      <c r="H23">
        <v>87</v>
      </c>
      <c r="I23">
        <v>28</v>
      </c>
      <c r="J23">
        <v>91</v>
      </c>
      <c r="K23">
        <v>24</v>
      </c>
      <c r="L23">
        <v>49</v>
      </c>
      <c r="M23" s="2">
        <v>2277.09</v>
      </c>
      <c r="N23">
        <v>3</v>
      </c>
      <c r="O23">
        <v>4</v>
      </c>
      <c r="P23" t="s">
        <v>33</v>
      </c>
      <c r="Q23" t="s">
        <v>25</v>
      </c>
      <c r="R23" t="s">
        <v>26</v>
      </c>
      <c r="S23" s="2">
        <f t="shared" si="0"/>
        <v>54650.16</v>
      </c>
    </row>
    <row r="24" spans="1:19" x14ac:dyDescent="0.3">
      <c r="A24" t="s">
        <v>76</v>
      </c>
      <c r="B24" s="1">
        <v>46060</v>
      </c>
      <c r="C24" t="s">
        <v>77</v>
      </c>
      <c r="D24" t="s">
        <v>53</v>
      </c>
      <c r="E24" t="s">
        <v>58</v>
      </c>
      <c r="F24" t="s">
        <v>37</v>
      </c>
      <c r="G24" t="s">
        <v>38</v>
      </c>
      <c r="H24">
        <v>106</v>
      </c>
      <c r="I24">
        <v>46</v>
      </c>
      <c r="J24">
        <v>100</v>
      </c>
      <c r="K24">
        <v>52</v>
      </c>
      <c r="L24">
        <v>90</v>
      </c>
      <c r="M24" s="2">
        <v>481.42</v>
      </c>
      <c r="N24">
        <v>4</v>
      </c>
      <c r="O24">
        <v>5</v>
      </c>
      <c r="P24" t="s">
        <v>33</v>
      </c>
      <c r="Q24" t="s">
        <v>25</v>
      </c>
      <c r="R24" t="s">
        <v>26</v>
      </c>
      <c r="S24" s="2">
        <f t="shared" si="0"/>
        <v>25033.84</v>
      </c>
    </row>
    <row r="25" spans="1:19" x14ac:dyDescent="0.3">
      <c r="A25" t="s">
        <v>78</v>
      </c>
      <c r="B25" s="1">
        <v>46212</v>
      </c>
      <c r="C25" t="s">
        <v>40</v>
      </c>
      <c r="D25" t="s">
        <v>20</v>
      </c>
      <c r="E25" t="s">
        <v>30</v>
      </c>
      <c r="F25" t="s">
        <v>31</v>
      </c>
      <c r="G25" t="s">
        <v>32</v>
      </c>
      <c r="H25">
        <v>58</v>
      </c>
      <c r="I25">
        <v>88</v>
      </c>
      <c r="J25">
        <v>42</v>
      </c>
      <c r="K25">
        <v>104</v>
      </c>
      <c r="L25">
        <v>77</v>
      </c>
      <c r="M25" s="2">
        <v>857.74</v>
      </c>
      <c r="N25">
        <v>4</v>
      </c>
      <c r="O25">
        <v>0</v>
      </c>
      <c r="P25" t="s">
        <v>33</v>
      </c>
      <c r="Q25" t="s">
        <v>34</v>
      </c>
      <c r="R25" t="s">
        <v>43</v>
      </c>
      <c r="S25" s="2">
        <f t="shared" si="0"/>
        <v>89204.96</v>
      </c>
    </row>
    <row r="26" spans="1:19" x14ac:dyDescent="0.3">
      <c r="A26" t="s">
        <v>79</v>
      </c>
      <c r="B26" s="1">
        <v>46076</v>
      </c>
      <c r="C26" t="s">
        <v>80</v>
      </c>
      <c r="D26" t="s">
        <v>46</v>
      </c>
      <c r="E26" t="s">
        <v>58</v>
      </c>
      <c r="F26" t="s">
        <v>37</v>
      </c>
      <c r="G26" t="s">
        <v>38</v>
      </c>
      <c r="H26">
        <v>196</v>
      </c>
      <c r="I26">
        <v>123</v>
      </c>
      <c r="J26">
        <v>98</v>
      </c>
      <c r="K26">
        <v>221</v>
      </c>
      <c r="L26">
        <v>78</v>
      </c>
      <c r="M26" s="2">
        <v>991.72</v>
      </c>
      <c r="N26">
        <v>8</v>
      </c>
      <c r="O26">
        <v>0</v>
      </c>
      <c r="P26" t="s">
        <v>33</v>
      </c>
      <c r="Q26" t="s">
        <v>47</v>
      </c>
      <c r="R26" t="s">
        <v>81</v>
      </c>
      <c r="S26" s="2">
        <f t="shared" si="0"/>
        <v>219170.12</v>
      </c>
    </row>
    <row r="27" spans="1:19" x14ac:dyDescent="0.3">
      <c r="A27" t="s">
        <v>82</v>
      </c>
      <c r="B27" s="1">
        <v>46158</v>
      </c>
      <c r="C27" t="s">
        <v>83</v>
      </c>
      <c r="D27" t="s">
        <v>29</v>
      </c>
      <c r="E27" t="s">
        <v>75</v>
      </c>
      <c r="F27" t="s">
        <v>31</v>
      </c>
      <c r="G27" t="s">
        <v>32</v>
      </c>
      <c r="H27">
        <v>181</v>
      </c>
      <c r="I27">
        <v>39</v>
      </c>
      <c r="J27">
        <v>49</v>
      </c>
      <c r="K27">
        <v>171</v>
      </c>
      <c r="L27">
        <v>63</v>
      </c>
      <c r="M27" s="2">
        <v>1633.55</v>
      </c>
      <c r="N27">
        <v>7</v>
      </c>
      <c r="O27">
        <v>0</v>
      </c>
      <c r="P27" t="s">
        <v>33</v>
      </c>
      <c r="Q27" t="s">
        <v>47</v>
      </c>
      <c r="R27" t="s">
        <v>59</v>
      </c>
      <c r="S27" s="2">
        <f t="shared" si="0"/>
        <v>279337.05</v>
      </c>
    </row>
    <row r="28" spans="1:19" x14ac:dyDescent="0.3">
      <c r="A28" t="s">
        <v>84</v>
      </c>
      <c r="B28" s="1">
        <v>46157</v>
      </c>
      <c r="C28" t="s">
        <v>68</v>
      </c>
      <c r="D28" t="s">
        <v>53</v>
      </c>
      <c r="E28" t="s">
        <v>21</v>
      </c>
      <c r="F28" t="s">
        <v>31</v>
      </c>
      <c r="G28" t="s">
        <v>32</v>
      </c>
      <c r="H28">
        <v>63</v>
      </c>
      <c r="I28">
        <v>101</v>
      </c>
      <c r="J28">
        <v>69</v>
      </c>
      <c r="K28">
        <v>95</v>
      </c>
      <c r="L28">
        <v>98</v>
      </c>
      <c r="M28" s="2">
        <v>573.20000000000005</v>
      </c>
      <c r="N28">
        <v>2</v>
      </c>
      <c r="O28">
        <v>3</v>
      </c>
      <c r="P28" t="s">
        <v>33</v>
      </c>
      <c r="Q28" t="s">
        <v>34</v>
      </c>
      <c r="R28" t="s">
        <v>26</v>
      </c>
      <c r="S28" s="2">
        <f t="shared" si="0"/>
        <v>54454.000000000007</v>
      </c>
    </row>
    <row r="29" spans="1:19" x14ac:dyDescent="0.3">
      <c r="A29" t="s">
        <v>85</v>
      </c>
      <c r="B29" s="1">
        <v>46212</v>
      </c>
      <c r="C29" t="s">
        <v>36</v>
      </c>
      <c r="D29" t="s">
        <v>29</v>
      </c>
      <c r="E29" t="s">
        <v>30</v>
      </c>
      <c r="F29" t="s">
        <v>1582</v>
      </c>
      <c r="G29" t="s">
        <v>1583</v>
      </c>
      <c r="H29">
        <v>183</v>
      </c>
      <c r="I29">
        <v>21</v>
      </c>
      <c r="J29">
        <v>29</v>
      </c>
      <c r="K29">
        <v>175</v>
      </c>
      <c r="L29">
        <v>49</v>
      </c>
      <c r="M29" s="2">
        <v>2613.62</v>
      </c>
      <c r="N29">
        <v>7</v>
      </c>
      <c r="O29">
        <v>0</v>
      </c>
      <c r="P29" t="s">
        <v>33</v>
      </c>
      <c r="Q29" t="s">
        <v>47</v>
      </c>
      <c r="R29" t="s">
        <v>26</v>
      </c>
      <c r="S29" s="2">
        <f t="shared" si="0"/>
        <v>457383.5</v>
      </c>
    </row>
    <row r="30" spans="1:19" x14ac:dyDescent="0.3">
      <c r="A30" t="s">
        <v>86</v>
      </c>
      <c r="B30" s="1">
        <v>46364</v>
      </c>
      <c r="C30" t="s">
        <v>87</v>
      </c>
      <c r="D30" t="s">
        <v>53</v>
      </c>
      <c r="E30" t="s">
        <v>58</v>
      </c>
      <c r="F30" t="s">
        <v>22</v>
      </c>
      <c r="G30" t="s">
        <v>23</v>
      </c>
      <c r="H30">
        <v>50</v>
      </c>
      <c r="I30">
        <v>59</v>
      </c>
      <c r="J30">
        <v>61</v>
      </c>
      <c r="K30">
        <v>48</v>
      </c>
      <c r="L30">
        <v>95</v>
      </c>
      <c r="M30" s="2">
        <v>492.5</v>
      </c>
      <c r="N30">
        <v>2</v>
      </c>
      <c r="O30">
        <v>4</v>
      </c>
      <c r="P30" t="s">
        <v>33</v>
      </c>
      <c r="Q30" t="s">
        <v>25</v>
      </c>
      <c r="R30" t="s">
        <v>59</v>
      </c>
      <c r="S30" s="2">
        <f t="shared" si="0"/>
        <v>23640</v>
      </c>
    </row>
    <row r="31" spans="1:19" x14ac:dyDescent="0.3">
      <c r="A31" t="s">
        <v>88</v>
      </c>
      <c r="B31" s="1">
        <v>46035</v>
      </c>
      <c r="C31" t="s">
        <v>89</v>
      </c>
      <c r="D31" t="s">
        <v>20</v>
      </c>
      <c r="E31" t="s">
        <v>30</v>
      </c>
      <c r="F31" t="s">
        <v>1582</v>
      </c>
      <c r="G31" t="s">
        <v>1583</v>
      </c>
      <c r="H31">
        <v>198</v>
      </c>
      <c r="I31">
        <v>115</v>
      </c>
      <c r="J31">
        <v>34</v>
      </c>
      <c r="K31">
        <v>279</v>
      </c>
      <c r="L31">
        <v>60</v>
      </c>
      <c r="M31" s="2">
        <v>1287.51</v>
      </c>
      <c r="N31">
        <v>8</v>
      </c>
      <c r="O31">
        <v>0</v>
      </c>
      <c r="P31" t="s">
        <v>33</v>
      </c>
      <c r="Q31" t="s">
        <v>47</v>
      </c>
      <c r="R31" t="s">
        <v>43</v>
      </c>
      <c r="S31" s="2">
        <f t="shared" si="0"/>
        <v>359215.29</v>
      </c>
    </row>
    <row r="32" spans="1:19" x14ac:dyDescent="0.3">
      <c r="A32" t="s">
        <v>90</v>
      </c>
      <c r="B32" s="1">
        <v>46258</v>
      </c>
      <c r="C32" t="s">
        <v>83</v>
      </c>
      <c r="D32" t="s">
        <v>29</v>
      </c>
      <c r="E32" t="s">
        <v>58</v>
      </c>
      <c r="F32" t="s">
        <v>22</v>
      </c>
      <c r="G32" t="s">
        <v>23</v>
      </c>
      <c r="H32">
        <v>108</v>
      </c>
      <c r="I32">
        <v>40</v>
      </c>
      <c r="J32">
        <v>104</v>
      </c>
      <c r="K32">
        <v>44</v>
      </c>
      <c r="L32">
        <v>51</v>
      </c>
      <c r="M32" s="2">
        <v>1562.41</v>
      </c>
      <c r="N32">
        <v>2</v>
      </c>
      <c r="O32">
        <v>4</v>
      </c>
      <c r="P32" t="s">
        <v>33</v>
      </c>
      <c r="Q32" t="s">
        <v>34</v>
      </c>
      <c r="R32" t="s">
        <v>26</v>
      </c>
      <c r="S32" s="2">
        <f t="shared" si="0"/>
        <v>68746.040000000008</v>
      </c>
    </row>
    <row r="33" spans="1:19" x14ac:dyDescent="0.3">
      <c r="A33" t="s">
        <v>91</v>
      </c>
      <c r="B33" s="1">
        <v>46202</v>
      </c>
      <c r="C33" t="s">
        <v>45</v>
      </c>
      <c r="D33" t="s">
        <v>46</v>
      </c>
      <c r="E33" t="s">
        <v>42</v>
      </c>
      <c r="F33" t="s">
        <v>22</v>
      </c>
      <c r="G33" t="s">
        <v>23</v>
      </c>
      <c r="H33">
        <v>46</v>
      </c>
      <c r="I33">
        <v>104</v>
      </c>
      <c r="J33">
        <v>39</v>
      </c>
      <c r="K33">
        <v>111</v>
      </c>
      <c r="L33">
        <v>70</v>
      </c>
      <c r="M33" s="2">
        <v>772.52</v>
      </c>
      <c r="N33">
        <v>8</v>
      </c>
      <c r="O33">
        <v>0</v>
      </c>
      <c r="P33" t="s">
        <v>24</v>
      </c>
      <c r="Q33" t="s">
        <v>34</v>
      </c>
      <c r="R33" t="s">
        <v>59</v>
      </c>
      <c r="S33" s="2">
        <f t="shared" si="0"/>
        <v>85749.72</v>
      </c>
    </row>
    <row r="34" spans="1:19" x14ac:dyDescent="0.3">
      <c r="A34" t="s">
        <v>92</v>
      </c>
      <c r="B34" s="1">
        <v>46183</v>
      </c>
      <c r="C34" t="s">
        <v>68</v>
      </c>
      <c r="D34" t="s">
        <v>53</v>
      </c>
      <c r="E34" t="s">
        <v>30</v>
      </c>
      <c r="F34" t="s">
        <v>37</v>
      </c>
      <c r="G34" t="s">
        <v>38</v>
      </c>
      <c r="H34">
        <v>47</v>
      </c>
      <c r="I34">
        <v>34</v>
      </c>
      <c r="J34">
        <v>48</v>
      </c>
      <c r="K34">
        <v>33</v>
      </c>
      <c r="L34">
        <v>56</v>
      </c>
      <c r="M34" s="2">
        <v>609.66999999999996</v>
      </c>
      <c r="N34">
        <v>4</v>
      </c>
      <c r="O34">
        <v>7</v>
      </c>
      <c r="P34" t="s">
        <v>24</v>
      </c>
      <c r="Q34" t="s">
        <v>25</v>
      </c>
      <c r="R34" t="s">
        <v>26</v>
      </c>
      <c r="S34" s="2">
        <f t="shared" si="0"/>
        <v>20119.109999999997</v>
      </c>
    </row>
    <row r="35" spans="1:19" x14ac:dyDescent="0.3">
      <c r="A35" t="s">
        <v>93</v>
      </c>
      <c r="B35" s="1">
        <v>46058</v>
      </c>
      <c r="C35" t="s">
        <v>57</v>
      </c>
      <c r="D35" t="s">
        <v>50</v>
      </c>
      <c r="E35" t="s">
        <v>58</v>
      </c>
      <c r="F35" t="s">
        <v>22</v>
      </c>
      <c r="G35" t="s">
        <v>23</v>
      </c>
      <c r="H35">
        <v>105</v>
      </c>
      <c r="I35">
        <v>25</v>
      </c>
      <c r="J35">
        <v>105</v>
      </c>
      <c r="K35">
        <v>25</v>
      </c>
      <c r="L35">
        <v>72</v>
      </c>
      <c r="M35" s="2">
        <v>2520.9499999999998</v>
      </c>
      <c r="N35">
        <v>8</v>
      </c>
      <c r="O35">
        <v>4</v>
      </c>
      <c r="P35" t="s">
        <v>33</v>
      </c>
      <c r="Q35" t="s">
        <v>25</v>
      </c>
      <c r="R35" t="s">
        <v>26</v>
      </c>
      <c r="S35" s="2">
        <f t="shared" si="0"/>
        <v>63023.749999999993</v>
      </c>
    </row>
    <row r="36" spans="1:19" x14ac:dyDescent="0.3">
      <c r="A36" t="s">
        <v>94</v>
      </c>
      <c r="B36" s="1">
        <v>46238</v>
      </c>
      <c r="C36" t="s">
        <v>45</v>
      </c>
      <c r="D36" t="s">
        <v>46</v>
      </c>
      <c r="E36" t="s">
        <v>75</v>
      </c>
      <c r="F36" t="s">
        <v>37</v>
      </c>
      <c r="G36" t="s">
        <v>38</v>
      </c>
      <c r="H36">
        <v>169</v>
      </c>
      <c r="I36">
        <v>59</v>
      </c>
      <c r="J36">
        <v>100</v>
      </c>
      <c r="K36">
        <v>128</v>
      </c>
      <c r="L36">
        <v>71</v>
      </c>
      <c r="M36" s="2">
        <v>772.19</v>
      </c>
      <c r="N36">
        <v>7</v>
      </c>
      <c r="O36">
        <v>0</v>
      </c>
      <c r="P36" t="s">
        <v>33</v>
      </c>
      <c r="Q36" t="s">
        <v>34</v>
      </c>
      <c r="R36" t="s">
        <v>26</v>
      </c>
      <c r="S36" s="2">
        <f t="shared" si="0"/>
        <v>98840.320000000007</v>
      </c>
    </row>
    <row r="37" spans="1:19" x14ac:dyDescent="0.3">
      <c r="A37" t="s">
        <v>95</v>
      </c>
      <c r="B37" s="1">
        <v>46187</v>
      </c>
      <c r="C37" t="s">
        <v>72</v>
      </c>
      <c r="D37" t="s">
        <v>50</v>
      </c>
      <c r="E37" t="s">
        <v>30</v>
      </c>
      <c r="F37" t="s">
        <v>37</v>
      </c>
      <c r="G37" t="s">
        <v>38</v>
      </c>
      <c r="H37">
        <v>143</v>
      </c>
      <c r="I37">
        <v>90</v>
      </c>
      <c r="J37">
        <v>15</v>
      </c>
      <c r="K37">
        <v>218</v>
      </c>
      <c r="L37">
        <v>64</v>
      </c>
      <c r="M37" s="2">
        <v>2106.2399999999998</v>
      </c>
      <c r="N37">
        <v>5</v>
      </c>
      <c r="O37">
        <v>0</v>
      </c>
      <c r="P37" t="s">
        <v>33</v>
      </c>
      <c r="Q37" t="s">
        <v>47</v>
      </c>
      <c r="R37" t="s">
        <v>26</v>
      </c>
      <c r="S37" s="2">
        <f t="shared" si="0"/>
        <v>459160.31999999995</v>
      </c>
    </row>
    <row r="38" spans="1:19" x14ac:dyDescent="0.3">
      <c r="A38" t="s">
        <v>96</v>
      </c>
      <c r="B38" s="1">
        <v>46194</v>
      </c>
      <c r="C38" t="s">
        <v>55</v>
      </c>
      <c r="D38" t="s">
        <v>50</v>
      </c>
      <c r="E38" t="s">
        <v>58</v>
      </c>
      <c r="F38" t="s">
        <v>22</v>
      </c>
      <c r="G38" t="s">
        <v>23</v>
      </c>
      <c r="H38">
        <v>170</v>
      </c>
      <c r="I38">
        <v>80</v>
      </c>
      <c r="J38">
        <v>109</v>
      </c>
      <c r="K38">
        <v>141</v>
      </c>
      <c r="L38">
        <v>55</v>
      </c>
      <c r="M38" s="2">
        <v>1031.77</v>
      </c>
      <c r="N38">
        <v>4</v>
      </c>
      <c r="O38">
        <v>0</v>
      </c>
      <c r="P38" t="s">
        <v>33</v>
      </c>
      <c r="Q38" t="s">
        <v>47</v>
      </c>
      <c r="R38" t="s">
        <v>26</v>
      </c>
      <c r="S38" s="2">
        <f t="shared" si="0"/>
        <v>145479.57</v>
      </c>
    </row>
    <row r="39" spans="1:19" x14ac:dyDescent="0.3">
      <c r="A39" t="s">
        <v>97</v>
      </c>
      <c r="B39" s="1">
        <v>46256</v>
      </c>
      <c r="C39" t="s">
        <v>98</v>
      </c>
      <c r="D39" t="s">
        <v>20</v>
      </c>
      <c r="E39" t="s">
        <v>21</v>
      </c>
      <c r="F39" t="s">
        <v>22</v>
      </c>
      <c r="G39" t="s">
        <v>23</v>
      </c>
      <c r="H39">
        <v>90</v>
      </c>
      <c r="I39">
        <v>38</v>
      </c>
      <c r="J39">
        <v>18</v>
      </c>
      <c r="K39">
        <v>110</v>
      </c>
      <c r="L39">
        <v>47</v>
      </c>
      <c r="M39" s="2">
        <v>1328.56</v>
      </c>
      <c r="N39">
        <v>5</v>
      </c>
      <c r="O39">
        <v>0</v>
      </c>
      <c r="P39" t="s">
        <v>33</v>
      </c>
      <c r="Q39" t="s">
        <v>47</v>
      </c>
      <c r="R39" t="s">
        <v>59</v>
      </c>
      <c r="S39" s="2">
        <f t="shared" si="0"/>
        <v>146141.6</v>
      </c>
    </row>
    <row r="40" spans="1:19" x14ac:dyDescent="0.3">
      <c r="A40" t="s">
        <v>99</v>
      </c>
      <c r="B40" s="1">
        <v>46240</v>
      </c>
      <c r="C40" t="s">
        <v>72</v>
      </c>
      <c r="D40" t="s">
        <v>50</v>
      </c>
      <c r="E40" t="s">
        <v>58</v>
      </c>
      <c r="F40" t="s">
        <v>1582</v>
      </c>
      <c r="G40" t="s">
        <v>1583</v>
      </c>
      <c r="H40">
        <v>142</v>
      </c>
      <c r="I40">
        <v>51</v>
      </c>
      <c r="J40">
        <v>33</v>
      </c>
      <c r="K40">
        <v>160</v>
      </c>
      <c r="L40">
        <v>86</v>
      </c>
      <c r="M40" s="2">
        <v>2282.5500000000002</v>
      </c>
      <c r="N40">
        <v>8</v>
      </c>
      <c r="O40">
        <v>0</v>
      </c>
      <c r="P40" t="s">
        <v>33</v>
      </c>
      <c r="Q40" t="s">
        <v>34</v>
      </c>
      <c r="R40" t="s">
        <v>43</v>
      </c>
      <c r="S40" s="2">
        <f t="shared" si="0"/>
        <v>365208</v>
      </c>
    </row>
    <row r="41" spans="1:19" x14ac:dyDescent="0.3">
      <c r="A41" t="s">
        <v>100</v>
      </c>
      <c r="B41" s="1">
        <v>46249</v>
      </c>
      <c r="C41" t="s">
        <v>28</v>
      </c>
      <c r="D41" t="s">
        <v>29</v>
      </c>
      <c r="E41" t="s">
        <v>30</v>
      </c>
      <c r="F41" t="s">
        <v>1582</v>
      </c>
      <c r="G41" t="s">
        <v>1583</v>
      </c>
      <c r="H41">
        <v>52</v>
      </c>
      <c r="I41">
        <v>91</v>
      </c>
      <c r="J41">
        <v>46</v>
      </c>
      <c r="K41">
        <v>97</v>
      </c>
      <c r="L41">
        <v>99</v>
      </c>
      <c r="M41" s="2">
        <v>1201.55</v>
      </c>
      <c r="N41">
        <v>3</v>
      </c>
      <c r="O41">
        <v>6</v>
      </c>
      <c r="P41" t="s">
        <v>33</v>
      </c>
      <c r="Q41" t="s">
        <v>34</v>
      </c>
      <c r="R41" t="s">
        <v>81</v>
      </c>
      <c r="S41" s="2">
        <f t="shared" si="0"/>
        <v>116550.34999999999</v>
      </c>
    </row>
    <row r="42" spans="1:19" x14ac:dyDescent="0.3">
      <c r="A42" t="s">
        <v>101</v>
      </c>
      <c r="B42" s="1">
        <v>46289</v>
      </c>
      <c r="C42" t="s">
        <v>68</v>
      </c>
      <c r="D42" t="s">
        <v>53</v>
      </c>
      <c r="E42" t="s">
        <v>30</v>
      </c>
      <c r="F42" t="s">
        <v>1582</v>
      </c>
      <c r="G42" t="s">
        <v>1583</v>
      </c>
      <c r="H42">
        <v>80</v>
      </c>
      <c r="I42">
        <v>115</v>
      </c>
      <c r="J42">
        <v>75</v>
      </c>
      <c r="K42">
        <v>120</v>
      </c>
      <c r="L42">
        <v>73</v>
      </c>
      <c r="M42" s="2">
        <v>571.1</v>
      </c>
      <c r="N42">
        <v>3</v>
      </c>
      <c r="O42">
        <v>0</v>
      </c>
      <c r="P42" t="s">
        <v>33</v>
      </c>
      <c r="Q42" t="s">
        <v>34</v>
      </c>
      <c r="R42" t="s">
        <v>26</v>
      </c>
      <c r="S42" s="2">
        <f t="shared" si="0"/>
        <v>68532</v>
      </c>
    </row>
    <row r="43" spans="1:19" x14ac:dyDescent="0.3">
      <c r="A43" t="s">
        <v>102</v>
      </c>
      <c r="B43" s="1">
        <v>46100</v>
      </c>
      <c r="C43" t="s">
        <v>72</v>
      </c>
      <c r="D43" t="s">
        <v>50</v>
      </c>
      <c r="E43" t="s">
        <v>21</v>
      </c>
      <c r="F43" t="s">
        <v>1582</v>
      </c>
      <c r="G43" t="s">
        <v>1583</v>
      </c>
      <c r="H43">
        <v>59</v>
      </c>
      <c r="I43">
        <v>111</v>
      </c>
      <c r="J43">
        <v>51</v>
      </c>
      <c r="K43">
        <v>119</v>
      </c>
      <c r="L43">
        <v>60</v>
      </c>
      <c r="M43" s="2">
        <v>2099.5500000000002</v>
      </c>
      <c r="N43">
        <v>4</v>
      </c>
      <c r="O43">
        <v>0</v>
      </c>
      <c r="P43" t="s">
        <v>33</v>
      </c>
      <c r="Q43" t="s">
        <v>34</v>
      </c>
      <c r="R43" t="s">
        <v>26</v>
      </c>
      <c r="S43" s="2">
        <f t="shared" si="0"/>
        <v>249846.45</v>
      </c>
    </row>
    <row r="44" spans="1:19" x14ac:dyDescent="0.3">
      <c r="A44" t="s">
        <v>103</v>
      </c>
      <c r="B44" s="1">
        <v>46322</v>
      </c>
      <c r="C44" t="s">
        <v>36</v>
      </c>
      <c r="D44" t="s">
        <v>29</v>
      </c>
      <c r="E44" t="s">
        <v>42</v>
      </c>
      <c r="F44" t="s">
        <v>22</v>
      </c>
      <c r="G44" t="s">
        <v>23</v>
      </c>
      <c r="H44">
        <v>56</v>
      </c>
      <c r="I44">
        <v>73</v>
      </c>
      <c r="J44">
        <v>67</v>
      </c>
      <c r="K44">
        <v>62</v>
      </c>
      <c r="L44">
        <v>66</v>
      </c>
      <c r="M44" s="2">
        <v>2420.4499999999998</v>
      </c>
      <c r="N44">
        <v>5</v>
      </c>
      <c r="O44">
        <v>7</v>
      </c>
      <c r="P44" t="s">
        <v>24</v>
      </c>
      <c r="Q44" t="s">
        <v>34</v>
      </c>
      <c r="R44" t="s">
        <v>26</v>
      </c>
      <c r="S44" s="2">
        <f t="shared" si="0"/>
        <v>150067.9</v>
      </c>
    </row>
    <row r="45" spans="1:19" x14ac:dyDescent="0.3">
      <c r="A45" t="s">
        <v>104</v>
      </c>
      <c r="B45" s="1">
        <v>46302</v>
      </c>
      <c r="C45" t="s">
        <v>40</v>
      </c>
      <c r="D45" t="s">
        <v>20</v>
      </c>
      <c r="E45" t="s">
        <v>58</v>
      </c>
      <c r="F45" t="s">
        <v>31</v>
      </c>
      <c r="G45" t="s">
        <v>32</v>
      </c>
      <c r="H45">
        <v>130</v>
      </c>
      <c r="I45">
        <v>58</v>
      </c>
      <c r="J45">
        <v>64</v>
      </c>
      <c r="K45">
        <v>124</v>
      </c>
      <c r="L45">
        <v>99</v>
      </c>
      <c r="M45" s="2">
        <v>970.5</v>
      </c>
      <c r="N45">
        <v>8</v>
      </c>
      <c r="O45">
        <v>0</v>
      </c>
      <c r="P45" t="s">
        <v>33</v>
      </c>
      <c r="Q45" t="s">
        <v>34</v>
      </c>
      <c r="R45" t="s">
        <v>59</v>
      </c>
      <c r="S45" s="2">
        <f t="shared" si="0"/>
        <v>120342</v>
      </c>
    </row>
    <row r="46" spans="1:19" x14ac:dyDescent="0.3">
      <c r="A46" t="s">
        <v>105</v>
      </c>
      <c r="B46" s="1">
        <v>46107</v>
      </c>
      <c r="C46" t="s">
        <v>87</v>
      </c>
      <c r="D46" t="s">
        <v>53</v>
      </c>
      <c r="E46" t="s">
        <v>58</v>
      </c>
      <c r="F46" t="s">
        <v>22</v>
      </c>
      <c r="G46" t="s">
        <v>23</v>
      </c>
      <c r="H46">
        <v>109</v>
      </c>
      <c r="I46">
        <v>75</v>
      </c>
      <c r="J46">
        <v>77</v>
      </c>
      <c r="K46">
        <v>107</v>
      </c>
      <c r="L46">
        <v>46</v>
      </c>
      <c r="M46" s="2">
        <v>440</v>
      </c>
      <c r="N46">
        <v>7</v>
      </c>
      <c r="O46">
        <v>0</v>
      </c>
      <c r="P46" t="s">
        <v>33</v>
      </c>
      <c r="Q46" t="s">
        <v>47</v>
      </c>
      <c r="R46" t="s">
        <v>26</v>
      </c>
      <c r="S46" s="2">
        <f t="shared" si="0"/>
        <v>47080</v>
      </c>
    </row>
    <row r="47" spans="1:19" x14ac:dyDescent="0.3">
      <c r="A47" t="s">
        <v>106</v>
      </c>
      <c r="B47" s="1">
        <v>46116</v>
      </c>
      <c r="C47" t="s">
        <v>72</v>
      </c>
      <c r="D47" t="s">
        <v>50</v>
      </c>
      <c r="E47" t="s">
        <v>30</v>
      </c>
      <c r="F47" t="s">
        <v>31</v>
      </c>
      <c r="G47" t="s">
        <v>32</v>
      </c>
      <c r="H47">
        <v>140</v>
      </c>
      <c r="I47">
        <v>95</v>
      </c>
      <c r="J47">
        <v>87</v>
      </c>
      <c r="K47">
        <v>148</v>
      </c>
      <c r="L47">
        <v>87</v>
      </c>
      <c r="M47" s="2">
        <v>1991.92</v>
      </c>
      <c r="N47">
        <v>7</v>
      </c>
      <c r="O47">
        <v>0</v>
      </c>
      <c r="P47" t="s">
        <v>33</v>
      </c>
      <c r="Q47" t="s">
        <v>34</v>
      </c>
      <c r="R47" t="s">
        <v>43</v>
      </c>
      <c r="S47" s="2">
        <f t="shared" si="0"/>
        <v>294804.16000000003</v>
      </c>
    </row>
    <row r="48" spans="1:19" x14ac:dyDescent="0.3">
      <c r="A48" t="s">
        <v>107</v>
      </c>
      <c r="B48" s="1">
        <v>46238</v>
      </c>
      <c r="C48" t="s">
        <v>89</v>
      </c>
      <c r="D48" t="s">
        <v>20</v>
      </c>
      <c r="E48" t="s">
        <v>58</v>
      </c>
      <c r="F48" t="s">
        <v>37</v>
      </c>
      <c r="G48" t="s">
        <v>38</v>
      </c>
      <c r="H48">
        <v>94</v>
      </c>
      <c r="I48">
        <v>78</v>
      </c>
      <c r="J48">
        <v>56</v>
      </c>
      <c r="K48">
        <v>116</v>
      </c>
      <c r="L48">
        <v>66</v>
      </c>
      <c r="M48" s="2">
        <v>1262.7</v>
      </c>
      <c r="N48">
        <v>5</v>
      </c>
      <c r="O48">
        <v>0</v>
      </c>
      <c r="P48" t="s">
        <v>33</v>
      </c>
      <c r="Q48" t="s">
        <v>34</v>
      </c>
      <c r="R48" t="s">
        <v>81</v>
      </c>
      <c r="S48" s="2">
        <f t="shared" si="0"/>
        <v>146473.20000000001</v>
      </c>
    </row>
    <row r="49" spans="1:19" x14ac:dyDescent="0.3">
      <c r="A49" t="s">
        <v>108</v>
      </c>
      <c r="B49" s="1">
        <v>46033</v>
      </c>
      <c r="C49" t="s">
        <v>109</v>
      </c>
      <c r="D49" t="s">
        <v>46</v>
      </c>
      <c r="E49" t="s">
        <v>58</v>
      </c>
      <c r="F49" t="s">
        <v>31</v>
      </c>
      <c r="G49" t="s">
        <v>32</v>
      </c>
      <c r="H49">
        <v>178</v>
      </c>
      <c r="I49">
        <v>26</v>
      </c>
      <c r="J49">
        <v>59</v>
      </c>
      <c r="K49">
        <v>145</v>
      </c>
      <c r="L49">
        <v>59</v>
      </c>
      <c r="M49" s="2">
        <v>3296.09</v>
      </c>
      <c r="N49">
        <v>12</v>
      </c>
      <c r="O49">
        <v>1</v>
      </c>
      <c r="P49" t="s">
        <v>24</v>
      </c>
      <c r="Q49" t="s">
        <v>47</v>
      </c>
      <c r="R49" t="s">
        <v>26</v>
      </c>
      <c r="S49" s="2">
        <f t="shared" si="0"/>
        <v>477933.05000000005</v>
      </c>
    </row>
    <row r="50" spans="1:19" x14ac:dyDescent="0.3">
      <c r="A50" t="s">
        <v>110</v>
      </c>
      <c r="B50" s="1">
        <v>46108</v>
      </c>
      <c r="C50" t="s">
        <v>87</v>
      </c>
      <c r="D50" t="s">
        <v>53</v>
      </c>
      <c r="E50" t="s">
        <v>42</v>
      </c>
      <c r="F50" t="s">
        <v>22</v>
      </c>
      <c r="G50" t="s">
        <v>23</v>
      </c>
      <c r="H50">
        <v>161</v>
      </c>
      <c r="I50">
        <v>105</v>
      </c>
      <c r="J50">
        <v>29</v>
      </c>
      <c r="K50">
        <v>237</v>
      </c>
      <c r="L50">
        <v>81</v>
      </c>
      <c r="M50" s="2">
        <v>490.3</v>
      </c>
      <c r="N50">
        <v>5</v>
      </c>
      <c r="O50">
        <v>0</v>
      </c>
      <c r="P50" t="s">
        <v>33</v>
      </c>
      <c r="Q50" t="s">
        <v>47</v>
      </c>
      <c r="R50" t="s">
        <v>59</v>
      </c>
      <c r="S50" s="2">
        <f t="shared" si="0"/>
        <v>116201.1</v>
      </c>
    </row>
    <row r="51" spans="1:19" x14ac:dyDescent="0.3">
      <c r="A51" t="s">
        <v>111</v>
      </c>
      <c r="B51" s="1">
        <v>46061</v>
      </c>
      <c r="C51" t="s">
        <v>77</v>
      </c>
      <c r="D51" t="s">
        <v>53</v>
      </c>
      <c r="E51" t="s">
        <v>42</v>
      </c>
      <c r="F51" t="s">
        <v>37</v>
      </c>
      <c r="G51" t="s">
        <v>38</v>
      </c>
      <c r="H51">
        <v>67</v>
      </c>
      <c r="I51">
        <v>94</v>
      </c>
      <c r="J51">
        <v>18</v>
      </c>
      <c r="K51">
        <v>143</v>
      </c>
      <c r="L51">
        <v>64</v>
      </c>
      <c r="M51" s="2">
        <v>507.58</v>
      </c>
      <c r="N51">
        <v>5</v>
      </c>
      <c r="O51">
        <v>0</v>
      </c>
      <c r="P51" t="s">
        <v>33</v>
      </c>
      <c r="Q51" t="s">
        <v>47</v>
      </c>
      <c r="R51" t="s">
        <v>59</v>
      </c>
      <c r="S51" s="2">
        <f t="shared" si="0"/>
        <v>72583.94</v>
      </c>
    </row>
    <row r="52" spans="1:19" x14ac:dyDescent="0.3">
      <c r="A52" t="s">
        <v>112</v>
      </c>
      <c r="B52" s="1">
        <v>46361</v>
      </c>
      <c r="C52" t="s">
        <v>87</v>
      </c>
      <c r="D52" t="s">
        <v>53</v>
      </c>
      <c r="E52" t="s">
        <v>75</v>
      </c>
      <c r="F52" t="s">
        <v>37</v>
      </c>
      <c r="G52" t="s">
        <v>38</v>
      </c>
      <c r="H52">
        <v>215</v>
      </c>
      <c r="I52">
        <v>96</v>
      </c>
      <c r="J52">
        <v>30</v>
      </c>
      <c r="K52">
        <v>281</v>
      </c>
      <c r="L52">
        <v>95</v>
      </c>
      <c r="M52" s="2">
        <v>493.55</v>
      </c>
      <c r="N52">
        <v>8</v>
      </c>
      <c r="O52">
        <v>0</v>
      </c>
      <c r="P52" t="s">
        <v>24</v>
      </c>
      <c r="Q52" t="s">
        <v>47</v>
      </c>
      <c r="R52" t="s">
        <v>26</v>
      </c>
      <c r="S52" s="2">
        <f t="shared" si="0"/>
        <v>138687.55000000002</v>
      </c>
    </row>
    <row r="53" spans="1:19" x14ac:dyDescent="0.3">
      <c r="A53" t="s">
        <v>113</v>
      </c>
      <c r="B53" s="1">
        <v>46258</v>
      </c>
      <c r="C53" t="s">
        <v>109</v>
      </c>
      <c r="D53" t="s">
        <v>46</v>
      </c>
      <c r="E53" t="s">
        <v>30</v>
      </c>
      <c r="F53" t="s">
        <v>37</v>
      </c>
      <c r="G53" t="s">
        <v>38</v>
      </c>
      <c r="H53">
        <v>43</v>
      </c>
      <c r="I53">
        <v>128</v>
      </c>
      <c r="J53">
        <v>68</v>
      </c>
      <c r="K53">
        <v>103</v>
      </c>
      <c r="L53">
        <v>97</v>
      </c>
      <c r="M53" s="2">
        <v>3193.73</v>
      </c>
      <c r="N53">
        <v>5</v>
      </c>
      <c r="O53">
        <v>0</v>
      </c>
      <c r="P53" t="s">
        <v>33</v>
      </c>
      <c r="Q53" t="s">
        <v>34</v>
      </c>
      <c r="R53" t="s">
        <v>26</v>
      </c>
      <c r="S53" s="2">
        <f t="shared" si="0"/>
        <v>328954.19</v>
      </c>
    </row>
    <row r="54" spans="1:19" x14ac:dyDescent="0.3">
      <c r="A54" t="s">
        <v>114</v>
      </c>
      <c r="B54" s="1">
        <v>46188</v>
      </c>
      <c r="C54" t="s">
        <v>36</v>
      </c>
      <c r="D54" t="s">
        <v>29</v>
      </c>
      <c r="E54" t="s">
        <v>42</v>
      </c>
      <c r="F54" t="s">
        <v>37</v>
      </c>
      <c r="G54" t="s">
        <v>38</v>
      </c>
      <c r="H54">
        <v>197</v>
      </c>
      <c r="I54">
        <v>123</v>
      </c>
      <c r="J54">
        <v>83</v>
      </c>
      <c r="K54">
        <v>237</v>
      </c>
      <c r="L54">
        <v>94</v>
      </c>
      <c r="M54" s="2">
        <v>2392.08</v>
      </c>
      <c r="N54">
        <v>5</v>
      </c>
      <c r="O54">
        <v>0</v>
      </c>
      <c r="P54" t="s">
        <v>33</v>
      </c>
      <c r="Q54" t="s">
        <v>47</v>
      </c>
      <c r="R54" t="s">
        <v>26</v>
      </c>
      <c r="S54" s="2">
        <f t="shared" si="0"/>
        <v>566922.96</v>
      </c>
    </row>
    <row r="55" spans="1:19" x14ac:dyDescent="0.3">
      <c r="A55" t="s">
        <v>115</v>
      </c>
      <c r="B55" s="1">
        <v>46189</v>
      </c>
      <c r="C55" t="s">
        <v>62</v>
      </c>
      <c r="D55" t="s">
        <v>29</v>
      </c>
      <c r="E55" t="s">
        <v>21</v>
      </c>
      <c r="F55" t="s">
        <v>1582</v>
      </c>
      <c r="G55" t="s">
        <v>1583</v>
      </c>
      <c r="H55">
        <v>102</v>
      </c>
      <c r="I55">
        <v>116</v>
      </c>
      <c r="J55">
        <v>74</v>
      </c>
      <c r="K55">
        <v>144</v>
      </c>
      <c r="L55">
        <v>81</v>
      </c>
      <c r="M55" s="2">
        <v>715.45</v>
      </c>
      <c r="N55">
        <v>5</v>
      </c>
      <c r="O55">
        <v>0</v>
      </c>
      <c r="P55" t="s">
        <v>33</v>
      </c>
      <c r="Q55" t="s">
        <v>34</v>
      </c>
      <c r="R55" t="s">
        <v>26</v>
      </c>
      <c r="S55" s="2">
        <f t="shared" si="0"/>
        <v>103024.8</v>
      </c>
    </row>
    <row r="56" spans="1:19" x14ac:dyDescent="0.3">
      <c r="A56" t="s">
        <v>116</v>
      </c>
      <c r="B56" s="1">
        <v>46120</v>
      </c>
      <c r="C56" t="s">
        <v>36</v>
      </c>
      <c r="D56" t="s">
        <v>29</v>
      </c>
      <c r="E56" t="s">
        <v>42</v>
      </c>
      <c r="F56" t="s">
        <v>37</v>
      </c>
      <c r="G56" t="s">
        <v>38</v>
      </c>
      <c r="H56">
        <v>106</v>
      </c>
      <c r="I56">
        <v>63</v>
      </c>
      <c r="J56">
        <v>50</v>
      </c>
      <c r="K56">
        <v>119</v>
      </c>
      <c r="L56">
        <v>83</v>
      </c>
      <c r="M56" s="2">
        <v>2496.5700000000002</v>
      </c>
      <c r="N56">
        <v>4</v>
      </c>
      <c r="O56">
        <v>0</v>
      </c>
      <c r="P56" t="s">
        <v>33</v>
      </c>
      <c r="Q56" t="s">
        <v>34</v>
      </c>
      <c r="R56" t="s">
        <v>26</v>
      </c>
      <c r="S56" s="2">
        <f t="shared" si="0"/>
        <v>297091.83</v>
      </c>
    </row>
    <row r="57" spans="1:19" x14ac:dyDescent="0.3">
      <c r="A57" t="s">
        <v>117</v>
      </c>
      <c r="B57" s="1">
        <v>46070</v>
      </c>
      <c r="C57" t="s">
        <v>98</v>
      </c>
      <c r="D57" t="s">
        <v>20</v>
      </c>
      <c r="E57" t="s">
        <v>58</v>
      </c>
      <c r="F57" t="s">
        <v>1582</v>
      </c>
      <c r="G57" t="s">
        <v>1583</v>
      </c>
      <c r="H57">
        <v>182</v>
      </c>
      <c r="I57">
        <v>117</v>
      </c>
      <c r="J57">
        <v>45</v>
      </c>
      <c r="K57">
        <v>254</v>
      </c>
      <c r="L57">
        <v>89</v>
      </c>
      <c r="M57" s="2">
        <v>1393.31</v>
      </c>
      <c r="N57">
        <v>7</v>
      </c>
      <c r="O57">
        <v>0</v>
      </c>
      <c r="P57" t="s">
        <v>33</v>
      </c>
      <c r="Q57" t="s">
        <v>47</v>
      </c>
      <c r="R57" t="s">
        <v>59</v>
      </c>
      <c r="S57" s="2">
        <f t="shared" si="0"/>
        <v>353900.74</v>
      </c>
    </row>
    <row r="58" spans="1:19" x14ac:dyDescent="0.3">
      <c r="A58" t="s">
        <v>118</v>
      </c>
      <c r="B58" s="1">
        <v>46304</v>
      </c>
      <c r="C58" t="s">
        <v>80</v>
      </c>
      <c r="D58" t="s">
        <v>46</v>
      </c>
      <c r="E58" t="s">
        <v>58</v>
      </c>
      <c r="F58" t="s">
        <v>22</v>
      </c>
      <c r="G58" t="s">
        <v>23</v>
      </c>
      <c r="H58">
        <v>118</v>
      </c>
      <c r="I58">
        <v>104</v>
      </c>
      <c r="J58">
        <v>89</v>
      </c>
      <c r="K58">
        <v>133</v>
      </c>
      <c r="L58">
        <v>68</v>
      </c>
      <c r="M58" s="2">
        <v>1094.1199999999999</v>
      </c>
      <c r="N58">
        <v>6</v>
      </c>
      <c r="O58">
        <v>0</v>
      </c>
      <c r="P58" t="s">
        <v>33</v>
      </c>
      <c r="Q58" t="s">
        <v>34</v>
      </c>
      <c r="R58" t="s">
        <v>81</v>
      </c>
      <c r="S58" s="2">
        <f t="shared" si="0"/>
        <v>145517.96</v>
      </c>
    </row>
    <row r="59" spans="1:19" x14ac:dyDescent="0.3">
      <c r="A59" t="s">
        <v>119</v>
      </c>
      <c r="B59" s="1">
        <v>46376</v>
      </c>
      <c r="C59" t="s">
        <v>45</v>
      </c>
      <c r="D59" t="s">
        <v>46</v>
      </c>
      <c r="E59" t="s">
        <v>58</v>
      </c>
      <c r="F59" t="s">
        <v>37</v>
      </c>
      <c r="G59" t="s">
        <v>38</v>
      </c>
      <c r="H59">
        <v>118</v>
      </c>
      <c r="I59">
        <v>52</v>
      </c>
      <c r="J59">
        <v>44</v>
      </c>
      <c r="K59">
        <v>126</v>
      </c>
      <c r="L59">
        <v>52</v>
      </c>
      <c r="M59" s="2">
        <v>835.41</v>
      </c>
      <c r="N59">
        <v>4</v>
      </c>
      <c r="O59">
        <v>0</v>
      </c>
      <c r="P59" t="s">
        <v>24</v>
      </c>
      <c r="Q59" t="s">
        <v>47</v>
      </c>
      <c r="R59" t="s">
        <v>26</v>
      </c>
      <c r="S59" s="2">
        <f t="shared" si="0"/>
        <v>105261.65999999999</v>
      </c>
    </row>
    <row r="60" spans="1:19" x14ac:dyDescent="0.3">
      <c r="A60" t="s">
        <v>120</v>
      </c>
      <c r="B60" s="1">
        <v>46174</v>
      </c>
      <c r="C60" t="s">
        <v>28</v>
      </c>
      <c r="D60" t="s">
        <v>29</v>
      </c>
      <c r="E60" t="s">
        <v>42</v>
      </c>
      <c r="F60" t="s">
        <v>1582</v>
      </c>
      <c r="G60" t="s">
        <v>1583</v>
      </c>
      <c r="H60">
        <v>110</v>
      </c>
      <c r="I60">
        <v>112</v>
      </c>
      <c r="J60">
        <v>90</v>
      </c>
      <c r="K60">
        <v>132</v>
      </c>
      <c r="L60">
        <v>93</v>
      </c>
      <c r="M60" s="2">
        <v>1306.4100000000001</v>
      </c>
      <c r="N60">
        <v>4</v>
      </c>
      <c r="O60">
        <v>0</v>
      </c>
      <c r="P60" t="s">
        <v>33</v>
      </c>
      <c r="Q60" t="s">
        <v>34</v>
      </c>
      <c r="R60" t="s">
        <v>43</v>
      </c>
      <c r="S60" s="2">
        <f t="shared" si="0"/>
        <v>172446.12000000002</v>
      </c>
    </row>
    <row r="61" spans="1:19" x14ac:dyDescent="0.3">
      <c r="A61" t="s">
        <v>121</v>
      </c>
      <c r="B61" s="1">
        <v>46087</v>
      </c>
      <c r="C61" t="s">
        <v>83</v>
      </c>
      <c r="D61" t="s">
        <v>29</v>
      </c>
      <c r="E61" t="s">
        <v>42</v>
      </c>
      <c r="F61" t="s">
        <v>37</v>
      </c>
      <c r="G61" t="s">
        <v>38</v>
      </c>
      <c r="H61">
        <v>43</v>
      </c>
      <c r="I61">
        <v>110</v>
      </c>
      <c r="J61">
        <v>83</v>
      </c>
      <c r="K61">
        <v>70</v>
      </c>
      <c r="L61">
        <v>53</v>
      </c>
      <c r="M61" s="2">
        <v>1527.78</v>
      </c>
      <c r="N61">
        <v>2</v>
      </c>
      <c r="O61">
        <v>0</v>
      </c>
      <c r="P61" t="s">
        <v>33</v>
      </c>
      <c r="Q61" t="s">
        <v>34</v>
      </c>
      <c r="R61" t="s">
        <v>59</v>
      </c>
      <c r="S61" s="2">
        <f t="shared" si="0"/>
        <v>106944.59999999999</v>
      </c>
    </row>
    <row r="62" spans="1:19" x14ac:dyDescent="0.3">
      <c r="A62" t="s">
        <v>122</v>
      </c>
      <c r="B62" s="1">
        <v>46081</v>
      </c>
      <c r="C62" t="s">
        <v>57</v>
      </c>
      <c r="D62" t="s">
        <v>50</v>
      </c>
      <c r="E62" t="s">
        <v>75</v>
      </c>
      <c r="F62" t="s">
        <v>37</v>
      </c>
      <c r="G62" t="s">
        <v>38</v>
      </c>
      <c r="H62">
        <v>160</v>
      </c>
      <c r="I62">
        <v>81</v>
      </c>
      <c r="J62">
        <v>71</v>
      </c>
      <c r="K62">
        <v>170</v>
      </c>
      <c r="L62">
        <v>66</v>
      </c>
      <c r="M62" s="2">
        <v>2623.24</v>
      </c>
      <c r="N62">
        <v>2</v>
      </c>
      <c r="O62">
        <v>0</v>
      </c>
      <c r="P62" t="s">
        <v>33</v>
      </c>
      <c r="Q62" t="s">
        <v>47</v>
      </c>
      <c r="R62" t="s">
        <v>43</v>
      </c>
      <c r="S62" s="2">
        <f t="shared" si="0"/>
        <v>445950.8</v>
      </c>
    </row>
    <row r="63" spans="1:19" x14ac:dyDescent="0.3">
      <c r="A63" t="s">
        <v>123</v>
      </c>
      <c r="B63" s="1">
        <v>46150</v>
      </c>
      <c r="C63" t="s">
        <v>40</v>
      </c>
      <c r="D63" t="s">
        <v>20</v>
      </c>
      <c r="E63" t="s">
        <v>58</v>
      </c>
      <c r="F63" t="s">
        <v>31</v>
      </c>
      <c r="G63" t="s">
        <v>32</v>
      </c>
      <c r="H63">
        <v>187</v>
      </c>
      <c r="I63">
        <v>100</v>
      </c>
      <c r="J63">
        <v>102</v>
      </c>
      <c r="K63">
        <v>185</v>
      </c>
      <c r="L63">
        <v>48</v>
      </c>
      <c r="M63" s="2">
        <v>837.31</v>
      </c>
      <c r="N63">
        <v>8</v>
      </c>
      <c r="O63">
        <v>0</v>
      </c>
      <c r="P63" t="s">
        <v>33</v>
      </c>
      <c r="Q63" t="s">
        <v>47</v>
      </c>
      <c r="R63" t="s">
        <v>26</v>
      </c>
      <c r="S63" s="2">
        <f t="shared" si="0"/>
        <v>154902.34999999998</v>
      </c>
    </row>
    <row r="64" spans="1:19" x14ac:dyDescent="0.3">
      <c r="A64" t="s">
        <v>124</v>
      </c>
      <c r="B64" s="1">
        <v>46340</v>
      </c>
      <c r="C64" t="s">
        <v>40</v>
      </c>
      <c r="D64" t="s">
        <v>20</v>
      </c>
      <c r="E64" t="s">
        <v>30</v>
      </c>
      <c r="F64" t="s">
        <v>22</v>
      </c>
      <c r="G64" t="s">
        <v>23</v>
      </c>
      <c r="H64">
        <v>173</v>
      </c>
      <c r="I64">
        <v>68</v>
      </c>
      <c r="J64">
        <v>72</v>
      </c>
      <c r="K64">
        <v>169</v>
      </c>
      <c r="L64">
        <v>73</v>
      </c>
      <c r="M64" s="2">
        <v>863.52</v>
      </c>
      <c r="N64">
        <v>6</v>
      </c>
      <c r="O64">
        <v>0</v>
      </c>
      <c r="P64" t="s">
        <v>33</v>
      </c>
      <c r="Q64" t="s">
        <v>47</v>
      </c>
      <c r="R64" t="s">
        <v>26</v>
      </c>
      <c r="S64" s="2">
        <f t="shared" si="0"/>
        <v>145934.88</v>
      </c>
    </row>
    <row r="65" spans="1:19" x14ac:dyDescent="0.3">
      <c r="A65" t="s">
        <v>125</v>
      </c>
      <c r="B65" s="1">
        <v>46253</v>
      </c>
      <c r="C65" t="s">
        <v>19</v>
      </c>
      <c r="D65" t="s">
        <v>20</v>
      </c>
      <c r="E65" t="s">
        <v>42</v>
      </c>
      <c r="F65" t="s">
        <v>22</v>
      </c>
      <c r="G65" t="s">
        <v>23</v>
      </c>
      <c r="H65">
        <v>107</v>
      </c>
      <c r="I65">
        <v>104</v>
      </c>
      <c r="J65">
        <v>25</v>
      </c>
      <c r="K65">
        <v>186</v>
      </c>
      <c r="L65">
        <v>55</v>
      </c>
      <c r="M65" s="2">
        <v>1706.35</v>
      </c>
      <c r="N65">
        <v>6</v>
      </c>
      <c r="O65">
        <v>0</v>
      </c>
      <c r="P65" t="s">
        <v>24</v>
      </c>
      <c r="Q65" t="s">
        <v>47</v>
      </c>
      <c r="R65" t="s">
        <v>26</v>
      </c>
      <c r="S65" s="2">
        <f t="shared" si="0"/>
        <v>317381.09999999998</v>
      </c>
    </row>
    <row r="66" spans="1:19" x14ac:dyDescent="0.3">
      <c r="A66" t="s">
        <v>126</v>
      </c>
      <c r="B66" s="1">
        <v>46343</v>
      </c>
      <c r="C66" t="s">
        <v>68</v>
      </c>
      <c r="D66" t="s">
        <v>53</v>
      </c>
      <c r="E66" t="s">
        <v>21</v>
      </c>
      <c r="F66" t="s">
        <v>31</v>
      </c>
      <c r="G66" t="s">
        <v>32</v>
      </c>
      <c r="H66">
        <v>99</v>
      </c>
      <c r="I66">
        <v>56</v>
      </c>
      <c r="J66">
        <v>105</v>
      </c>
      <c r="K66">
        <v>50</v>
      </c>
      <c r="L66">
        <v>63</v>
      </c>
      <c r="M66" s="2">
        <v>624.36</v>
      </c>
      <c r="N66">
        <v>5</v>
      </c>
      <c r="O66">
        <v>4</v>
      </c>
      <c r="P66" t="s">
        <v>24</v>
      </c>
      <c r="Q66" t="s">
        <v>34</v>
      </c>
      <c r="R66" t="s">
        <v>81</v>
      </c>
      <c r="S66" s="2">
        <f t="shared" ref="S66:S129" si="1">K66*M66</f>
        <v>31218</v>
      </c>
    </row>
    <row r="67" spans="1:19" x14ac:dyDescent="0.3">
      <c r="A67" t="s">
        <v>127</v>
      </c>
      <c r="B67" s="1">
        <v>46180</v>
      </c>
      <c r="C67" t="s">
        <v>87</v>
      </c>
      <c r="D67" t="s">
        <v>53</v>
      </c>
      <c r="E67" t="s">
        <v>58</v>
      </c>
      <c r="F67" t="s">
        <v>31</v>
      </c>
      <c r="G67" t="s">
        <v>32</v>
      </c>
      <c r="H67">
        <v>179</v>
      </c>
      <c r="I67">
        <v>48</v>
      </c>
      <c r="J67">
        <v>97</v>
      </c>
      <c r="K67">
        <v>130</v>
      </c>
      <c r="L67">
        <v>54</v>
      </c>
      <c r="M67" s="2">
        <v>486.76</v>
      </c>
      <c r="N67">
        <v>8</v>
      </c>
      <c r="O67">
        <v>0</v>
      </c>
      <c r="P67" t="s">
        <v>24</v>
      </c>
      <c r="Q67" t="s">
        <v>47</v>
      </c>
      <c r="R67" t="s">
        <v>26</v>
      </c>
      <c r="S67" s="2">
        <f t="shared" si="1"/>
        <v>63278.799999999996</v>
      </c>
    </row>
    <row r="68" spans="1:19" x14ac:dyDescent="0.3">
      <c r="A68" t="s">
        <v>128</v>
      </c>
      <c r="B68" s="1">
        <v>46064</v>
      </c>
      <c r="C68" t="s">
        <v>52</v>
      </c>
      <c r="D68" t="s">
        <v>53</v>
      </c>
      <c r="E68" t="s">
        <v>58</v>
      </c>
      <c r="F68" t="s">
        <v>31</v>
      </c>
      <c r="G68" t="s">
        <v>32</v>
      </c>
      <c r="H68">
        <v>159</v>
      </c>
      <c r="I68">
        <v>108</v>
      </c>
      <c r="J68">
        <v>53</v>
      </c>
      <c r="K68">
        <v>214</v>
      </c>
      <c r="L68">
        <v>89</v>
      </c>
      <c r="M68" s="2">
        <v>637.33000000000004</v>
      </c>
      <c r="N68">
        <v>4</v>
      </c>
      <c r="O68">
        <v>0</v>
      </c>
      <c r="P68" t="s">
        <v>33</v>
      </c>
      <c r="Q68" t="s">
        <v>47</v>
      </c>
      <c r="R68" t="s">
        <v>26</v>
      </c>
      <c r="S68" s="2">
        <f t="shared" si="1"/>
        <v>136388.62</v>
      </c>
    </row>
    <row r="69" spans="1:19" x14ac:dyDescent="0.3">
      <c r="A69" t="s">
        <v>129</v>
      </c>
      <c r="B69" s="1">
        <v>46033</v>
      </c>
      <c r="C69" t="s">
        <v>77</v>
      </c>
      <c r="D69" t="s">
        <v>53</v>
      </c>
      <c r="E69" t="s">
        <v>58</v>
      </c>
      <c r="F69" t="s">
        <v>37</v>
      </c>
      <c r="G69" t="s">
        <v>38</v>
      </c>
      <c r="H69">
        <v>194</v>
      </c>
      <c r="I69">
        <v>52</v>
      </c>
      <c r="J69">
        <v>18</v>
      </c>
      <c r="K69">
        <v>228</v>
      </c>
      <c r="L69">
        <v>50</v>
      </c>
      <c r="M69" s="2">
        <v>472.89</v>
      </c>
      <c r="N69">
        <v>7</v>
      </c>
      <c r="O69">
        <v>0</v>
      </c>
      <c r="P69" t="s">
        <v>33</v>
      </c>
      <c r="Q69" t="s">
        <v>47</v>
      </c>
      <c r="R69" t="s">
        <v>26</v>
      </c>
      <c r="S69" s="2">
        <f t="shared" si="1"/>
        <v>107818.92</v>
      </c>
    </row>
    <row r="70" spans="1:19" x14ac:dyDescent="0.3">
      <c r="A70" t="s">
        <v>130</v>
      </c>
      <c r="B70" s="1">
        <v>46069</v>
      </c>
      <c r="C70" t="s">
        <v>109</v>
      </c>
      <c r="D70" t="s">
        <v>46</v>
      </c>
      <c r="E70" t="s">
        <v>42</v>
      </c>
      <c r="F70" t="s">
        <v>1582</v>
      </c>
      <c r="G70" t="s">
        <v>1583</v>
      </c>
      <c r="H70">
        <v>172</v>
      </c>
      <c r="I70">
        <v>103</v>
      </c>
      <c r="J70">
        <v>71</v>
      </c>
      <c r="K70">
        <v>204</v>
      </c>
      <c r="L70">
        <v>62</v>
      </c>
      <c r="M70" s="2">
        <v>2996.15</v>
      </c>
      <c r="N70">
        <v>6</v>
      </c>
      <c r="O70">
        <v>0</v>
      </c>
      <c r="P70" t="s">
        <v>33</v>
      </c>
      <c r="Q70" t="s">
        <v>47</v>
      </c>
      <c r="R70" t="s">
        <v>43</v>
      </c>
      <c r="S70" s="2">
        <f t="shared" si="1"/>
        <v>611214.6</v>
      </c>
    </row>
    <row r="71" spans="1:19" x14ac:dyDescent="0.3">
      <c r="A71" t="s">
        <v>131</v>
      </c>
      <c r="B71" s="1">
        <v>46228</v>
      </c>
      <c r="C71" t="s">
        <v>49</v>
      </c>
      <c r="D71" t="s">
        <v>50</v>
      </c>
      <c r="E71" t="s">
        <v>58</v>
      </c>
      <c r="F71" t="s">
        <v>37</v>
      </c>
      <c r="G71" t="s">
        <v>38</v>
      </c>
      <c r="H71">
        <v>122</v>
      </c>
      <c r="I71">
        <v>105</v>
      </c>
      <c r="J71">
        <v>28</v>
      </c>
      <c r="K71">
        <v>199</v>
      </c>
      <c r="L71">
        <v>99</v>
      </c>
      <c r="M71" s="2">
        <v>1211.81</v>
      </c>
      <c r="N71">
        <v>5</v>
      </c>
      <c r="O71">
        <v>0</v>
      </c>
      <c r="P71" t="s">
        <v>33</v>
      </c>
      <c r="Q71" t="s">
        <v>34</v>
      </c>
      <c r="R71" t="s">
        <v>26</v>
      </c>
      <c r="S71" s="2">
        <f t="shared" si="1"/>
        <v>241150.19</v>
      </c>
    </row>
    <row r="72" spans="1:19" x14ac:dyDescent="0.3">
      <c r="A72" t="s">
        <v>132</v>
      </c>
      <c r="B72" s="1">
        <v>46023</v>
      </c>
      <c r="C72" t="s">
        <v>77</v>
      </c>
      <c r="D72" t="s">
        <v>53</v>
      </c>
      <c r="E72" t="s">
        <v>58</v>
      </c>
      <c r="F72" t="s">
        <v>31</v>
      </c>
      <c r="G72" t="s">
        <v>32</v>
      </c>
      <c r="H72">
        <v>120</v>
      </c>
      <c r="I72">
        <v>52</v>
      </c>
      <c r="J72">
        <v>56</v>
      </c>
      <c r="K72">
        <v>116</v>
      </c>
      <c r="L72">
        <v>52</v>
      </c>
      <c r="M72" s="2">
        <v>547.02</v>
      </c>
      <c r="N72">
        <v>5</v>
      </c>
      <c r="O72">
        <v>0</v>
      </c>
      <c r="P72" t="s">
        <v>33</v>
      </c>
      <c r="Q72" t="s">
        <v>47</v>
      </c>
      <c r="R72" t="s">
        <v>43</v>
      </c>
      <c r="S72" s="2">
        <f t="shared" si="1"/>
        <v>63454.32</v>
      </c>
    </row>
    <row r="73" spans="1:19" x14ac:dyDescent="0.3">
      <c r="A73" t="s">
        <v>133</v>
      </c>
      <c r="B73" s="1">
        <v>46159</v>
      </c>
      <c r="C73" t="s">
        <v>68</v>
      </c>
      <c r="D73" t="s">
        <v>53</v>
      </c>
      <c r="E73" t="s">
        <v>58</v>
      </c>
      <c r="F73" t="s">
        <v>31</v>
      </c>
      <c r="G73" t="s">
        <v>32</v>
      </c>
      <c r="H73">
        <v>88</v>
      </c>
      <c r="I73">
        <v>86</v>
      </c>
      <c r="J73">
        <v>61</v>
      </c>
      <c r="K73">
        <v>113</v>
      </c>
      <c r="L73">
        <v>84</v>
      </c>
      <c r="M73" s="2">
        <v>630.77</v>
      </c>
      <c r="N73">
        <v>7</v>
      </c>
      <c r="O73">
        <v>0</v>
      </c>
      <c r="P73" t="s">
        <v>33</v>
      </c>
      <c r="Q73" t="s">
        <v>34</v>
      </c>
      <c r="R73" t="s">
        <v>26</v>
      </c>
      <c r="S73" s="2">
        <f t="shared" si="1"/>
        <v>71277.009999999995</v>
      </c>
    </row>
    <row r="74" spans="1:19" x14ac:dyDescent="0.3">
      <c r="A74" t="s">
        <v>134</v>
      </c>
      <c r="B74" s="1">
        <v>46182</v>
      </c>
      <c r="C74" t="s">
        <v>87</v>
      </c>
      <c r="D74" t="s">
        <v>53</v>
      </c>
      <c r="E74" t="s">
        <v>21</v>
      </c>
      <c r="F74" t="s">
        <v>1582</v>
      </c>
      <c r="G74" t="s">
        <v>1583</v>
      </c>
      <c r="H74">
        <v>218</v>
      </c>
      <c r="I74">
        <v>82</v>
      </c>
      <c r="J74">
        <v>30</v>
      </c>
      <c r="K74">
        <v>270</v>
      </c>
      <c r="L74">
        <v>46</v>
      </c>
      <c r="M74" s="2">
        <v>492.58</v>
      </c>
      <c r="N74">
        <v>6</v>
      </c>
      <c r="O74">
        <v>0</v>
      </c>
      <c r="P74" t="s">
        <v>33</v>
      </c>
      <c r="Q74" t="s">
        <v>47</v>
      </c>
      <c r="R74" t="s">
        <v>59</v>
      </c>
      <c r="S74" s="2">
        <f t="shared" si="1"/>
        <v>132996.6</v>
      </c>
    </row>
    <row r="75" spans="1:19" x14ac:dyDescent="0.3">
      <c r="A75" t="s">
        <v>135</v>
      </c>
      <c r="B75" s="1">
        <v>46172</v>
      </c>
      <c r="C75" t="s">
        <v>77</v>
      </c>
      <c r="D75" t="s">
        <v>53</v>
      </c>
      <c r="E75" t="s">
        <v>30</v>
      </c>
      <c r="F75" t="s">
        <v>1582</v>
      </c>
      <c r="G75" t="s">
        <v>1583</v>
      </c>
      <c r="H75">
        <v>63</v>
      </c>
      <c r="I75">
        <v>48</v>
      </c>
      <c r="J75">
        <v>29</v>
      </c>
      <c r="K75">
        <v>82</v>
      </c>
      <c r="L75">
        <v>74</v>
      </c>
      <c r="M75" s="2">
        <v>544.71</v>
      </c>
      <c r="N75">
        <v>7</v>
      </c>
      <c r="O75">
        <v>0</v>
      </c>
      <c r="P75" t="s">
        <v>33</v>
      </c>
      <c r="Q75" t="s">
        <v>34</v>
      </c>
      <c r="R75" t="s">
        <v>26</v>
      </c>
      <c r="S75" s="2">
        <f t="shared" si="1"/>
        <v>44666.22</v>
      </c>
    </row>
    <row r="76" spans="1:19" x14ac:dyDescent="0.3">
      <c r="A76" t="s">
        <v>136</v>
      </c>
      <c r="B76" s="1">
        <v>46092</v>
      </c>
      <c r="C76" t="s">
        <v>52</v>
      </c>
      <c r="D76" t="s">
        <v>53</v>
      </c>
      <c r="E76" t="s">
        <v>58</v>
      </c>
      <c r="F76" t="s">
        <v>1582</v>
      </c>
      <c r="G76" t="s">
        <v>1583</v>
      </c>
      <c r="H76">
        <v>160</v>
      </c>
      <c r="I76">
        <v>51</v>
      </c>
      <c r="J76">
        <v>73</v>
      </c>
      <c r="K76">
        <v>138</v>
      </c>
      <c r="L76">
        <v>80</v>
      </c>
      <c r="M76" s="2">
        <v>603.79999999999995</v>
      </c>
      <c r="N76">
        <v>3</v>
      </c>
      <c r="O76">
        <v>0</v>
      </c>
      <c r="P76" t="s">
        <v>33</v>
      </c>
      <c r="Q76" t="s">
        <v>34</v>
      </c>
      <c r="R76" t="s">
        <v>26</v>
      </c>
      <c r="S76" s="2">
        <f t="shared" si="1"/>
        <v>83324.399999999994</v>
      </c>
    </row>
    <row r="77" spans="1:19" x14ac:dyDescent="0.3">
      <c r="A77" t="s">
        <v>137</v>
      </c>
      <c r="B77" s="1">
        <v>46273</v>
      </c>
      <c r="C77" t="s">
        <v>89</v>
      </c>
      <c r="D77" t="s">
        <v>20</v>
      </c>
      <c r="E77" t="s">
        <v>58</v>
      </c>
      <c r="F77" t="s">
        <v>37</v>
      </c>
      <c r="G77" t="s">
        <v>38</v>
      </c>
      <c r="H77">
        <v>169</v>
      </c>
      <c r="I77">
        <v>54</v>
      </c>
      <c r="J77">
        <v>15</v>
      </c>
      <c r="K77">
        <v>208</v>
      </c>
      <c r="L77">
        <v>63</v>
      </c>
      <c r="M77" s="2">
        <v>1254.25</v>
      </c>
      <c r="N77">
        <v>8</v>
      </c>
      <c r="O77">
        <v>0</v>
      </c>
      <c r="P77" t="s">
        <v>33</v>
      </c>
      <c r="Q77" t="s">
        <v>47</v>
      </c>
      <c r="R77" t="s">
        <v>81</v>
      </c>
      <c r="S77" s="2">
        <f t="shared" si="1"/>
        <v>260884</v>
      </c>
    </row>
    <row r="78" spans="1:19" x14ac:dyDescent="0.3">
      <c r="A78" t="s">
        <v>138</v>
      </c>
      <c r="B78" s="1">
        <v>46380</v>
      </c>
      <c r="C78" t="s">
        <v>36</v>
      </c>
      <c r="D78" t="s">
        <v>29</v>
      </c>
      <c r="E78" t="s">
        <v>30</v>
      </c>
      <c r="F78" t="s">
        <v>1582</v>
      </c>
      <c r="G78" t="s">
        <v>1583</v>
      </c>
      <c r="H78">
        <v>128</v>
      </c>
      <c r="I78">
        <v>62</v>
      </c>
      <c r="J78">
        <v>85</v>
      </c>
      <c r="K78">
        <v>105</v>
      </c>
      <c r="L78">
        <v>93</v>
      </c>
      <c r="M78" s="2">
        <v>2420.85</v>
      </c>
      <c r="N78">
        <v>5</v>
      </c>
      <c r="O78">
        <v>0</v>
      </c>
      <c r="P78" t="s">
        <v>33</v>
      </c>
      <c r="Q78" t="s">
        <v>34</v>
      </c>
      <c r="R78" t="s">
        <v>43</v>
      </c>
      <c r="S78" s="2">
        <f t="shared" si="1"/>
        <v>254189.25</v>
      </c>
    </row>
    <row r="79" spans="1:19" x14ac:dyDescent="0.3">
      <c r="A79" t="s">
        <v>139</v>
      </c>
      <c r="B79" s="1">
        <v>46041</v>
      </c>
      <c r="C79" t="s">
        <v>36</v>
      </c>
      <c r="D79" t="s">
        <v>29</v>
      </c>
      <c r="E79" t="s">
        <v>42</v>
      </c>
      <c r="F79" t="s">
        <v>1582</v>
      </c>
      <c r="G79" t="s">
        <v>1583</v>
      </c>
      <c r="H79">
        <v>51</v>
      </c>
      <c r="I79">
        <v>60</v>
      </c>
      <c r="J79">
        <v>110</v>
      </c>
      <c r="K79">
        <v>1</v>
      </c>
      <c r="L79">
        <v>75</v>
      </c>
      <c r="M79" s="2">
        <v>2498.5100000000002</v>
      </c>
      <c r="N79">
        <v>8</v>
      </c>
      <c r="O79">
        <v>3</v>
      </c>
      <c r="P79" t="s">
        <v>33</v>
      </c>
      <c r="Q79" t="s">
        <v>25</v>
      </c>
      <c r="R79" t="s">
        <v>26</v>
      </c>
      <c r="S79" s="2">
        <f t="shared" si="1"/>
        <v>2498.5100000000002</v>
      </c>
    </row>
    <row r="80" spans="1:19" x14ac:dyDescent="0.3">
      <c r="A80" t="s">
        <v>140</v>
      </c>
      <c r="B80" s="1">
        <v>46061</v>
      </c>
      <c r="C80" t="s">
        <v>83</v>
      </c>
      <c r="D80" t="s">
        <v>29</v>
      </c>
      <c r="E80" t="s">
        <v>75</v>
      </c>
      <c r="F80" t="s">
        <v>1582</v>
      </c>
      <c r="G80" t="s">
        <v>1583</v>
      </c>
      <c r="H80">
        <v>65</v>
      </c>
      <c r="I80">
        <v>87</v>
      </c>
      <c r="J80">
        <v>73</v>
      </c>
      <c r="K80">
        <v>79</v>
      </c>
      <c r="L80">
        <v>45</v>
      </c>
      <c r="M80" s="2">
        <v>1671.18</v>
      </c>
      <c r="N80">
        <v>5</v>
      </c>
      <c r="O80">
        <v>0</v>
      </c>
      <c r="P80" t="s">
        <v>33</v>
      </c>
      <c r="Q80" t="s">
        <v>34</v>
      </c>
      <c r="R80" t="s">
        <v>81</v>
      </c>
      <c r="S80" s="2">
        <f t="shared" si="1"/>
        <v>132023.22</v>
      </c>
    </row>
    <row r="81" spans="1:19" x14ac:dyDescent="0.3">
      <c r="A81" t="s">
        <v>141</v>
      </c>
      <c r="B81" s="1">
        <v>46272</v>
      </c>
      <c r="C81" t="s">
        <v>49</v>
      </c>
      <c r="D81" t="s">
        <v>50</v>
      </c>
      <c r="E81" t="s">
        <v>21</v>
      </c>
      <c r="F81" t="s">
        <v>1582</v>
      </c>
      <c r="G81" t="s">
        <v>1583</v>
      </c>
      <c r="H81">
        <v>206</v>
      </c>
      <c r="I81">
        <v>30</v>
      </c>
      <c r="J81">
        <v>57</v>
      </c>
      <c r="K81">
        <v>179</v>
      </c>
      <c r="L81">
        <v>99</v>
      </c>
      <c r="M81" s="2">
        <v>1345.33</v>
      </c>
      <c r="N81">
        <v>6</v>
      </c>
      <c r="O81">
        <v>0</v>
      </c>
      <c r="P81" t="s">
        <v>33</v>
      </c>
      <c r="Q81" t="s">
        <v>34</v>
      </c>
      <c r="R81" t="s">
        <v>26</v>
      </c>
      <c r="S81" s="2">
        <f t="shared" si="1"/>
        <v>240814.06999999998</v>
      </c>
    </row>
    <row r="82" spans="1:19" x14ac:dyDescent="0.3">
      <c r="A82" t="s">
        <v>142</v>
      </c>
      <c r="B82" s="1">
        <v>46347</v>
      </c>
      <c r="C82" t="s">
        <v>77</v>
      </c>
      <c r="D82" t="s">
        <v>53</v>
      </c>
      <c r="E82" t="s">
        <v>30</v>
      </c>
      <c r="F82" t="s">
        <v>31</v>
      </c>
      <c r="G82" t="s">
        <v>32</v>
      </c>
      <c r="H82">
        <v>100</v>
      </c>
      <c r="I82">
        <v>100</v>
      </c>
      <c r="J82">
        <v>102</v>
      </c>
      <c r="K82">
        <v>98</v>
      </c>
      <c r="L82">
        <v>63</v>
      </c>
      <c r="M82" s="2">
        <v>549.74</v>
      </c>
      <c r="N82">
        <v>7</v>
      </c>
      <c r="O82">
        <v>0</v>
      </c>
      <c r="P82" t="s">
        <v>24</v>
      </c>
      <c r="Q82" t="s">
        <v>34</v>
      </c>
      <c r="R82" t="s">
        <v>81</v>
      </c>
      <c r="S82" s="2">
        <f t="shared" si="1"/>
        <v>53874.520000000004</v>
      </c>
    </row>
    <row r="83" spans="1:19" x14ac:dyDescent="0.3">
      <c r="A83" t="s">
        <v>143</v>
      </c>
      <c r="B83" s="1">
        <v>46233</v>
      </c>
      <c r="C83" t="s">
        <v>40</v>
      </c>
      <c r="D83" t="s">
        <v>20</v>
      </c>
      <c r="E83" t="s">
        <v>42</v>
      </c>
      <c r="F83" t="s">
        <v>37</v>
      </c>
      <c r="G83" t="s">
        <v>38</v>
      </c>
      <c r="H83">
        <v>47</v>
      </c>
      <c r="I83">
        <v>25</v>
      </c>
      <c r="J83">
        <v>56</v>
      </c>
      <c r="K83">
        <v>16</v>
      </c>
      <c r="L83">
        <v>95</v>
      </c>
      <c r="M83" s="2">
        <v>820.1</v>
      </c>
      <c r="N83">
        <v>4</v>
      </c>
      <c r="O83">
        <v>3</v>
      </c>
      <c r="P83" t="s">
        <v>33</v>
      </c>
      <c r="Q83" t="s">
        <v>25</v>
      </c>
      <c r="R83" t="s">
        <v>26</v>
      </c>
      <c r="S83" s="2">
        <f t="shared" si="1"/>
        <v>13121.6</v>
      </c>
    </row>
    <row r="84" spans="1:19" x14ac:dyDescent="0.3">
      <c r="A84" t="s">
        <v>144</v>
      </c>
      <c r="B84" s="1">
        <v>46259</v>
      </c>
      <c r="C84" t="s">
        <v>87</v>
      </c>
      <c r="D84" t="s">
        <v>53</v>
      </c>
      <c r="E84" t="s">
        <v>42</v>
      </c>
      <c r="F84" t="s">
        <v>22</v>
      </c>
      <c r="G84" t="s">
        <v>23</v>
      </c>
      <c r="H84">
        <v>60</v>
      </c>
      <c r="I84">
        <v>98</v>
      </c>
      <c r="J84">
        <v>63</v>
      </c>
      <c r="K84">
        <v>95</v>
      </c>
      <c r="L84">
        <v>84</v>
      </c>
      <c r="M84" s="2">
        <v>466.48</v>
      </c>
      <c r="N84">
        <v>5</v>
      </c>
      <c r="O84">
        <v>0</v>
      </c>
      <c r="P84" t="s">
        <v>33</v>
      </c>
      <c r="Q84" t="s">
        <v>34</v>
      </c>
      <c r="R84" t="s">
        <v>26</v>
      </c>
      <c r="S84" s="2">
        <f t="shared" si="1"/>
        <v>44315.6</v>
      </c>
    </row>
    <row r="85" spans="1:19" x14ac:dyDescent="0.3">
      <c r="A85" t="s">
        <v>145</v>
      </c>
      <c r="B85" s="1">
        <v>46176</v>
      </c>
      <c r="C85" t="s">
        <v>146</v>
      </c>
      <c r="D85" t="s">
        <v>46</v>
      </c>
      <c r="E85" t="s">
        <v>21</v>
      </c>
      <c r="F85" t="s">
        <v>31</v>
      </c>
      <c r="G85" t="s">
        <v>32</v>
      </c>
      <c r="H85">
        <v>159</v>
      </c>
      <c r="I85">
        <v>56</v>
      </c>
      <c r="J85">
        <v>101</v>
      </c>
      <c r="K85">
        <v>114</v>
      </c>
      <c r="L85">
        <v>79</v>
      </c>
      <c r="M85" s="2">
        <v>1397.39</v>
      </c>
      <c r="N85">
        <v>5</v>
      </c>
      <c r="O85">
        <v>0</v>
      </c>
      <c r="P85" t="s">
        <v>33</v>
      </c>
      <c r="Q85" t="s">
        <v>34</v>
      </c>
      <c r="R85" t="s">
        <v>81</v>
      </c>
      <c r="S85" s="2">
        <f t="shared" si="1"/>
        <v>159302.46000000002</v>
      </c>
    </row>
    <row r="86" spans="1:19" x14ac:dyDescent="0.3">
      <c r="A86" t="s">
        <v>147</v>
      </c>
      <c r="B86" s="1">
        <v>46381</v>
      </c>
      <c r="C86" t="s">
        <v>49</v>
      </c>
      <c r="D86" t="s">
        <v>50</v>
      </c>
      <c r="E86" t="s">
        <v>58</v>
      </c>
      <c r="F86" t="s">
        <v>37</v>
      </c>
      <c r="G86" t="s">
        <v>38</v>
      </c>
      <c r="H86">
        <v>90</v>
      </c>
      <c r="I86">
        <v>69</v>
      </c>
      <c r="J86">
        <v>76</v>
      </c>
      <c r="K86">
        <v>83</v>
      </c>
      <c r="L86">
        <v>51</v>
      </c>
      <c r="M86" s="2">
        <v>1231.67</v>
      </c>
      <c r="N86">
        <v>6</v>
      </c>
      <c r="O86">
        <v>0</v>
      </c>
      <c r="P86" t="s">
        <v>33</v>
      </c>
      <c r="Q86" t="s">
        <v>34</v>
      </c>
      <c r="R86" t="s">
        <v>26</v>
      </c>
      <c r="S86" s="2">
        <f t="shared" si="1"/>
        <v>102228.61</v>
      </c>
    </row>
    <row r="87" spans="1:19" x14ac:dyDescent="0.3">
      <c r="A87" t="s">
        <v>148</v>
      </c>
      <c r="B87" s="1">
        <v>46203</v>
      </c>
      <c r="C87" t="s">
        <v>109</v>
      </c>
      <c r="D87" t="s">
        <v>46</v>
      </c>
      <c r="E87" t="s">
        <v>58</v>
      </c>
      <c r="F87" t="s">
        <v>37</v>
      </c>
      <c r="G87" t="s">
        <v>38</v>
      </c>
      <c r="H87">
        <v>42</v>
      </c>
      <c r="I87">
        <v>92</v>
      </c>
      <c r="J87">
        <v>102</v>
      </c>
      <c r="K87">
        <v>32</v>
      </c>
      <c r="L87">
        <v>94</v>
      </c>
      <c r="M87" s="2">
        <v>3356.59</v>
      </c>
      <c r="N87">
        <v>6</v>
      </c>
      <c r="O87">
        <v>7</v>
      </c>
      <c r="P87" t="s">
        <v>33</v>
      </c>
      <c r="Q87" t="s">
        <v>25</v>
      </c>
      <c r="R87" t="s">
        <v>26</v>
      </c>
      <c r="S87" s="2">
        <f t="shared" si="1"/>
        <v>107410.88</v>
      </c>
    </row>
    <row r="88" spans="1:19" x14ac:dyDescent="0.3">
      <c r="A88" t="s">
        <v>149</v>
      </c>
      <c r="B88" s="1">
        <v>46344</v>
      </c>
      <c r="C88" t="s">
        <v>28</v>
      </c>
      <c r="D88" t="s">
        <v>29</v>
      </c>
      <c r="E88" t="s">
        <v>30</v>
      </c>
      <c r="F88" t="s">
        <v>37</v>
      </c>
      <c r="G88" t="s">
        <v>38</v>
      </c>
      <c r="H88">
        <v>213</v>
      </c>
      <c r="I88">
        <v>116</v>
      </c>
      <c r="J88">
        <v>107</v>
      </c>
      <c r="K88">
        <v>222</v>
      </c>
      <c r="L88">
        <v>94</v>
      </c>
      <c r="M88" s="2">
        <v>1341.39</v>
      </c>
      <c r="N88">
        <v>8</v>
      </c>
      <c r="O88">
        <v>0</v>
      </c>
      <c r="P88" t="s">
        <v>24</v>
      </c>
      <c r="Q88" t="s">
        <v>47</v>
      </c>
      <c r="R88" t="s">
        <v>26</v>
      </c>
      <c r="S88" s="2">
        <f t="shared" si="1"/>
        <v>297788.58</v>
      </c>
    </row>
    <row r="89" spans="1:19" x14ac:dyDescent="0.3">
      <c r="A89" t="s">
        <v>150</v>
      </c>
      <c r="B89" s="1">
        <v>46125</v>
      </c>
      <c r="C89" t="s">
        <v>89</v>
      </c>
      <c r="D89" t="s">
        <v>20</v>
      </c>
      <c r="E89" t="s">
        <v>58</v>
      </c>
      <c r="F89" t="s">
        <v>31</v>
      </c>
      <c r="G89" t="s">
        <v>32</v>
      </c>
      <c r="H89">
        <v>188</v>
      </c>
      <c r="I89">
        <v>66</v>
      </c>
      <c r="J89">
        <v>108</v>
      </c>
      <c r="K89">
        <v>146</v>
      </c>
      <c r="L89">
        <v>53</v>
      </c>
      <c r="M89" s="2">
        <v>1101.6300000000001</v>
      </c>
      <c r="N89">
        <v>4</v>
      </c>
      <c r="O89">
        <v>0</v>
      </c>
      <c r="P89" t="s">
        <v>33</v>
      </c>
      <c r="Q89" t="s">
        <v>47</v>
      </c>
      <c r="R89" t="s">
        <v>26</v>
      </c>
      <c r="S89" s="2">
        <f t="shared" si="1"/>
        <v>160837.98000000001</v>
      </c>
    </row>
    <row r="90" spans="1:19" x14ac:dyDescent="0.3">
      <c r="A90" t="s">
        <v>151</v>
      </c>
      <c r="B90" s="1">
        <v>46061</v>
      </c>
      <c r="C90" t="s">
        <v>83</v>
      </c>
      <c r="D90" t="s">
        <v>29</v>
      </c>
      <c r="E90" t="s">
        <v>30</v>
      </c>
      <c r="F90" t="s">
        <v>37</v>
      </c>
      <c r="G90" t="s">
        <v>38</v>
      </c>
      <c r="H90">
        <v>82</v>
      </c>
      <c r="I90">
        <v>52</v>
      </c>
      <c r="J90">
        <v>76</v>
      </c>
      <c r="K90">
        <v>58</v>
      </c>
      <c r="L90">
        <v>96</v>
      </c>
      <c r="M90" s="2">
        <v>1534.45</v>
      </c>
      <c r="N90">
        <v>8</v>
      </c>
      <c r="O90">
        <v>2</v>
      </c>
      <c r="P90" t="s">
        <v>33</v>
      </c>
      <c r="Q90" t="s">
        <v>25</v>
      </c>
      <c r="R90" t="s">
        <v>26</v>
      </c>
      <c r="S90" s="2">
        <f t="shared" si="1"/>
        <v>88998.1</v>
      </c>
    </row>
    <row r="91" spans="1:19" x14ac:dyDescent="0.3">
      <c r="A91" t="s">
        <v>152</v>
      </c>
      <c r="B91" s="1">
        <v>46367</v>
      </c>
      <c r="C91" t="s">
        <v>28</v>
      </c>
      <c r="D91" t="s">
        <v>29</v>
      </c>
      <c r="E91" t="s">
        <v>58</v>
      </c>
      <c r="F91" t="s">
        <v>37</v>
      </c>
      <c r="G91" t="s">
        <v>38</v>
      </c>
      <c r="H91">
        <v>63</v>
      </c>
      <c r="I91">
        <v>121</v>
      </c>
      <c r="J91">
        <v>65</v>
      </c>
      <c r="K91">
        <v>119</v>
      </c>
      <c r="L91">
        <v>45</v>
      </c>
      <c r="M91" s="2">
        <v>1238.76</v>
      </c>
      <c r="N91">
        <v>2</v>
      </c>
      <c r="O91">
        <v>0</v>
      </c>
      <c r="P91" t="s">
        <v>33</v>
      </c>
      <c r="Q91" t="s">
        <v>47</v>
      </c>
      <c r="R91" t="s">
        <v>26</v>
      </c>
      <c r="S91" s="2">
        <f t="shared" si="1"/>
        <v>147412.44</v>
      </c>
    </row>
    <row r="92" spans="1:19" x14ac:dyDescent="0.3">
      <c r="A92" t="s">
        <v>153</v>
      </c>
      <c r="B92" s="1">
        <v>46354</v>
      </c>
      <c r="C92" t="s">
        <v>146</v>
      </c>
      <c r="D92" t="s">
        <v>46</v>
      </c>
      <c r="E92" t="s">
        <v>21</v>
      </c>
      <c r="F92" t="s">
        <v>31</v>
      </c>
      <c r="G92" t="s">
        <v>32</v>
      </c>
      <c r="H92">
        <v>212</v>
      </c>
      <c r="I92">
        <v>49</v>
      </c>
      <c r="J92">
        <v>75</v>
      </c>
      <c r="K92">
        <v>186</v>
      </c>
      <c r="L92">
        <v>46</v>
      </c>
      <c r="M92" s="2">
        <v>1535.86</v>
      </c>
      <c r="N92">
        <v>6</v>
      </c>
      <c r="O92">
        <v>0</v>
      </c>
      <c r="P92" t="s">
        <v>33</v>
      </c>
      <c r="Q92" t="s">
        <v>47</v>
      </c>
      <c r="R92" t="s">
        <v>26</v>
      </c>
      <c r="S92" s="2">
        <f t="shared" si="1"/>
        <v>285669.95999999996</v>
      </c>
    </row>
    <row r="93" spans="1:19" x14ac:dyDescent="0.3">
      <c r="A93" t="s">
        <v>154</v>
      </c>
      <c r="B93" s="1">
        <v>46298</v>
      </c>
      <c r="C93" t="s">
        <v>40</v>
      </c>
      <c r="D93" t="s">
        <v>20</v>
      </c>
      <c r="E93" t="s">
        <v>21</v>
      </c>
      <c r="F93" t="s">
        <v>1582</v>
      </c>
      <c r="G93" t="s">
        <v>1583</v>
      </c>
      <c r="H93">
        <v>69</v>
      </c>
      <c r="I93">
        <v>37</v>
      </c>
      <c r="J93">
        <v>20</v>
      </c>
      <c r="K93">
        <v>86</v>
      </c>
      <c r="L93">
        <v>47</v>
      </c>
      <c r="M93" s="2">
        <v>864.79</v>
      </c>
      <c r="N93">
        <v>5</v>
      </c>
      <c r="O93">
        <v>0</v>
      </c>
      <c r="P93" t="s">
        <v>24</v>
      </c>
      <c r="Q93" t="s">
        <v>34</v>
      </c>
      <c r="R93" t="s">
        <v>26</v>
      </c>
      <c r="S93" s="2">
        <f t="shared" si="1"/>
        <v>74371.94</v>
      </c>
    </row>
    <row r="94" spans="1:19" x14ac:dyDescent="0.3">
      <c r="A94" t="s">
        <v>155</v>
      </c>
      <c r="B94" s="1">
        <v>46273</v>
      </c>
      <c r="C94" t="s">
        <v>36</v>
      </c>
      <c r="D94" t="s">
        <v>29</v>
      </c>
      <c r="E94" t="s">
        <v>58</v>
      </c>
      <c r="F94" t="s">
        <v>37</v>
      </c>
      <c r="G94" t="s">
        <v>38</v>
      </c>
      <c r="H94">
        <v>211</v>
      </c>
      <c r="I94">
        <v>115</v>
      </c>
      <c r="J94">
        <v>104</v>
      </c>
      <c r="K94">
        <v>222</v>
      </c>
      <c r="L94">
        <v>79</v>
      </c>
      <c r="M94" s="2">
        <v>2361.1799999999998</v>
      </c>
      <c r="N94">
        <v>11</v>
      </c>
      <c r="O94">
        <v>0</v>
      </c>
      <c r="P94" t="s">
        <v>24</v>
      </c>
      <c r="Q94" t="s">
        <v>47</v>
      </c>
      <c r="R94" t="s">
        <v>26</v>
      </c>
      <c r="S94" s="2">
        <f t="shared" si="1"/>
        <v>524181.95999999996</v>
      </c>
    </row>
    <row r="95" spans="1:19" x14ac:dyDescent="0.3">
      <c r="A95" t="s">
        <v>156</v>
      </c>
      <c r="B95" s="1">
        <v>46374</v>
      </c>
      <c r="C95" t="s">
        <v>68</v>
      </c>
      <c r="D95" t="s">
        <v>53</v>
      </c>
      <c r="E95" t="s">
        <v>21</v>
      </c>
      <c r="F95" t="s">
        <v>31</v>
      </c>
      <c r="G95" t="s">
        <v>32</v>
      </c>
      <c r="H95">
        <v>216</v>
      </c>
      <c r="I95">
        <v>67</v>
      </c>
      <c r="J95">
        <v>42</v>
      </c>
      <c r="K95">
        <v>241</v>
      </c>
      <c r="L95">
        <v>73</v>
      </c>
      <c r="M95" s="2">
        <v>593.36</v>
      </c>
      <c r="N95">
        <v>3</v>
      </c>
      <c r="O95">
        <v>0</v>
      </c>
      <c r="P95" t="s">
        <v>33</v>
      </c>
      <c r="Q95" t="s">
        <v>47</v>
      </c>
      <c r="R95" t="s">
        <v>26</v>
      </c>
      <c r="S95" s="2">
        <f t="shared" si="1"/>
        <v>142999.76</v>
      </c>
    </row>
    <row r="96" spans="1:19" x14ac:dyDescent="0.3">
      <c r="A96" t="s">
        <v>157</v>
      </c>
      <c r="B96" s="1">
        <v>46328</v>
      </c>
      <c r="C96" t="s">
        <v>45</v>
      </c>
      <c r="D96" t="s">
        <v>46</v>
      </c>
      <c r="E96" t="s">
        <v>75</v>
      </c>
      <c r="F96" t="s">
        <v>1582</v>
      </c>
      <c r="G96" t="s">
        <v>1583</v>
      </c>
      <c r="H96">
        <v>110</v>
      </c>
      <c r="I96">
        <v>44</v>
      </c>
      <c r="J96">
        <v>30</v>
      </c>
      <c r="K96">
        <v>124</v>
      </c>
      <c r="L96">
        <v>99</v>
      </c>
      <c r="M96" s="2">
        <v>851.87</v>
      </c>
      <c r="N96">
        <v>2</v>
      </c>
      <c r="O96">
        <v>0</v>
      </c>
      <c r="P96" t="s">
        <v>33</v>
      </c>
      <c r="Q96" t="s">
        <v>34</v>
      </c>
      <c r="R96" t="s">
        <v>26</v>
      </c>
      <c r="S96" s="2">
        <f t="shared" si="1"/>
        <v>105631.88</v>
      </c>
    </row>
    <row r="97" spans="1:19" x14ac:dyDescent="0.3">
      <c r="A97" t="s">
        <v>158</v>
      </c>
      <c r="B97" s="1">
        <v>46142</v>
      </c>
      <c r="C97" t="s">
        <v>19</v>
      </c>
      <c r="D97" t="s">
        <v>20</v>
      </c>
      <c r="E97" t="s">
        <v>21</v>
      </c>
      <c r="F97" t="s">
        <v>22</v>
      </c>
      <c r="G97" t="s">
        <v>23</v>
      </c>
      <c r="H97">
        <v>72</v>
      </c>
      <c r="I97">
        <v>120</v>
      </c>
      <c r="J97">
        <v>87</v>
      </c>
      <c r="K97">
        <v>105</v>
      </c>
      <c r="L97">
        <v>58</v>
      </c>
      <c r="M97" s="2">
        <v>1644.7</v>
      </c>
      <c r="N97">
        <v>8</v>
      </c>
      <c r="O97">
        <v>0</v>
      </c>
      <c r="P97" t="s">
        <v>33</v>
      </c>
      <c r="Q97" t="s">
        <v>34</v>
      </c>
      <c r="R97" t="s">
        <v>26</v>
      </c>
      <c r="S97" s="2">
        <f t="shared" si="1"/>
        <v>172693.5</v>
      </c>
    </row>
    <row r="98" spans="1:19" x14ac:dyDescent="0.3">
      <c r="A98" t="s">
        <v>159</v>
      </c>
      <c r="B98" s="1">
        <v>46036</v>
      </c>
      <c r="C98" t="s">
        <v>80</v>
      </c>
      <c r="D98" t="s">
        <v>46</v>
      </c>
      <c r="E98" t="s">
        <v>30</v>
      </c>
      <c r="F98" t="s">
        <v>31</v>
      </c>
      <c r="G98" t="s">
        <v>32</v>
      </c>
      <c r="H98">
        <v>110</v>
      </c>
      <c r="I98">
        <v>129</v>
      </c>
      <c r="J98">
        <v>33</v>
      </c>
      <c r="K98">
        <v>206</v>
      </c>
      <c r="L98">
        <v>53</v>
      </c>
      <c r="M98" s="2">
        <v>1108.8499999999999</v>
      </c>
      <c r="N98">
        <v>8</v>
      </c>
      <c r="O98">
        <v>0</v>
      </c>
      <c r="P98" t="s">
        <v>33</v>
      </c>
      <c r="Q98" t="s">
        <v>47</v>
      </c>
      <c r="R98" t="s">
        <v>26</v>
      </c>
      <c r="S98" s="2">
        <f t="shared" si="1"/>
        <v>228423.09999999998</v>
      </c>
    </row>
    <row r="99" spans="1:19" x14ac:dyDescent="0.3">
      <c r="A99" t="s">
        <v>160</v>
      </c>
      <c r="B99" s="1">
        <v>46055</v>
      </c>
      <c r="C99" t="s">
        <v>62</v>
      </c>
      <c r="D99" t="s">
        <v>29</v>
      </c>
      <c r="E99" t="s">
        <v>21</v>
      </c>
      <c r="F99" t="s">
        <v>22</v>
      </c>
      <c r="G99" t="s">
        <v>23</v>
      </c>
      <c r="H99">
        <v>190</v>
      </c>
      <c r="I99">
        <v>61</v>
      </c>
      <c r="J99">
        <v>17</v>
      </c>
      <c r="K99">
        <v>234</v>
      </c>
      <c r="L99">
        <v>56</v>
      </c>
      <c r="M99" s="2">
        <v>667.15</v>
      </c>
      <c r="N99">
        <v>3</v>
      </c>
      <c r="O99">
        <v>0</v>
      </c>
      <c r="P99" t="s">
        <v>33</v>
      </c>
      <c r="Q99" t="s">
        <v>47</v>
      </c>
      <c r="R99" t="s">
        <v>26</v>
      </c>
      <c r="S99" s="2">
        <f t="shared" si="1"/>
        <v>156113.1</v>
      </c>
    </row>
    <row r="100" spans="1:19" x14ac:dyDescent="0.3">
      <c r="A100" t="s">
        <v>161</v>
      </c>
      <c r="B100" s="1">
        <v>46177</v>
      </c>
      <c r="C100" t="s">
        <v>55</v>
      </c>
      <c r="D100" t="s">
        <v>50</v>
      </c>
      <c r="E100" t="s">
        <v>21</v>
      </c>
      <c r="F100" t="s">
        <v>31</v>
      </c>
      <c r="G100" t="s">
        <v>32</v>
      </c>
      <c r="H100">
        <v>155</v>
      </c>
      <c r="I100">
        <v>84</v>
      </c>
      <c r="J100">
        <v>43</v>
      </c>
      <c r="K100">
        <v>196</v>
      </c>
      <c r="L100">
        <v>84</v>
      </c>
      <c r="M100" s="2">
        <v>908.67</v>
      </c>
      <c r="N100">
        <v>8</v>
      </c>
      <c r="O100">
        <v>0</v>
      </c>
      <c r="P100" t="s">
        <v>33</v>
      </c>
      <c r="Q100" t="s">
        <v>47</v>
      </c>
      <c r="R100" t="s">
        <v>26</v>
      </c>
      <c r="S100" s="2">
        <f t="shared" si="1"/>
        <v>178099.31999999998</v>
      </c>
    </row>
    <row r="101" spans="1:19" x14ac:dyDescent="0.3">
      <c r="A101" t="s">
        <v>162</v>
      </c>
      <c r="B101" s="1">
        <v>46334</v>
      </c>
      <c r="C101" t="s">
        <v>57</v>
      </c>
      <c r="D101" t="s">
        <v>50</v>
      </c>
      <c r="E101" t="s">
        <v>75</v>
      </c>
      <c r="F101" t="s">
        <v>1582</v>
      </c>
      <c r="G101" t="s">
        <v>1583</v>
      </c>
      <c r="H101">
        <v>142</v>
      </c>
      <c r="I101">
        <v>74</v>
      </c>
      <c r="J101">
        <v>102</v>
      </c>
      <c r="K101">
        <v>114</v>
      </c>
      <c r="L101">
        <v>51</v>
      </c>
      <c r="M101" s="2">
        <v>2794.55</v>
      </c>
      <c r="N101">
        <v>5</v>
      </c>
      <c r="O101">
        <v>0</v>
      </c>
      <c r="P101" t="s">
        <v>24</v>
      </c>
      <c r="Q101" t="s">
        <v>47</v>
      </c>
      <c r="R101" t="s">
        <v>26</v>
      </c>
      <c r="S101" s="2">
        <f t="shared" si="1"/>
        <v>318578.7</v>
      </c>
    </row>
    <row r="102" spans="1:19" x14ac:dyDescent="0.3">
      <c r="A102" t="s">
        <v>163</v>
      </c>
      <c r="B102" s="1">
        <v>46255</v>
      </c>
      <c r="C102" t="s">
        <v>62</v>
      </c>
      <c r="D102" t="s">
        <v>29</v>
      </c>
      <c r="E102" t="s">
        <v>42</v>
      </c>
      <c r="F102" t="s">
        <v>37</v>
      </c>
      <c r="G102" t="s">
        <v>38</v>
      </c>
      <c r="H102">
        <v>199</v>
      </c>
      <c r="I102">
        <v>101</v>
      </c>
      <c r="J102">
        <v>89</v>
      </c>
      <c r="K102">
        <v>211</v>
      </c>
      <c r="L102">
        <v>80</v>
      </c>
      <c r="M102" s="2">
        <v>729.7</v>
      </c>
      <c r="N102">
        <v>5</v>
      </c>
      <c r="O102">
        <v>0</v>
      </c>
      <c r="P102" t="s">
        <v>33</v>
      </c>
      <c r="Q102" t="s">
        <v>47</v>
      </c>
      <c r="R102" t="s">
        <v>26</v>
      </c>
      <c r="S102" s="2">
        <f t="shared" si="1"/>
        <v>153966.70000000001</v>
      </c>
    </row>
    <row r="103" spans="1:19" x14ac:dyDescent="0.3">
      <c r="A103" t="s">
        <v>164</v>
      </c>
      <c r="B103" s="1">
        <v>46196</v>
      </c>
      <c r="C103" t="s">
        <v>68</v>
      </c>
      <c r="D103" t="s">
        <v>53</v>
      </c>
      <c r="E103" t="s">
        <v>75</v>
      </c>
      <c r="F103" t="s">
        <v>31</v>
      </c>
      <c r="G103" t="s">
        <v>32</v>
      </c>
      <c r="H103">
        <v>207</v>
      </c>
      <c r="I103">
        <v>103</v>
      </c>
      <c r="J103">
        <v>85</v>
      </c>
      <c r="K103">
        <v>225</v>
      </c>
      <c r="L103">
        <v>91</v>
      </c>
      <c r="M103" s="2">
        <v>643.86</v>
      </c>
      <c r="N103">
        <v>5</v>
      </c>
      <c r="O103">
        <v>0</v>
      </c>
      <c r="P103" t="s">
        <v>33</v>
      </c>
      <c r="Q103" t="s">
        <v>47</v>
      </c>
      <c r="R103" t="s">
        <v>26</v>
      </c>
      <c r="S103" s="2">
        <f t="shared" si="1"/>
        <v>144868.5</v>
      </c>
    </row>
    <row r="104" spans="1:19" x14ac:dyDescent="0.3">
      <c r="A104" t="s">
        <v>165</v>
      </c>
      <c r="B104" s="1">
        <v>46069</v>
      </c>
      <c r="C104" t="s">
        <v>55</v>
      </c>
      <c r="D104" t="s">
        <v>50</v>
      </c>
      <c r="E104" t="s">
        <v>58</v>
      </c>
      <c r="F104" t="s">
        <v>31</v>
      </c>
      <c r="G104" t="s">
        <v>32</v>
      </c>
      <c r="H104">
        <v>120</v>
      </c>
      <c r="I104">
        <v>74</v>
      </c>
      <c r="J104">
        <v>55</v>
      </c>
      <c r="K104">
        <v>139</v>
      </c>
      <c r="L104">
        <v>87</v>
      </c>
      <c r="M104" s="2">
        <v>950.98</v>
      </c>
      <c r="N104">
        <v>3</v>
      </c>
      <c r="O104">
        <v>0</v>
      </c>
      <c r="P104" t="s">
        <v>33</v>
      </c>
      <c r="Q104" t="s">
        <v>34</v>
      </c>
      <c r="R104" t="s">
        <v>26</v>
      </c>
      <c r="S104" s="2">
        <f t="shared" si="1"/>
        <v>132186.22</v>
      </c>
    </row>
    <row r="105" spans="1:19" x14ac:dyDescent="0.3">
      <c r="A105" t="s">
        <v>166</v>
      </c>
      <c r="B105" s="1">
        <v>46233</v>
      </c>
      <c r="C105" t="s">
        <v>19</v>
      </c>
      <c r="D105" t="s">
        <v>20</v>
      </c>
      <c r="E105" t="s">
        <v>58</v>
      </c>
      <c r="F105" t="s">
        <v>31</v>
      </c>
      <c r="G105" t="s">
        <v>32</v>
      </c>
      <c r="H105">
        <v>135</v>
      </c>
      <c r="I105">
        <v>123</v>
      </c>
      <c r="J105">
        <v>31</v>
      </c>
      <c r="K105">
        <v>227</v>
      </c>
      <c r="L105">
        <v>80</v>
      </c>
      <c r="M105" s="2">
        <v>1641.59</v>
      </c>
      <c r="N105">
        <v>6</v>
      </c>
      <c r="O105">
        <v>0</v>
      </c>
      <c r="P105" t="s">
        <v>33</v>
      </c>
      <c r="Q105" t="s">
        <v>47</v>
      </c>
      <c r="R105" t="s">
        <v>26</v>
      </c>
      <c r="S105" s="2">
        <f t="shared" si="1"/>
        <v>372640.93</v>
      </c>
    </row>
    <row r="106" spans="1:19" x14ac:dyDescent="0.3">
      <c r="A106" t="s">
        <v>167</v>
      </c>
      <c r="B106" s="1">
        <v>46078</v>
      </c>
      <c r="C106" t="s">
        <v>146</v>
      </c>
      <c r="D106" t="s">
        <v>46</v>
      </c>
      <c r="E106" t="s">
        <v>75</v>
      </c>
      <c r="F106" t="s">
        <v>37</v>
      </c>
      <c r="G106" t="s">
        <v>38</v>
      </c>
      <c r="H106">
        <v>193</v>
      </c>
      <c r="I106">
        <v>59</v>
      </c>
      <c r="J106">
        <v>60</v>
      </c>
      <c r="K106">
        <v>192</v>
      </c>
      <c r="L106">
        <v>51</v>
      </c>
      <c r="M106" s="2">
        <v>1523.38</v>
      </c>
      <c r="N106">
        <v>3</v>
      </c>
      <c r="O106">
        <v>0</v>
      </c>
      <c r="P106" t="s">
        <v>24</v>
      </c>
      <c r="Q106" t="s">
        <v>47</v>
      </c>
      <c r="R106" t="s">
        <v>26</v>
      </c>
      <c r="S106" s="2">
        <f t="shared" si="1"/>
        <v>292488.96000000002</v>
      </c>
    </row>
    <row r="107" spans="1:19" x14ac:dyDescent="0.3">
      <c r="A107" t="s">
        <v>168</v>
      </c>
      <c r="B107" s="1">
        <v>46352</v>
      </c>
      <c r="C107" t="s">
        <v>45</v>
      </c>
      <c r="D107" t="s">
        <v>46</v>
      </c>
      <c r="E107" t="s">
        <v>75</v>
      </c>
      <c r="F107" t="s">
        <v>37</v>
      </c>
      <c r="G107" t="s">
        <v>38</v>
      </c>
      <c r="H107">
        <v>186</v>
      </c>
      <c r="I107">
        <v>48</v>
      </c>
      <c r="J107">
        <v>69</v>
      </c>
      <c r="K107">
        <v>165</v>
      </c>
      <c r="L107">
        <v>99</v>
      </c>
      <c r="M107" s="2">
        <v>809.75</v>
      </c>
      <c r="N107">
        <v>8</v>
      </c>
      <c r="O107">
        <v>0</v>
      </c>
      <c r="P107" t="s">
        <v>33</v>
      </c>
      <c r="Q107" t="s">
        <v>34</v>
      </c>
      <c r="R107" t="s">
        <v>26</v>
      </c>
      <c r="S107" s="2">
        <f t="shared" si="1"/>
        <v>133608.75</v>
      </c>
    </row>
    <row r="108" spans="1:19" x14ac:dyDescent="0.3">
      <c r="A108" t="s">
        <v>169</v>
      </c>
      <c r="B108" s="1">
        <v>46312</v>
      </c>
      <c r="C108" t="s">
        <v>77</v>
      </c>
      <c r="D108" t="s">
        <v>53</v>
      </c>
      <c r="E108" t="s">
        <v>30</v>
      </c>
      <c r="F108" t="s">
        <v>37</v>
      </c>
      <c r="G108" t="s">
        <v>38</v>
      </c>
      <c r="H108">
        <v>47</v>
      </c>
      <c r="I108">
        <v>43</v>
      </c>
      <c r="J108">
        <v>49</v>
      </c>
      <c r="K108">
        <v>41</v>
      </c>
      <c r="L108">
        <v>89</v>
      </c>
      <c r="M108" s="2">
        <v>526.24</v>
      </c>
      <c r="N108">
        <v>4</v>
      </c>
      <c r="O108">
        <v>3</v>
      </c>
      <c r="P108" t="s">
        <v>33</v>
      </c>
      <c r="Q108" t="s">
        <v>25</v>
      </c>
      <c r="R108" t="s">
        <v>43</v>
      </c>
      <c r="S108" s="2">
        <f t="shared" si="1"/>
        <v>21575.84</v>
      </c>
    </row>
    <row r="109" spans="1:19" x14ac:dyDescent="0.3">
      <c r="A109" t="s">
        <v>170</v>
      </c>
      <c r="B109" s="1">
        <v>46189</v>
      </c>
      <c r="C109" t="s">
        <v>57</v>
      </c>
      <c r="D109" t="s">
        <v>50</v>
      </c>
      <c r="E109" t="s">
        <v>42</v>
      </c>
      <c r="F109" t="s">
        <v>31</v>
      </c>
      <c r="G109" t="s">
        <v>32</v>
      </c>
      <c r="H109">
        <v>63</v>
      </c>
      <c r="I109">
        <v>115</v>
      </c>
      <c r="J109">
        <v>82</v>
      </c>
      <c r="K109">
        <v>96</v>
      </c>
      <c r="L109">
        <v>58</v>
      </c>
      <c r="M109" s="2">
        <v>2730.67</v>
      </c>
      <c r="N109">
        <v>5</v>
      </c>
      <c r="O109">
        <v>0</v>
      </c>
      <c r="P109" t="s">
        <v>33</v>
      </c>
      <c r="Q109" t="s">
        <v>34</v>
      </c>
      <c r="R109" t="s">
        <v>26</v>
      </c>
      <c r="S109" s="2">
        <f t="shared" si="1"/>
        <v>262144.32</v>
      </c>
    </row>
    <row r="110" spans="1:19" x14ac:dyDescent="0.3">
      <c r="A110" t="s">
        <v>171</v>
      </c>
      <c r="B110" s="1">
        <v>46333</v>
      </c>
      <c r="C110" t="s">
        <v>77</v>
      </c>
      <c r="D110" t="s">
        <v>53</v>
      </c>
      <c r="E110" t="s">
        <v>75</v>
      </c>
      <c r="F110" t="s">
        <v>22</v>
      </c>
      <c r="G110" t="s">
        <v>23</v>
      </c>
      <c r="H110">
        <v>80</v>
      </c>
      <c r="I110">
        <v>116</v>
      </c>
      <c r="J110">
        <v>94</v>
      </c>
      <c r="K110">
        <v>102</v>
      </c>
      <c r="L110">
        <v>48</v>
      </c>
      <c r="M110" s="2">
        <v>517.4</v>
      </c>
      <c r="N110">
        <v>4</v>
      </c>
      <c r="O110">
        <v>0</v>
      </c>
      <c r="P110" t="s">
        <v>33</v>
      </c>
      <c r="Q110" t="s">
        <v>34</v>
      </c>
      <c r="R110" t="s">
        <v>26</v>
      </c>
      <c r="S110" s="2">
        <f t="shared" si="1"/>
        <v>52774.799999999996</v>
      </c>
    </row>
    <row r="111" spans="1:19" x14ac:dyDescent="0.3">
      <c r="A111" t="s">
        <v>172</v>
      </c>
      <c r="B111" s="1">
        <v>46364</v>
      </c>
      <c r="C111" t="s">
        <v>55</v>
      </c>
      <c r="D111" t="s">
        <v>50</v>
      </c>
      <c r="E111" t="s">
        <v>21</v>
      </c>
      <c r="F111" t="s">
        <v>22</v>
      </c>
      <c r="G111" t="s">
        <v>23</v>
      </c>
      <c r="H111">
        <v>171</v>
      </c>
      <c r="I111">
        <v>34</v>
      </c>
      <c r="J111">
        <v>59</v>
      </c>
      <c r="K111">
        <v>146</v>
      </c>
      <c r="L111">
        <v>72</v>
      </c>
      <c r="M111" s="2">
        <v>922.18</v>
      </c>
      <c r="N111">
        <v>7</v>
      </c>
      <c r="O111">
        <v>0</v>
      </c>
      <c r="P111" t="s">
        <v>33</v>
      </c>
      <c r="Q111" t="s">
        <v>34</v>
      </c>
      <c r="R111" t="s">
        <v>26</v>
      </c>
      <c r="S111" s="2">
        <f t="shared" si="1"/>
        <v>134638.28</v>
      </c>
    </row>
    <row r="112" spans="1:19" x14ac:dyDescent="0.3">
      <c r="A112" t="s">
        <v>173</v>
      </c>
      <c r="B112" s="1">
        <v>46171</v>
      </c>
      <c r="C112" t="s">
        <v>109</v>
      </c>
      <c r="D112" t="s">
        <v>46</v>
      </c>
      <c r="E112" t="s">
        <v>42</v>
      </c>
      <c r="F112" t="s">
        <v>1582</v>
      </c>
      <c r="G112" t="s">
        <v>1583</v>
      </c>
      <c r="H112">
        <v>193</v>
      </c>
      <c r="I112">
        <v>27</v>
      </c>
      <c r="J112">
        <v>15</v>
      </c>
      <c r="K112">
        <v>205</v>
      </c>
      <c r="L112">
        <v>58</v>
      </c>
      <c r="M112" s="2">
        <v>3072.91</v>
      </c>
      <c r="N112">
        <v>3</v>
      </c>
      <c r="O112">
        <v>0</v>
      </c>
      <c r="P112" t="s">
        <v>33</v>
      </c>
      <c r="Q112" t="s">
        <v>47</v>
      </c>
      <c r="R112" t="s">
        <v>59</v>
      </c>
      <c r="S112" s="2">
        <f t="shared" si="1"/>
        <v>629946.54999999993</v>
      </c>
    </row>
    <row r="113" spans="1:19" x14ac:dyDescent="0.3">
      <c r="A113" t="s">
        <v>174</v>
      </c>
      <c r="B113" s="1">
        <v>46204</v>
      </c>
      <c r="C113" t="s">
        <v>109</v>
      </c>
      <c r="D113" t="s">
        <v>46</v>
      </c>
      <c r="E113" t="s">
        <v>75</v>
      </c>
      <c r="F113" t="s">
        <v>1582</v>
      </c>
      <c r="G113" t="s">
        <v>1583</v>
      </c>
      <c r="H113">
        <v>150</v>
      </c>
      <c r="I113">
        <v>42</v>
      </c>
      <c r="J113">
        <v>31</v>
      </c>
      <c r="K113">
        <v>161</v>
      </c>
      <c r="L113">
        <v>69</v>
      </c>
      <c r="M113" s="2">
        <v>3220.85</v>
      </c>
      <c r="N113">
        <v>3</v>
      </c>
      <c r="O113">
        <v>0</v>
      </c>
      <c r="P113" t="s">
        <v>33</v>
      </c>
      <c r="Q113" t="s">
        <v>47</v>
      </c>
      <c r="R113" t="s">
        <v>43</v>
      </c>
      <c r="S113" s="2">
        <f t="shared" si="1"/>
        <v>518556.85</v>
      </c>
    </row>
    <row r="114" spans="1:19" x14ac:dyDescent="0.3">
      <c r="A114" t="s">
        <v>175</v>
      </c>
      <c r="B114" s="1">
        <v>46230</v>
      </c>
      <c r="C114" t="s">
        <v>40</v>
      </c>
      <c r="D114" t="s">
        <v>20</v>
      </c>
      <c r="E114" t="s">
        <v>75</v>
      </c>
      <c r="F114" t="s">
        <v>1582</v>
      </c>
      <c r="G114" t="s">
        <v>1583</v>
      </c>
      <c r="H114">
        <v>44</v>
      </c>
      <c r="I114">
        <v>78</v>
      </c>
      <c r="J114">
        <v>24</v>
      </c>
      <c r="K114">
        <v>98</v>
      </c>
      <c r="L114">
        <v>100</v>
      </c>
      <c r="M114" s="2">
        <v>866.35</v>
      </c>
      <c r="N114">
        <v>5</v>
      </c>
      <c r="O114">
        <v>7</v>
      </c>
      <c r="P114" t="s">
        <v>33</v>
      </c>
      <c r="Q114" t="s">
        <v>34</v>
      </c>
      <c r="R114" t="s">
        <v>26</v>
      </c>
      <c r="S114" s="2">
        <f t="shared" si="1"/>
        <v>84902.3</v>
      </c>
    </row>
    <row r="115" spans="1:19" x14ac:dyDescent="0.3">
      <c r="A115" t="s">
        <v>176</v>
      </c>
      <c r="B115" s="1">
        <v>46063</v>
      </c>
      <c r="C115" t="s">
        <v>89</v>
      </c>
      <c r="D115" t="s">
        <v>20</v>
      </c>
      <c r="E115" t="s">
        <v>42</v>
      </c>
      <c r="F115" t="s">
        <v>1582</v>
      </c>
      <c r="G115" t="s">
        <v>1583</v>
      </c>
      <c r="H115">
        <v>216</v>
      </c>
      <c r="I115">
        <v>66</v>
      </c>
      <c r="J115">
        <v>26</v>
      </c>
      <c r="K115">
        <v>256</v>
      </c>
      <c r="L115">
        <v>72</v>
      </c>
      <c r="M115" s="2">
        <v>1282.68</v>
      </c>
      <c r="N115">
        <v>3</v>
      </c>
      <c r="O115">
        <v>0</v>
      </c>
      <c r="P115" t="s">
        <v>33</v>
      </c>
      <c r="Q115" t="s">
        <v>47</v>
      </c>
      <c r="R115" t="s">
        <v>26</v>
      </c>
      <c r="S115" s="2">
        <f t="shared" si="1"/>
        <v>328366.08000000002</v>
      </c>
    </row>
    <row r="116" spans="1:19" x14ac:dyDescent="0.3">
      <c r="A116" t="s">
        <v>177</v>
      </c>
      <c r="B116" s="1">
        <v>46201</v>
      </c>
      <c r="C116" t="s">
        <v>49</v>
      </c>
      <c r="D116" t="s">
        <v>50</v>
      </c>
      <c r="E116" t="s">
        <v>21</v>
      </c>
      <c r="F116" t="s">
        <v>22</v>
      </c>
      <c r="G116" t="s">
        <v>23</v>
      </c>
      <c r="H116">
        <v>125</v>
      </c>
      <c r="I116">
        <v>119</v>
      </c>
      <c r="J116">
        <v>36</v>
      </c>
      <c r="K116">
        <v>208</v>
      </c>
      <c r="L116">
        <v>49</v>
      </c>
      <c r="M116" s="2">
        <v>1302.73</v>
      </c>
      <c r="N116">
        <v>2</v>
      </c>
      <c r="O116">
        <v>0</v>
      </c>
      <c r="P116" t="s">
        <v>33</v>
      </c>
      <c r="Q116" t="s">
        <v>47</v>
      </c>
      <c r="R116" t="s">
        <v>26</v>
      </c>
      <c r="S116" s="2">
        <f t="shared" si="1"/>
        <v>270967.84000000003</v>
      </c>
    </row>
    <row r="117" spans="1:19" x14ac:dyDescent="0.3">
      <c r="A117" t="s">
        <v>178</v>
      </c>
      <c r="B117" s="1">
        <v>46344</v>
      </c>
      <c r="C117" t="s">
        <v>80</v>
      </c>
      <c r="D117" t="s">
        <v>46</v>
      </c>
      <c r="E117" t="s">
        <v>42</v>
      </c>
      <c r="F117" t="s">
        <v>31</v>
      </c>
      <c r="G117" t="s">
        <v>32</v>
      </c>
      <c r="H117">
        <v>77</v>
      </c>
      <c r="I117">
        <v>52</v>
      </c>
      <c r="J117">
        <v>40</v>
      </c>
      <c r="K117">
        <v>89</v>
      </c>
      <c r="L117">
        <v>56</v>
      </c>
      <c r="M117" s="2">
        <v>1122.53</v>
      </c>
      <c r="N117">
        <v>8</v>
      </c>
      <c r="O117">
        <v>0</v>
      </c>
      <c r="P117" t="s">
        <v>33</v>
      </c>
      <c r="Q117" t="s">
        <v>34</v>
      </c>
      <c r="R117" t="s">
        <v>26</v>
      </c>
      <c r="S117" s="2">
        <f t="shared" si="1"/>
        <v>99905.17</v>
      </c>
    </row>
    <row r="118" spans="1:19" x14ac:dyDescent="0.3">
      <c r="A118" t="s">
        <v>179</v>
      </c>
      <c r="B118" s="1">
        <v>46100</v>
      </c>
      <c r="C118" t="s">
        <v>55</v>
      </c>
      <c r="D118" t="s">
        <v>50</v>
      </c>
      <c r="E118" t="s">
        <v>30</v>
      </c>
      <c r="F118" t="s">
        <v>1582</v>
      </c>
      <c r="G118" t="s">
        <v>1583</v>
      </c>
      <c r="H118">
        <v>214</v>
      </c>
      <c r="I118">
        <v>92</v>
      </c>
      <c r="J118">
        <v>97</v>
      </c>
      <c r="K118">
        <v>209</v>
      </c>
      <c r="L118">
        <v>85</v>
      </c>
      <c r="M118" s="2">
        <v>1097.31</v>
      </c>
      <c r="N118">
        <v>4</v>
      </c>
      <c r="O118">
        <v>0</v>
      </c>
      <c r="P118" t="s">
        <v>33</v>
      </c>
      <c r="Q118" t="s">
        <v>47</v>
      </c>
      <c r="R118" t="s">
        <v>26</v>
      </c>
      <c r="S118" s="2">
        <f t="shared" si="1"/>
        <v>229337.78999999998</v>
      </c>
    </row>
    <row r="119" spans="1:19" x14ac:dyDescent="0.3">
      <c r="A119" t="s">
        <v>180</v>
      </c>
      <c r="B119" s="1">
        <v>46042</v>
      </c>
      <c r="C119" t="s">
        <v>57</v>
      </c>
      <c r="D119" t="s">
        <v>50</v>
      </c>
      <c r="E119" t="s">
        <v>58</v>
      </c>
      <c r="F119" t="s">
        <v>1582</v>
      </c>
      <c r="G119" t="s">
        <v>1583</v>
      </c>
      <c r="H119">
        <v>201</v>
      </c>
      <c r="I119">
        <v>58</v>
      </c>
      <c r="J119">
        <v>50</v>
      </c>
      <c r="K119">
        <v>209</v>
      </c>
      <c r="L119">
        <v>82</v>
      </c>
      <c r="M119" s="2">
        <v>2551.46</v>
      </c>
      <c r="N119">
        <v>6</v>
      </c>
      <c r="O119">
        <v>0</v>
      </c>
      <c r="P119" t="s">
        <v>24</v>
      </c>
      <c r="Q119" t="s">
        <v>47</v>
      </c>
      <c r="R119" t="s">
        <v>26</v>
      </c>
      <c r="S119" s="2">
        <f t="shared" si="1"/>
        <v>533255.14</v>
      </c>
    </row>
    <row r="120" spans="1:19" x14ac:dyDescent="0.3">
      <c r="A120" t="s">
        <v>181</v>
      </c>
      <c r="B120" s="1">
        <v>46044</v>
      </c>
      <c r="C120" t="s">
        <v>89</v>
      </c>
      <c r="D120" t="s">
        <v>20</v>
      </c>
      <c r="E120" t="s">
        <v>21</v>
      </c>
      <c r="F120" t="s">
        <v>31</v>
      </c>
      <c r="G120" t="s">
        <v>32</v>
      </c>
      <c r="H120">
        <v>205</v>
      </c>
      <c r="I120">
        <v>130</v>
      </c>
      <c r="J120">
        <v>26</v>
      </c>
      <c r="K120">
        <v>309</v>
      </c>
      <c r="L120">
        <v>84</v>
      </c>
      <c r="M120" s="2">
        <v>1222.58</v>
      </c>
      <c r="N120">
        <v>5</v>
      </c>
      <c r="O120">
        <v>0</v>
      </c>
      <c r="P120" t="s">
        <v>33</v>
      </c>
      <c r="Q120" t="s">
        <v>47</v>
      </c>
      <c r="R120" t="s">
        <v>26</v>
      </c>
      <c r="S120" s="2">
        <f t="shared" si="1"/>
        <v>377777.22</v>
      </c>
    </row>
    <row r="121" spans="1:19" x14ac:dyDescent="0.3">
      <c r="A121" t="s">
        <v>182</v>
      </c>
      <c r="B121" s="1">
        <v>46281</v>
      </c>
      <c r="C121" t="s">
        <v>72</v>
      </c>
      <c r="D121" t="s">
        <v>50</v>
      </c>
      <c r="E121" t="s">
        <v>21</v>
      </c>
      <c r="F121" t="s">
        <v>1582</v>
      </c>
      <c r="G121" t="s">
        <v>1583</v>
      </c>
      <c r="H121">
        <v>168</v>
      </c>
      <c r="I121">
        <v>39</v>
      </c>
      <c r="J121">
        <v>22</v>
      </c>
      <c r="K121">
        <v>185</v>
      </c>
      <c r="L121">
        <v>73</v>
      </c>
      <c r="M121" s="2">
        <v>2025.54</v>
      </c>
      <c r="N121">
        <v>8</v>
      </c>
      <c r="O121">
        <v>0</v>
      </c>
      <c r="P121" t="s">
        <v>33</v>
      </c>
      <c r="Q121" t="s">
        <v>47</v>
      </c>
      <c r="R121" t="s">
        <v>59</v>
      </c>
      <c r="S121" s="2">
        <f t="shared" si="1"/>
        <v>374724.89999999997</v>
      </c>
    </row>
    <row r="122" spans="1:19" x14ac:dyDescent="0.3">
      <c r="A122" t="s">
        <v>183</v>
      </c>
      <c r="B122" s="1">
        <v>46196</v>
      </c>
      <c r="C122" t="s">
        <v>62</v>
      </c>
      <c r="D122" t="s">
        <v>29</v>
      </c>
      <c r="E122" t="s">
        <v>42</v>
      </c>
      <c r="F122" t="s">
        <v>1582</v>
      </c>
      <c r="G122" t="s">
        <v>1583</v>
      </c>
      <c r="H122">
        <v>152</v>
      </c>
      <c r="I122">
        <v>87</v>
      </c>
      <c r="J122">
        <v>81</v>
      </c>
      <c r="K122">
        <v>158</v>
      </c>
      <c r="L122">
        <v>84</v>
      </c>
      <c r="M122" s="2">
        <v>652.22</v>
      </c>
      <c r="N122">
        <v>4</v>
      </c>
      <c r="O122">
        <v>0</v>
      </c>
      <c r="P122" t="s">
        <v>33</v>
      </c>
      <c r="Q122" t="s">
        <v>34</v>
      </c>
      <c r="R122" t="s">
        <v>26</v>
      </c>
      <c r="S122" s="2">
        <f t="shared" si="1"/>
        <v>103050.76000000001</v>
      </c>
    </row>
    <row r="123" spans="1:19" x14ac:dyDescent="0.3">
      <c r="A123" t="s">
        <v>184</v>
      </c>
      <c r="B123" s="1">
        <v>46321</v>
      </c>
      <c r="C123" t="s">
        <v>77</v>
      </c>
      <c r="D123" t="s">
        <v>53</v>
      </c>
      <c r="E123" t="s">
        <v>21</v>
      </c>
      <c r="F123" t="s">
        <v>31</v>
      </c>
      <c r="G123" t="s">
        <v>32</v>
      </c>
      <c r="H123">
        <v>124</v>
      </c>
      <c r="I123">
        <v>32</v>
      </c>
      <c r="J123">
        <v>86</v>
      </c>
      <c r="K123">
        <v>70</v>
      </c>
      <c r="L123">
        <v>88</v>
      </c>
      <c r="M123" s="2">
        <v>488.66</v>
      </c>
      <c r="N123">
        <v>4</v>
      </c>
      <c r="O123">
        <v>3</v>
      </c>
      <c r="P123" t="s">
        <v>33</v>
      </c>
      <c r="Q123" t="s">
        <v>34</v>
      </c>
      <c r="R123" t="s">
        <v>26</v>
      </c>
      <c r="S123" s="2">
        <f t="shared" si="1"/>
        <v>34206.200000000004</v>
      </c>
    </row>
    <row r="124" spans="1:19" x14ac:dyDescent="0.3">
      <c r="A124" t="s">
        <v>185</v>
      </c>
      <c r="B124" s="1">
        <v>46088</v>
      </c>
      <c r="C124" t="s">
        <v>83</v>
      </c>
      <c r="D124" t="s">
        <v>29</v>
      </c>
      <c r="E124" t="s">
        <v>21</v>
      </c>
      <c r="F124" t="s">
        <v>1582</v>
      </c>
      <c r="G124" t="s">
        <v>1583</v>
      </c>
      <c r="H124">
        <v>73</v>
      </c>
      <c r="I124">
        <v>96</v>
      </c>
      <c r="J124">
        <v>105</v>
      </c>
      <c r="K124">
        <v>64</v>
      </c>
      <c r="L124">
        <v>50</v>
      </c>
      <c r="M124" s="2">
        <v>1539.07</v>
      </c>
      <c r="N124">
        <v>5</v>
      </c>
      <c r="O124">
        <v>0</v>
      </c>
      <c r="P124" t="s">
        <v>33</v>
      </c>
      <c r="Q124" t="s">
        <v>34</v>
      </c>
      <c r="R124" t="s">
        <v>26</v>
      </c>
      <c r="S124" s="2">
        <f t="shared" si="1"/>
        <v>98500.479999999996</v>
      </c>
    </row>
    <row r="125" spans="1:19" x14ac:dyDescent="0.3">
      <c r="A125" t="s">
        <v>186</v>
      </c>
      <c r="B125" s="1">
        <v>46093</v>
      </c>
      <c r="C125" t="s">
        <v>77</v>
      </c>
      <c r="D125" t="s">
        <v>53</v>
      </c>
      <c r="E125" t="s">
        <v>58</v>
      </c>
      <c r="F125" t="s">
        <v>37</v>
      </c>
      <c r="G125" t="s">
        <v>38</v>
      </c>
      <c r="H125">
        <v>44</v>
      </c>
      <c r="I125">
        <v>66</v>
      </c>
      <c r="J125">
        <v>54</v>
      </c>
      <c r="K125">
        <v>56</v>
      </c>
      <c r="L125">
        <v>56</v>
      </c>
      <c r="M125" s="2">
        <v>545.12</v>
      </c>
      <c r="N125">
        <v>4</v>
      </c>
      <c r="O125">
        <v>8</v>
      </c>
      <c r="P125" t="s">
        <v>33</v>
      </c>
      <c r="Q125" t="s">
        <v>34</v>
      </c>
      <c r="R125" t="s">
        <v>26</v>
      </c>
      <c r="S125" s="2">
        <f t="shared" si="1"/>
        <v>30526.720000000001</v>
      </c>
    </row>
    <row r="126" spans="1:19" x14ac:dyDescent="0.3">
      <c r="A126" t="s">
        <v>187</v>
      </c>
      <c r="B126" s="1">
        <v>46339</v>
      </c>
      <c r="C126" t="s">
        <v>62</v>
      </c>
      <c r="D126" t="s">
        <v>29</v>
      </c>
      <c r="E126" t="s">
        <v>21</v>
      </c>
      <c r="F126" t="s">
        <v>31</v>
      </c>
      <c r="G126" t="s">
        <v>32</v>
      </c>
      <c r="H126">
        <v>169</v>
      </c>
      <c r="I126">
        <v>118</v>
      </c>
      <c r="J126">
        <v>84</v>
      </c>
      <c r="K126">
        <v>203</v>
      </c>
      <c r="L126">
        <v>98</v>
      </c>
      <c r="M126" s="2">
        <v>733.41</v>
      </c>
      <c r="N126">
        <v>6</v>
      </c>
      <c r="O126">
        <v>0</v>
      </c>
      <c r="P126" t="s">
        <v>24</v>
      </c>
      <c r="Q126" t="s">
        <v>34</v>
      </c>
      <c r="R126" t="s">
        <v>26</v>
      </c>
      <c r="S126" s="2">
        <f t="shared" si="1"/>
        <v>148882.22999999998</v>
      </c>
    </row>
    <row r="127" spans="1:19" x14ac:dyDescent="0.3">
      <c r="A127" t="s">
        <v>188</v>
      </c>
      <c r="B127" s="1">
        <v>46209</v>
      </c>
      <c r="C127" t="s">
        <v>36</v>
      </c>
      <c r="D127" t="s">
        <v>29</v>
      </c>
      <c r="E127" t="s">
        <v>42</v>
      </c>
      <c r="F127" t="s">
        <v>22</v>
      </c>
      <c r="G127" t="s">
        <v>23</v>
      </c>
      <c r="H127">
        <v>86</v>
      </c>
      <c r="I127">
        <v>126</v>
      </c>
      <c r="J127">
        <v>103</v>
      </c>
      <c r="K127">
        <v>109</v>
      </c>
      <c r="L127">
        <v>94</v>
      </c>
      <c r="M127" s="2">
        <v>2459.88</v>
      </c>
      <c r="N127">
        <v>3</v>
      </c>
      <c r="O127">
        <v>0</v>
      </c>
      <c r="P127" t="s">
        <v>33</v>
      </c>
      <c r="Q127" t="s">
        <v>34</v>
      </c>
      <c r="R127" t="s">
        <v>26</v>
      </c>
      <c r="S127" s="2">
        <f t="shared" si="1"/>
        <v>268126.92</v>
      </c>
    </row>
    <row r="128" spans="1:19" x14ac:dyDescent="0.3">
      <c r="A128" t="s">
        <v>189</v>
      </c>
      <c r="B128" s="1">
        <v>46122</v>
      </c>
      <c r="C128" t="s">
        <v>36</v>
      </c>
      <c r="D128" t="s">
        <v>29</v>
      </c>
      <c r="E128" t="s">
        <v>30</v>
      </c>
      <c r="F128" t="s">
        <v>37</v>
      </c>
      <c r="G128" t="s">
        <v>38</v>
      </c>
      <c r="H128">
        <v>154</v>
      </c>
      <c r="I128">
        <v>49</v>
      </c>
      <c r="J128">
        <v>83</v>
      </c>
      <c r="K128">
        <v>120</v>
      </c>
      <c r="L128">
        <v>60</v>
      </c>
      <c r="M128" s="2">
        <v>2308.54</v>
      </c>
      <c r="N128">
        <v>8</v>
      </c>
      <c r="O128">
        <v>0</v>
      </c>
      <c r="P128" t="s">
        <v>33</v>
      </c>
      <c r="Q128" t="s">
        <v>34</v>
      </c>
      <c r="R128" t="s">
        <v>43</v>
      </c>
      <c r="S128" s="2">
        <f t="shared" si="1"/>
        <v>277024.8</v>
      </c>
    </row>
    <row r="129" spans="1:19" x14ac:dyDescent="0.3">
      <c r="A129" t="s">
        <v>190</v>
      </c>
      <c r="B129" s="1">
        <v>46151</v>
      </c>
      <c r="C129" t="s">
        <v>146</v>
      </c>
      <c r="D129" t="s">
        <v>46</v>
      </c>
      <c r="E129" t="s">
        <v>58</v>
      </c>
      <c r="F129" t="s">
        <v>37</v>
      </c>
      <c r="G129" t="s">
        <v>38</v>
      </c>
      <c r="H129">
        <v>137</v>
      </c>
      <c r="I129">
        <v>84</v>
      </c>
      <c r="J129">
        <v>82</v>
      </c>
      <c r="K129">
        <v>139</v>
      </c>
      <c r="L129">
        <v>71</v>
      </c>
      <c r="M129" s="2">
        <v>1639.88</v>
      </c>
      <c r="N129">
        <v>8</v>
      </c>
      <c r="O129">
        <v>0</v>
      </c>
      <c r="P129" t="s">
        <v>33</v>
      </c>
      <c r="Q129" t="s">
        <v>34</v>
      </c>
      <c r="R129" t="s">
        <v>26</v>
      </c>
      <c r="S129" s="2">
        <f t="shared" si="1"/>
        <v>227943.32</v>
      </c>
    </row>
    <row r="130" spans="1:19" x14ac:dyDescent="0.3">
      <c r="A130" t="s">
        <v>191</v>
      </c>
      <c r="B130" s="1">
        <v>46098</v>
      </c>
      <c r="C130" t="s">
        <v>40</v>
      </c>
      <c r="D130" t="s">
        <v>20</v>
      </c>
      <c r="E130" t="s">
        <v>21</v>
      </c>
      <c r="F130" t="s">
        <v>31</v>
      </c>
      <c r="G130" t="s">
        <v>32</v>
      </c>
      <c r="H130">
        <v>172</v>
      </c>
      <c r="I130">
        <v>128</v>
      </c>
      <c r="J130">
        <v>30</v>
      </c>
      <c r="K130">
        <v>270</v>
      </c>
      <c r="L130">
        <v>63</v>
      </c>
      <c r="M130" s="2">
        <v>825.1</v>
      </c>
      <c r="N130">
        <v>3</v>
      </c>
      <c r="O130">
        <v>0</v>
      </c>
      <c r="P130" t="s">
        <v>33</v>
      </c>
      <c r="Q130" t="s">
        <v>47</v>
      </c>
      <c r="R130" t="s">
        <v>43</v>
      </c>
      <c r="S130" s="2">
        <f t="shared" ref="S130:S193" si="2">K130*M130</f>
        <v>222777</v>
      </c>
    </row>
    <row r="131" spans="1:19" x14ac:dyDescent="0.3">
      <c r="A131" t="s">
        <v>192</v>
      </c>
      <c r="B131" s="1">
        <v>46214</v>
      </c>
      <c r="C131" t="s">
        <v>57</v>
      </c>
      <c r="D131" t="s">
        <v>50</v>
      </c>
      <c r="E131" t="s">
        <v>42</v>
      </c>
      <c r="F131" t="s">
        <v>1582</v>
      </c>
      <c r="G131" t="s">
        <v>1583</v>
      </c>
      <c r="H131">
        <v>129</v>
      </c>
      <c r="I131">
        <v>23</v>
      </c>
      <c r="J131">
        <v>68</v>
      </c>
      <c r="K131">
        <v>84</v>
      </c>
      <c r="L131">
        <v>48</v>
      </c>
      <c r="M131" s="2">
        <v>2742.01</v>
      </c>
      <c r="N131">
        <v>4</v>
      </c>
      <c r="O131">
        <v>0</v>
      </c>
      <c r="P131" t="s">
        <v>33</v>
      </c>
      <c r="Q131" t="s">
        <v>34</v>
      </c>
      <c r="R131" t="s">
        <v>81</v>
      </c>
      <c r="S131" s="2">
        <f t="shared" si="2"/>
        <v>230328.84000000003</v>
      </c>
    </row>
    <row r="132" spans="1:19" x14ac:dyDescent="0.3">
      <c r="A132" t="s">
        <v>193</v>
      </c>
      <c r="B132" s="1">
        <v>46384</v>
      </c>
      <c r="C132" t="s">
        <v>62</v>
      </c>
      <c r="D132" t="s">
        <v>29</v>
      </c>
      <c r="E132" t="s">
        <v>21</v>
      </c>
      <c r="F132" t="s">
        <v>31</v>
      </c>
      <c r="G132" t="s">
        <v>32</v>
      </c>
      <c r="H132">
        <v>206</v>
      </c>
      <c r="I132">
        <v>62</v>
      </c>
      <c r="J132">
        <v>33</v>
      </c>
      <c r="K132">
        <v>235</v>
      </c>
      <c r="L132">
        <v>53</v>
      </c>
      <c r="M132" s="2">
        <v>635.36</v>
      </c>
      <c r="N132">
        <v>8</v>
      </c>
      <c r="O132">
        <v>0</v>
      </c>
      <c r="P132" t="s">
        <v>33</v>
      </c>
      <c r="Q132" t="s">
        <v>47</v>
      </c>
      <c r="R132" t="s">
        <v>43</v>
      </c>
      <c r="S132" s="2">
        <f t="shared" si="2"/>
        <v>149309.6</v>
      </c>
    </row>
    <row r="133" spans="1:19" x14ac:dyDescent="0.3">
      <c r="A133" t="s">
        <v>194</v>
      </c>
      <c r="B133" s="1">
        <v>46170</v>
      </c>
      <c r="C133" t="s">
        <v>55</v>
      </c>
      <c r="D133" t="s">
        <v>50</v>
      </c>
      <c r="E133" t="s">
        <v>30</v>
      </c>
      <c r="F133" t="s">
        <v>31</v>
      </c>
      <c r="G133" t="s">
        <v>32</v>
      </c>
      <c r="H133">
        <v>60</v>
      </c>
      <c r="I133">
        <v>22</v>
      </c>
      <c r="J133">
        <v>47</v>
      </c>
      <c r="K133">
        <v>35</v>
      </c>
      <c r="L133">
        <v>58</v>
      </c>
      <c r="M133" s="2">
        <v>1066.99</v>
      </c>
      <c r="N133">
        <v>6</v>
      </c>
      <c r="O133">
        <v>7</v>
      </c>
      <c r="P133" t="s">
        <v>33</v>
      </c>
      <c r="Q133" t="s">
        <v>25</v>
      </c>
      <c r="R133" t="s">
        <v>26</v>
      </c>
      <c r="S133" s="2">
        <f t="shared" si="2"/>
        <v>37344.65</v>
      </c>
    </row>
    <row r="134" spans="1:19" x14ac:dyDescent="0.3">
      <c r="A134" t="s">
        <v>195</v>
      </c>
      <c r="B134" s="1">
        <v>46031</v>
      </c>
      <c r="C134" t="s">
        <v>83</v>
      </c>
      <c r="D134" t="s">
        <v>29</v>
      </c>
      <c r="E134" t="s">
        <v>75</v>
      </c>
      <c r="F134" t="s">
        <v>31</v>
      </c>
      <c r="G134" t="s">
        <v>32</v>
      </c>
      <c r="H134">
        <v>101</v>
      </c>
      <c r="I134">
        <v>73</v>
      </c>
      <c r="J134">
        <v>96</v>
      </c>
      <c r="K134">
        <v>78</v>
      </c>
      <c r="L134">
        <v>95</v>
      </c>
      <c r="M134" s="2">
        <v>1639.3</v>
      </c>
      <c r="N134">
        <v>2</v>
      </c>
      <c r="O134">
        <v>8</v>
      </c>
      <c r="P134" t="s">
        <v>24</v>
      </c>
      <c r="Q134" t="s">
        <v>34</v>
      </c>
      <c r="R134" t="s">
        <v>26</v>
      </c>
      <c r="S134" s="2">
        <f t="shared" si="2"/>
        <v>127865.4</v>
      </c>
    </row>
    <row r="135" spans="1:19" x14ac:dyDescent="0.3">
      <c r="A135" t="s">
        <v>196</v>
      </c>
      <c r="B135" s="1">
        <v>46291</v>
      </c>
      <c r="C135" t="s">
        <v>87</v>
      </c>
      <c r="D135" t="s">
        <v>53</v>
      </c>
      <c r="E135" t="s">
        <v>42</v>
      </c>
      <c r="F135" t="s">
        <v>37</v>
      </c>
      <c r="G135" t="s">
        <v>38</v>
      </c>
      <c r="H135">
        <v>149</v>
      </c>
      <c r="I135">
        <v>20</v>
      </c>
      <c r="J135">
        <v>93</v>
      </c>
      <c r="K135">
        <v>76</v>
      </c>
      <c r="L135">
        <v>67</v>
      </c>
      <c r="M135" s="2">
        <v>426.65</v>
      </c>
      <c r="N135">
        <v>5</v>
      </c>
      <c r="O135">
        <v>0</v>
      </c>
      <c r="P135" t="s">
        <v>33</v>
      </c>
      <c r="Q135" t="s">
        <v>34</v>
      </c>
      <c r="R135" t="s">
        <v>26</v>
      </c>
      <c r="S135" s="2">
        <f t="shared" si="2"/>
        <v>32425.399999999998</v>
      </c>
    </row>
    <row r="136" spans="1:19" x14ac:dyDescent="0.3">
      <c r="A136" t="s">
        <v>197</v>
      </c>
      <c r="B136" s="1">
        <v>46057</v>
      </c>
      <c r="C136" t="s">
        <v>109</v>
      </c>
      <c r="D136" t="s">
        <v>46</v>
      </c>
      <c r="E136" t="s">
        <v>30</v>
      </c>
      <c r="F136" t="s">
        <v>31</v>
      </c>
      <c r="G136" t="s">
        <v>32</v>
      </c>
      <c r="H136">
        <v>139</v>
      </c>
      <c r="I136">
        <v>80</v>
      </c>
      <c r="J136">
        <v>20</v>
      </c>
      <c r="K136">
        <v>199</v>
      </c>
      <c r="L136">
        <v>85</v>
      </c>
      <c r="M136" s="2">
        <v>3127.6</v>
      </c>
      <c r="N136">
        <v>4</v>
      </c>
      <c r="O136">
        <v>0</v>
      </c>
      <c r="P136" t="s">
        <v>33</v>
      </c>
      <c r="Q136" t="s">
        <v>47</v>
      </c>
      <c r="R136" t="s">
        <v>26</v>
      </c>
      <c r="S136" s="2">
        <f t="shared" si="2"/>
        <v>622392.4</v>
      </c>
    </row>
    <row r="137" spans="1:19" x14ac:dyDescent="0.3">
      <c r="A137" t="s">
        <v>198</v>
      </c>
      <c r="B137" s="1">
        <v>46268</v>
      </c>
      <c r="C137" t="s">
        <v>80</v>
      </c>
      <c r="D137" t="s">
        <v>46</v>
      </c>
      <c r="E137" t="s">
        <v>75</v>
      </c>
      <c r="F137" t="s">
        <v>37</v>
      </c>
      <c r="G137" t="s">
        <v>38</v>
      </c>
      <c r="H137">
        <v>74</v>
      </c>
      <c r="I137">
        <v>25</v>
      </c>
      <c r="J137">
        <v>60</v>
      </c>
      <c r="K137">
        <v>39</v>
      </c>
      <c r="L137">
        <v>79</v>
      </c>
      <c r="M137" s="2">
        <v>1064.48</v>
      </c>
      <c r="N137">
        <v>7</v>
      </c>
      <c r="O137">
        <v>8</v>
      </c>
      <c r="P137" t="s">
        <v>33</v>
      </c>
      <c r="Q137" t="s">
        <v>25</v>
      </c>
      <c r="R137" t="s">
        <v>81</v>
      </c>
      <c r="S137" s="2">
        <f t="shared" si="2"/>
        <v>41514.720000000001</v>
      </c>
    </row>
    <row r="138" spans="1:19" x14ac:dyDescent="0.3">
      <c r="A138" t="s">
        <v>199</v>
      </c>
      <c r="B138" s="1">
        <v>46226</v>
      </c>
      <c r="C138" t="s">
        <v>28</v>
      </c>
      <c r="D138" t="s">
        <v>29</v>
      </c>
      <c r="E138" t="s">
        <v>75</v>
      </c>
      <c r="F138" t="s">
        <v>1582</v>
      </c>
      <c r="G138" t="s">
        <v>1583</v>
      </c>
      <c r="H138">
        <v>49</v>
      </c>
      <c r="I138">
        <v>57</v>
      </c>
      <c r="J138">
        <v>40</v>
      </c>
      <c r="K138">
        <v>66</v>
      </c>
      <c r="L138">
        <v>47</v>
      </c>
      <c r="M138" s="2">
        <v>1375.69</v>
      </c>
      <c r="N138">
        <v>2</v>
      </c>
      <c r="O138">
        <v>0</v>
      </c>
      <c r="P138" t="s">
        <v>33</v>
      </c>
      <c r="Q138" t="s">
        <v>34</v>
      </c>
      <c r="R138" t="s">
        <v>26</v>
      </c>
      <c r="S138" s="2">
        <f t="shared" si="2"/>
        <v>90795.540000000008</v>
      </c>
    </row>
    <row r="139" spans="1:19" x14ac:dyDescent="0.3">
      <c r="A139" t="s">
        <v>200</v>
      </c>
      <c r="B139" s="1">
        <v>46086</v>
      </c>
      <c r="C139" t="s">
        <v>68</v>
      </c>
      <c r="D139" t="s">
        <v>53</v>
      </c>
      <c r="E139" t="s">
        <v>21</v>
      </c>
      <c r="F139" t="s">
        <v>31</v>
      </c>
      <c r="G139" t="s">
        <v>32</v>
      </c>
      <c r="H139">
        <v>205</v>
      </c>
      <c r="I139">
        <v>44</v>
      </c>
      <c r="J139">
        <v>51</v>
      </c>
      <c r="K139">
        <v>198</v>
      </c>
      <c r="L139">
        <v>67</v>
      </c>
      <c r="M139" s="2">
        <v>643.46</v>
      </c>
      <c r="N139">
        <v>2</v>
      </c>
      <c r="O139">
        <v>0</v>
      </c>
      <c r="P139" t="s">
        <v>33</v>
      </c>
      <c r="Q139" t="s">
        <v>47</v>
      </c>
      <c r="R139" t="s">
        <v>26</v>
      </c>
      <c r="S139" s="2">
        <f t="shared" si="2"/>
        <v>127405.08</v>
      </c>
    </row>
    <row r="140" spans="1:19" x14ac:dyDescent="0.3">
      <c r="A140" t="s">
        <v>201</v>
      </c>
      <c r="B140" s="1">
        <v>46065</v>
      </c>
      <c r="C140" t="s">
        <v>146</v>
      </c>
      <c r="D140" t="s">
        <v>46</v>
      </c>
      <c r="E140" t="s">
        <v>58</v>
      </c>
      <c r="F140" t="s">
        <v>1582</v>
      </c>
      <c r="G140" t="s">
        <v>1583</v>
      </c>
      <c r="H140">
        <v>138</v>
      </c>
      <c r="I140">
        <v>63</v>
      </c>
      <c r="J140">
        <v>38</v>
      </c>
      <c r="K140">
        <v>163</v>
      </c>
      <c r="L140">
        <v>76</v>
      </c>
      <c r="M140" s="2">
        <v>1557.62</v>
      </c>
      <c r="N140">
        <v>4</v>
      </c>
      <c r="O140">
        <v>0</v>
      </c>
      <c r="P140" t="s">
        <v>33</v>
      </c>
      <c r="Q140" t="s">
        <v>34</v>
      </c>
      <c r="R140" t="s">
        <v>26</v>
      </c>
      <c r="S140" s="2">
        <f t="shared" si="2"/>
        <v>253892.05999999997</v>
      </c>
    </row>
    <row r="141" spans="1:19" x14ac:dyDescent="0.3">
      <c r="A141" t="s">
        <v>202</v>
      </c>
      <c r="B141" s="1">
        <v>46241</v>
      </c>
      <c r="C141" t="s">
        <v>57</v>
      </c>
      <c r="D141" t="s">
        <v>50</v>
      </c>
      <c r="E141" t="s">
        <v>58</v>
      </c>
      <c r="F141" t="s">
        <v>22</v>
      </c>
      <c r="G141" t="s">
        <v>23</v>
      </c>
      <c r="H141">
        <v>179</v>
      </c>
      <c r="I141">
        <v>57</v>
      </c>
      <c r="J141">
        <v>56</v>
      </c>
      <c r="K141">
        <v>180</v>
      </c>
      <c r="L141">
        <v>51</v>
      </c>
      <c r="M141" s="2">
        <v>2564.84</v>
      </c>
      <c r="N141">
        <v>7</v>
      </c>
      <c r="O141">
        <v>0</v>
      </c>
      <c r="P141" t="s">
        <v>33</v>
      </c>
      <c r="Q141" t="s">
        <v>47</v>
      </c>
      <c r="R141" t="s">
        <v>26</v>
      </c>
      <c r="S141" s="2">
        <f t="shared" si="2"/>
        <v>461671.2</v>
      </c>
    </row>
    <row r="142" spans="1:19" x14ac:dyDescent="0.3">
      <c r="A142" t="s">
        <v>203</v>
      </c>
      <c r="B142" s="1">
        <v>46052</v>
      </c>
      <c r="C142" t="s">
        <v>36</v>
      </c>
      <c r="D142" t="s">
        <v>29</v>
      </c>
      <c r="E142" t="s">
        <v>21</v>
      </c>
      <c r="F142" t="s">
        <v>1582</v>
      </c>
      <c r="G142" t="s">
        <v>1583</v>
      </c>
      <c r="H142">
        <v>50</v>
      </c>
      <c r="I142">
        <v>113</v>
      </c>
      <c r="J142">
        <v>60</v>
      </c>
      <c r="K142">
        <v>103</v>
      </c>
      <c r="L142">
        <v>84</v>
      </c>
      <c r="M142" s="2">
        <v>2639.11</v>
      </c>
      <c r="N142">
        <v>4</v>
      </c>
      <c r="O142">
        <v>0</v>
      </c>
      <c r="P142" t="s">
        <v>33</v>
      </c>
      <c r="Q142" t="s">
        <v>34</v>
      </c>
      <c r="R142" t="s">
        <v>59</v>
      </c>
      <c r="S142" s="2">
        <f t="shared" si="2"/>
        <v>271828.33</v>
      </c>
    </row>
    <row r="143" spans="1:19" x14ac:dyDescent="0.3">
      <c r="A143" t="s">
        <v>204</v>
      </c>
      <c r="B143" s="1">
        <v>46210</v>
      </c>
      <c r="C143" t="s">
        <v>40</v>
      </c>
      <c r="D143" t="s">
        <v>20</v>
      </c>
      <c r="E143" t="s">
        <v>21</v>
      </c>
      <c r="F143" t="s">
        <v>22</v>
      </c>
      <c r="G143" t="s">
        <v>23</v>
      </c>
      <c r="H143">
        <v>47</v>
      </c>
      <c r="I143">
        <v>38</v>
      </c>
      <c r="J143">
        <v>92</v>
      </c>
      <c r="K143">
        <v>0</v>
      </c>
      <c r="L143">
        <v>88</v>
      </c>
      <c r="M143" s="2">
        <v>950.64</v>
      </c>
      <c r="N143">
        <v>2</v>
      </c>
      <c r="O143">
        <v>4</v>
      </c>
      <c r="P143" t="s">
        <v>24</v>
      </c>
      <c r="Q143" t="s">
        <v>25</v>
      </c>
      <c r="R143" t="s">
        <v>59</v>
      </c>
      <c r="S143" s="2">
        <f t="shared" si="2"/>
        <v>0</v>
      </c>
    </row>
    <row r="144" spans="1:19" x14ac:dyDescent="0.3">
      <c r="A144" t="s">
        <v>205</v>
      </c>
      <c r="B144" s="1">
        <v>46093</v>
      </c>
      <c r="C144" t="s">
        <v>146</v>
      </c>
      <c r="D144" t="s">
        <v>46</v>
      </c>
      <c r="E144" t="s">
        <v>30</v>
      </c>
      <c r="F144" t="s">
        <v>31</v>
      </c>
      <c r="G144" t="s">
        <v>32</v>
      </c>
      <c r="H144">
        <v>194</v>
      </c>
      <c r="I144">
        <v>39</v>
      </c>
      <c r="J144">
        <v>101</v>
      </c>
      <c r="K144">
        <v>132</v>
      </c>
      <c r="L144">
        <v>73</v>
      </c>
      <c r="M144" s="2">
        <v>1634.65</v>
      </c>
      <c r="N144">
        <v>4</v>
      </c>
      <c r="O144">
        <v>0</v>
      </c>
      <c r="P144" t="s">
        <v>33</v>
      </c>
      <c r="Q144" t="s">
        <v>34</v>
      </c>
      <c r="R144" t="s">
        <v>26</v>
      </c>
      <c r="S144" s="2">
        <f t="shared" si="2"/>
        <v>215773.80000000002</v>
      </c>
    </row>
    <row r="145" spans="1:19" x14ac:dyDescent="0.3">
      <c r="A145" t="s">
        <v>206</v>
      </c>
      <c r="B145" s="1">
        <v>46310</v>
      </c>
      <c r="C145" t="s">
        <v>52</v>
      </c>
      <c r="D145" t="s">
        <v>53</v>
      </c>
      <c r="E145" t="s">
        <v>58</v>
      </c>
      <c r="F145" t="s">
        <v>37</v>
      </c>
      <c r="G145" t="s">
        <v>38</v>
      </c>
      <c r="H145">
        <v>206</v>
      </c>
      <c r="I145">
        <v>55</v>
      </c>
      <c r="J145">
        <v>46</v>
      </c>
      <c r="K145">
        <v>215</v>
      </c>
      <c r="L145">
        <v>52</v>
      </c>
      <c r="M145" s="2">
        <v>588.37</v>
      </c>
      <c r="N145">
        <v>3</v>
      </c>
      <c r="O145">
        <v>0</v>
      </c>
      <c r="P145" t="s">
        <v>33</v>
      </c>
      <c r="Q145" t="s">
        <v>47</v>
      </c>
      <c r="R145" t="s">
        <v>26</v>
      </c>
      <c r="S145" s="2">
        <f t="shared" si="2"/>
        <v>126499.55</v>
      </c>
    </row>
    <row r="146" spans="1:19" x14ac:dyDescent="0.3">
      <c r="A146" t="s">
        <v>207</v>
      </c>
      <c r="B146" s="1">
        <v>46060</v>
      </c>
      <c r="C146" t="s">
        <v>89</v>
      </c>
      <c r="D146" t="s">
        <v>20</v>
      </c>
      <c r="E146" t="s">
        <v>21</v>
      </c>
      <c r="F146" t="s">
        <v>1582</v>
      </c>
      <c r="G146" t="s">
        <v>1583</v>
      </c>
      <c r="H146">
        <v>94</v>
      </c>
      <c r="I146">
        <v>98</v>
      </c>
      <c r="J146">
        <v>51</v>
      </c>
      <c r="K146">
        <v>141</v>
      </c>
      <c r="L146">
        <v>89</v>
      </c>
      <c r="M146" s="2">
        <v>1299.95</v>
      </c>
      <c r="N146">
        <v>5</v>
      </c>
      <c r="O146">
        <v>0</v>
      </c>
      <c r="P146" t="s">
        <v>33</v>
      </c>
      <c r="Q146" t="s">
        <v>34</v>
      </c>
      <c r="R146" t="s">
        <v>26</v>
      </c>
      <c r="S146" s="2">
        <f t="shared" si="2"/>
        <v>183292.95</v>
      </c>
    </row>
    <row r="147" spans="1:19" x14ac:dyDescent="0.3">
      <c r="A147" t="s">
        <v>208</v>
      </c>
      <c r="B147" s="1">
        <v>46176</v>
      </c>
      <c r="C147" t="s">
        <v>72</v>
      </c>
      <c r="D147" t="s">
        <v>50</v>
      </c>
      <c r="E147" t="s">
        <v>58</v>
      </c>
      <c r="F147" t="s">
        <v>31</v>
      </c>
      <c r="G147" t="s">
        <v>32</v>
      </c>
      <c r="H147">
        <v>214</v>
      </c>
      <c r="I147">
        <v>128</v>
      </c>
      <c r="J147">
        <v>55</v>
      </c>
      <c r="K147">
        <v>287</v>
      </c>
      <c r="L147">
        <v>87</v>
      </c>
      <c r="M147" s="2">
        <v>2132.87</v>
      </c>
      <c r="N147">
        <v>2</v>
      </c>
      <c r="O147">
        <v>0</v>
      </c>
      <c r="P147" t="s">
        <v>33</v>
      </c>
      <c r="Q147" t="s">
        <v>47</v>
      </c>
      <c r="R147" t="s">
        <v>26</v>
      </c>
      <c r="S147" s="2">
        <f t="shared" si="2"/>
        <v>612133.68999999994</v>
      </c>
    </row>
    <row r="148" spans="1:19" x14ac:dyDescent="0.3">
      <c r="A148" t="s">
        <v>209</v>
      </c>
      <c r="B148" s="1">
        <v>46305</v>
      </c>
      <c r="C148" t="s">
        <v>28</v>
      </c>
      <c r="D148" t="s">
        <v>29</v>
      </c>
      <c r="E148" t="s">
        <v>21</v>
      </c>
      <c r="F148" t="s">
        <v>22</v>
      </c>
      <c r="G148" t="s">
        <v>23</v>
      </c>
      <c r="H148">
        <v>71</v>
      </c>
      <c r="I148">
        <v>45</v>
      </c>
      <c r="J148">
        <v>32</v>
      </c>
      <c r="K148">
        <v>84</v>
      </c>
      <c r="L148">
        <v>60</v>
      </c>
      <c r="M148" s="2">
        <v>1375.5</v>
      </c>
      <c r="N148">
        <v>5</v>
      </c>
      <c r="O148">
        <v>0</v>
      </c>
      <c r="P148" t="s">
        <v>24</v>
      </c>
      <c r="Q148" t="s">
        <v>34</v>
      </c>
      <c r="R148" t="s">
        <v>43</v>
      </c>
      <c r="S148" s="2">
        <f t="shared" si="2"/>
        <v>115542</v>
      </c>
    </row>
    <row r="149" spans="1:19" x14ac:dyDescent="0.3">
      <c r="A149" t="s">
        <v>210</v>
      </c>
      <c r="B149" s="1">
        <v>46087</v>
      </c>
      <c r="C149" t="s">
        <v>62</v>
      </c>
      <c r="D149" t="s">
        <v>29</v>
      </c>
      <c r="E149" t="s">
        <v>75</v>
      </c>
      <c r="F149" t="s">
        <v>37</v>
      </c>
      <c r="G149" t="s">
        <v>38</v>
      </c>
      <c r="H149">
        <v>141</v>
      </c>
      <c r="I149">
        <v>111</v>
      </c>
      <c r="J149">
        <v>107</v>
      </c>
      <c r="K149">
        <v>145</v>
      </c>
      <c r="L149">
        <v>75</v>
      </c>
      <c r="M149" s="2">
        <v>703.6</v>
      </c>
      <c r="N149">
        <v>8</v>
      </c>
      <c r="O149">
        <v>0</v>
      </c>
      <c r="P149" t="s">
        <v>33</v>
      </c>
      <c r="Q149" t="s">
        <v>34</v>
      </c>
      <c r="R149" t="s">
        <v>26</v>
      </c>
      <c r="S149" s="2">
        <f t="shared" si="2"/>
        <v>102022</v>
      </c>
    </row>
    <row r="150" spans="1:19" x14ac:dyDescent="0.3">
      <c r="A150" t="s">
        <v>211</v>
      </c>
      <c r="B150" s="1">
        <v>46051</v>
      </c>
      <c r="C150" t="s">
        <v>109</v>
      </c>
      <c r="D150" t="s">
        <v>46</v>
      </c>
      <c r="E150" t="s">
        <v>58</v>
      </c>
      <c r="F150" t="s">
        <v>1582</v>
      </c>
      <c r="G150" t="s">
        <v>1583</v>
      </c>
      <c r="H150">
        <v>214</v>
      </c>
      <c r="I150">
        <v>86</v>
      </c>
      <c r="J150">
        <v>59</v>
      </c>
      <c r="K150">
        <v>241</v>
      </c>
      <c r="L150">
        <v>53</v>
      </c>
      <c r="M150" s="2">
        <v>3441.89</v>
      </c>
      <c r="N150">
        <v>12</v>
      </c>
      <c r="O150">
        <v>1</v>
      </c>
      <c r="P150" t="s">
        <v>33</v>
      </c>
      <c r="Q150" t="s">
        <v>47</v>
      </c>
      <c r="R150" t="s">
        <v>26</v>
      </c>
      <c r="S150" s="2">
        <f t="shared" si="2"/>
        <v>829495.49</v>
      </c>
    </row>
    <row r="151" spans="1:19" x14ac:dyDescent="0.3">
      <c r="A151" t="s">
        <v>212</v>
      </c>
      <c r="B151" s="1">
        <v>46348</v>
      </c>
      <c r="C151" t="s">
        <v>98</v>
      </c>
      <c r="D151" t="s">
        <v>20</v>
      </c>
      <c r="E151" t="s">
        <v>21</v>
      </c>
      <c r="F151" t="s">
        <v>22</v>
      </c>
      <c r="G151" t="s">
        <v>23</v>
      </c>
      <c r="H151">
        <v>81</v>
      </c>
      <c r="I151">
        <v>61</v>
      </c>
      <c r="J151">
        <v>105</v>
      </c>
      <c r="K151">
        <v>37</v>
      </c>
      <c r="L151">
        <v>59</v>
      </c>
      <c r="M151" s="2">
        <v>1356.89</v>
      </c>
      <c r="N151">
        <v>6</v>
      </c>
      <c r="O151">
        <v>2</v>
      </c>
      <c r="P151" t="s">
        <v>33</v>
      </c>
      <c r="Q151" t="s">
        <v>25</v>
      </c>
      <c r="R151" t="s">
        <v>26</v>
      </c>
      <c r="S151" s="2">
        <f t="shared" si="2"/>
        <v>50204.93</v>
      </c>
    </row>
    <row r="152" spans="1:19" x14ac:dyDescent="0.3">
      <c r="A152" t="s">
        <v>213</v>
      </c>
      <c r="B152" s="1">
        <v>46360</v>
      </c>
      <c r="C152" t="s">
        <v>52</v>
      </c>
      <c r="D152" t="s">
        <v>53</v>
      </c>
      <c r="E152" t="s">
        <v>42</v>
      </c>
      <c r="F152" t="s">
        <v>37</v>
      </c>
      <c r="G152" t="s">
        <v>38</v>
      </c>
      <c r="H152">
        <v>197</v>
      </c>
      <c r="I152">
        <v>88</v>
      </c>
      <c r="J152">
        <v>26</v>
      </c>
      <c r="K152">
        <v>259</v>
      </c>
      <c r="L152">
        <v>77</v>
      </c>
      <c r="M152" s="2">
        <v>668.33</v>
      </c>
      <c r="N152">
        <v>6</v>
      </c>
      <c r="O152">
        <v>0</v>
      </c>
      <c r="P152" t="s">
        <v>33</v>
      </c>
      <c r="Q152" t="s">
        <v>47</v>
      </c>
      <c r="R152" t="s">
        <v>26</v>
      </c>
      <c r="S152" s="2">
        <f t="shared" si="2"/>
        <v>173097.47</v>
      </c>
    </row>
    <row r="153" spans="1:19" x14ac:dyDescent="0.3">
      <c r="A153" t="s">
        <v>214</v>
      </c>
      <c r="B153" s="1">
        <v>46038</v>
      </c>
      <c r="C153" t="s">
        <v>52</v>
      </c>
      <c r="D153" t="s">
        <v>53</v>
      </c>
      <c r="E153" t="s">
        <v>30</v>
      </c>
      <c r="F153" t="s">
        <v>31</v>
      </c>
      <c r="G153" t="s">
        <v>32</v>
      </c>
      <c r="H153">
        <v>47</v>
      </c>
      <c r="I153">
        <v>30</v>
      </c>
      <c r="J153">
        <v>20</v>
      </c>
      <c r="K153">
        <v>57</v>
      </c>
      <c r="L153">
        <v>86</v>
      </c>
      <c r="M153" s="2">
        <v>685.23</v>
      </c>
      <c r="N153">
        <v>4</v>
      </c>
      <c r="O153">
        <v>7</v>
      </c>
      <c r="P153" t="s">
        <v>33</v>
      </c>
      <c r="Q153" t="s">
        <v>34</v>
      </c>
      <c r="R153" t="s">
        <v>26</v>
      </c>
      <c r="S153" s="2">
        <f t="shared" si="2"/>
        <v>39058.11</v>
      </c>
    </row>
    <row r="154" spans="1:19" x14ac:dyDescent="0.3">
      <c r="A154" t="s">
        <v>215</v>
      </c>
      <c r="B154" s="1">
        <v>46235</v>
      </c>
      <c r="C154" t="s">
        <v>49</v>
      </c>
      <c r="D154" t="s">
        <v>50</v>
      </c>
      <c r="E154" t="s">
        <v>21</v>
      </c>
      <c r="F154" t="s">
        <v>1582</v>
      </c>
      <c r="G154" t="s">
        <v>1583</v>
      </c>
      <c r="H154">
        <v>102</v>
      </c>
      <c r="I154">
        <v>123</v>
      </c>
      <c r="J154">
        <v>102</v>
      </c>
      <c r="K154">
        <v>123</v>
      </c>
      <c r="L154">
        <v>70</v>
      </c>
      <c r="M154" s="2">
        <v>1247.33</v>
      </c>
      <c r="N154">
        <v>2</v>
      </c>
      <c r="O154">
        <v>0</v>
      </c>
      <c r="P154" t="s">
        <v>33</v>
      </c>
      <c r="Q154" t="s">
        <v>34</v>
      </c>
      <c r="R154" t="s">
        <v>26</v>
      </c>
      <c r="S154" s="2">
        <f t="shared" si="2"/>
        <v>153421.59</v>
      </c>
    </row>
    <row r="155" spans="1:19" x14ac:dyDescent="0.3">
      <c r="A155" t="s">
        <v>216</v>
      </c>
      <c r="B155" s="1">
        <v>46227</v>
      </c>
      <c r="C155" t="s">
        <v>55</v>
      </c>
      <c r="D155" t="s">
        <v>50</v>
      </c>
      <c r="E155" t="s">
        <v>42</v>
      </c>
      <c r="F155" t="s">
        <v>37</v>
      </c>
      <c r="G155" t="s">
        <v>38</v>
      </c>
      <c r="H155">
        <v>195</v>
      </c>
      <c r="I155">
        <v>38</v>
      </c>
      <c r="J155">
        <v>55</v>
      </c>
      <c r="K155">
        <v>178</v>
      </c>
      <c r="L155">
        <v>100</v>
      </c>
      <c r="M155" s="2">
        <v>1043.67</v>
      </c>
      <c r="N155">
        <v>7</v>
      </c>
      <c r="O155">
        <v>0</v>
      </c>
      <c r="P155" t="s">
        <v>33</v>
      </c>
      <c r="Q155" t="s">
        <v>34</v>
      </c>
      <c r="R155" t="s">
        <v>26</v>
      </c>
      <c r="S155" s="2">
        <f t="shared" si="2"/>
        <v>185773.26</v>
      </c>
    </row>
    <row r="156" spans="1:19" x14ac:dyDescent="0.3">
      <c r="A156" t="s">
        <v>217</v>
      </c>
      <c r="B156" s="1">
        <v>46219</v>
      </c>
      <c r="C156" t="s">
        <v>83</v>
      </c>
      <c r="D156" t="s">
        <v>29</v>
      </c>
      <c r="E156" t="s">
        <v>30</v>
      </c>
      <c r="F156" t="s">
        <v>31</v>
      </c>
      <c r="G156" t="s">
        <v>32</v>
      </c>
      <c r="H156">
        <v>121</v>
      </c>
      <c r="I156">
        <v>50</v>
      </c>
      <c r="J156">
        <v>74</v>
      </c>
      <c r="K156">
        <v>97</v>
      </c>
      <c r="L156">
        <v>52</v>
      </c>
      <c r="M156" s="2">
        <v>1525.59</v>
      </c>
      <c r="N156">
        <v>3</v>
      </c>
      <c r="O156">
        <v>0</v>
      </c>
      <c r="P156" t="s">
        <v>24</v>
      </c>
      <c r="Q156" t="s">
        <v>34</v>
      </c>
      <c r="R156" t="s">
        <v>26</v>
      </c>
      <c r="S156" s="2">
        <f t="shared" si="2"/>
        <v>147982.22999999998</v>
      </c>
    </row>
    <row r="157" spans="1:19" x14ac:dyDescent="0.3">
      <c r="A157" t="s">
        <v>218</v>
      </c>
      <c r="B157" s="1">
        <v>46278</v>
      </c>
      <c r="C157" t="s">
        <v>68</v>
      </c>
      <c r="D157" t="s">
        <v>53</v>
      </c>
      <c r="E157" t="s">
        <v>42</v>
      </c>
      <c r="F157" t="s">
        <v>22</v>
      </c>
      <c r="G157" t="s">
        <v>23</v>
      </c>
      <c r="H157">
        <v>123</v>
      </c>
      <c r="I157">
        <v>93</v>
      </c>
      <c r="J157">
        <v>107</v>
      </c>
      <c r="K157">
        <v>109</v>
      </c>
      <c r="L157">
        <v>65</v>
      </c>
      <c r="M157" s="2">
        <v>562.78</v>
      </c>
      <c r="N157">
        <v>3</v>
      </c>
      <c r="O157">
        <v>0</v>
      </c>
      <c r="P157" t="s">
        <v>33</v>
      </c>
      <c r="Q157" t="s">
        <v>34</v>
      </c>
      <c r="R157" t="s">
        <v>26</v>
      </c>
      <c r="S157" s="2">
        <f t="shared" si="2"/>
        <v>61343.02</v>
      </c>
    </row>
    <row r="158" spans="1:19" x14ac:dyDescent="0.3">
      <c r="A158" t="s">
        <v>219</v>
      </c>
      <c r="B158" s="1">
        <v>46328</v>
      </c>
      <c r="C158" t="s">
        <v>146</v>
      </c>
      <c r="D158" t="s">
        <v>46</v>
      </c>
      <c r="E158" t="s">
        <v>75</v>
      </c>
      <c r="F158" t="s">
        <v>31</v>
      </c>
      <c r="G158" t="s">
        <v>32</v>
      </c>
      <c r="H158">
        <v>140</v>
      </c>
      <c r="I158">
        <v>84</v>
      </c>
      <c r="J158">
        <v>73</v>
      </c>
      <c r="K158">
        <v>151</v>
      </c>
      <c r="L158">
        <v>60</v>
      </c>
      <c r="M158" s="2">
        <v>1414.54</v>
      </c>
      <c r="N158">
        <v>4</v>
      </c>
      <c r="O158">
        <v>0</v>
      </c>
      <c r="P158" t="s">
        <v>24</v>
      </c>
      <c r="Q158" t="s">
        <v>47</v>
      </c>
      <c r="R158" t="s">
        <v>26</v>
      </c>
      <c r="S158" s="2">
        <f t="shared" si="2"/>
        <v>213595.54</v>
      </c>
    </row>
    <row r="159" spans="1:19" x14ac:dyDescent="0.3">
      <c r="A159" t="s">
        <v>220</v>
      </c>
      <c r="B159" s="1">
        <v>46049</v>
      </c>
      <c r="C159" t="s">
        <v>49</v>
      </c>
      <c r="D159" t="s">
        <v>50</v>
      </c>
      <c r="E159" t="s">
        <v>30</v>
      </c>
      <c r="F159" t="s">
        <v>31</v>
      </c>
      <c r="G159" t="s">
        <v>32</v>
      </c>
      <c r="H159">
        <v>67</v>
      </c>
      <c r="I159">
        <v>75</v>
      </c>
      <c r="J159">
        <v>32</v>
      </c>
      <c r="K159">
        <v>110</v>
      </c>
      <c r="L159">
        <v>61</v>
      </c>
      <c r="M159" s="2">
        <v>1359.15</v>
      </c>
      <c r="N159">
        <v>8</v>
      </c>
      <c r="O159">
        <v>0</v>
      </c>
      <c r="P159" t="s">
        <v>33</v>
      </c>
      <c r="Q159" t="s">
        <v>34</v>
      </c>
      <c r="R159" t="s">
        <v>26</v>
      </c>
      <c r="S159" s="2">
        <f t="shared" si="2"/>
        <v>149506.5</v>
      </c>
    </row>
    <row r="160" spans="1:19" x14ac:dyDescent="0.3">
      <c r="A160" t="s">
        <v>221</v>
      </c>
      <c r="B160" s="1">
        <v>46072</v>
      </c>
      <c r="C160" t="s">
        <v>87</v>
      </c>
      <c r="D160" t="s">
        <v>53</v>
      </c>
      <c r="E160" t="s">
        <v>21</v>
      </c>
      <c r="F160" t="s">
        <v>37</v>
      </c>
      <c r="G160" t="s">
        <v>38</v>
      </c>
      <c r="H160">
        <v>58</v>
      </c>
      <c r="I160">
        <v>69</v>
      </c>
      <c r="J160">
        <v>79</v>
      </c>
      <c r="K160">
        <v>48</v>
      </c>
      <c r="L160">
        <v>73</v>
      </c>
      <c r="M160" s="2">
        <v>473.8</v>
      </c>
      <c r="N160">
        <v>4</v>
      </c>
      <c r="O160">
        <v>2</v>
      </c>
      <c r="P160" t="s">
        <v>33</v>
      </c>
      <c r="Q160" t="s">
        <v>34</v>
      </c>
      <c r="R160" t="s">
        <v>26</v>
      </c>
      <c r="S160" s="2">
        <f t="shared" si="2"/>
        <v>22742.400000000001</v>
      </c>
    </row>
    <row r="161" spans="1:19" x14ac:dyDescent="0.3">
      <c r="A161" t="s">
        <v>222</v>
      </c>
      <c r="B161" s="1">
        <v>46265</v>
      </c>
      <c r="C161" t="s">
        <v>49</v>
      </c>
      <c r="D161" t="s">
        <v>50</v>
      </c>
      <c r="E161" t="s">
        <v>21</v>
      </c>
      <c r="F161" t="s">
        <v>37</v>
      </c>
      <c r="G161" t="s">
        <v>38</v>
      </c>
      <c r="H161">
        <v>76</v>
      </c>
      <c r="I161">
        <v>45</v>
      </c>
      <c r="J161">
        <v>92</v>
      </c>
      <c r="K161">
        <v>29</v>
      </c>
      <c r="L161">
        <v>77</v>
      </c>
      <c r="M161" s="2">
        <v>1274.3599999999999</v>
      </c>
      <c r="N161">
        <v>2</v>
      </c>
      <c r="O161">
        <v>3</v>
      </c>
      <c r="P161" t="s">
        <v>24</v>
      </c>
      <c r="Q161" t="s">
        <v>25</v>
      </c>
      <c r="R161" t="s">
        <v>59</v>
      </c>
      <c r="S161" s="2">
        <f t="shared" si="2"/>
        <v>36956.439999999995</v>
      </c>
    </row>
    <row r="162" spans="1:19" x14ac:dyDescent="0.3">
      <c r="A162" t="s">
        <v>223</v>
      </c>
      <c r="B162" s="1">
        <v>46195</v>
      </c>
      <c r="C162" t="s">
        <v>68</v>
      </c>
      <c r="D162" t="s">
        <v>53</v>
      </c>
      <c r="E162" t="s">
        <v>42</v>
      </c>
      <c r="F162" t="s">
        <v>22</v>
      </c>
      <c r="G162" t="s">
        <v>23</v>
      </c>
      <c r="H162">
        <v>123</v>
      </c>
      <c r="I162">
        <v>98</v>
      </c>
      <c r="J162">
        <v>55</v>
      </c>
      <c r="K162">
        <v>166</v>
      </c>
      <c r="L162">
        <v>55</v>
      </c>
      <c r="M162" s="2">
        <v>587.15</v>
      </c>
      <c r="N162">
        <v>6</v>
      </c>
      <c r="O162">
        <v>0</v>
      </c>
      <c r="P162" t="s">
        <v>33</v>
      </c>
      <c r="Q162" t="s">
        <v>47</v>
      </c>
      <c r="R162" t="s">
        <v>26</v>
      </c>
      <c r="S162" s="2">
        <f t="shared" si="2"/>
        <v>97466.9</v>
      </c>
    </row>
    <row r="163" spans="1:19" x14ac:dyDescent="0.3">
      <c r="A163" t="s">
        <v>224</v>
      </c>
      <c r="B163" s="1">
        <v>46375</v>
      </c>
      <c r="C163" t="s">
        <v>68</v>
      </c>
      <c r="D163" t="s">
        <v>53</v>
      </c>
      <c r="E163" t="s">
        <v>30</v>
      </c>
      <c r="F163" t="s">
        <v>37</v>
      </c>
      <c r="G163" t="s">
        <v>38</v>
      </c>
      <c r="H163">
        <v>161</v>
      </c>
      <c r="I163">
        <v>124</v>
      </c>
      <c r="J163">
        <v>17</v>
      </c>
      <c r="K163">
        <v>268</v>
      </c>
      <c r="L163">
        <v>68</v>
      </c>
      <c r="M163" s="2">
        <v>579.75</v>
      </c>
      <c r="N163">
        <v>2</v>
      </c>
      <c r="O163">
        <v>0</v>
      </c>
      <c r="P163" t="s">
        <v>33</v>
      </c>
      <c r="Q163" t="s">
        <v>47</v>
      </c>
      <c r="R163" t="s">
        <v>26</v>
      </c>
      <c r="S163" s="2">
        <f t="shared" si="2"/>
        <v>155373</v>
      </c>
    </row>
    <row r="164" spans="1:19" x14ac:dyDescent="0.3">
      <c r="A164" t="s">
        <v>225</v>
      </c>
      <c r="B164" s="1">
        <v>46098</v>
      </c>
      <c r="C164" t="s">
        <v>40</v>
      </c>
      <c r="D164" t="s">
        <v>20</v>
      </c>
      <c r="E164" t="s">
        <v>21</v>
      </c>
      <c r="F164" t="s">
        <v>22</v>
      </c>
      <c r="G164" t="s">
        <v>23</v>
      </c>
      <c r="H164">
        <v>53</v>
      </c>
      <c r="I164">
        <v>94</v>
      </c>
      <c r="J164">
        <v>76</v>
      </c>
      <c r="K164">
        <v>71</v>
      </c>
      <c r="L164">
        <v>55</v>
      </c>
      <c r="M164" s="2">
        <v>904.36</v>
      </c>
      <c r="N164">
        <v>7</v>
      </c>
      <c r="O164">
        <v>0</v>
      </c>
      <c r="P164" t="s">
        <v>33</v>
      </c>
      <c r="Q164" t="s">
        <v>34</v>
      </c>
      <c r="R164" t="s">
        <v>43</v>
      </c>
      <c r="S164" s="2">
        <f t="shared" si="2"/>
        <v>64209.56</v>
      </c>
    </row>
    <row r="165" spans="1:19" x14ac:dyDescent="0.3">
      <c r="A165" t="s">
        <v>226</v>
      </c>
      <c r="B165" s="1">
        <v>46336</v>
      </c>
      <c r="C165" t="s">
        <v>62</v>
      </c>
      <c r="D165" t="s">
        <v>29</v>
      </c>
      <c r="E165" t="s">
        <v>30</v>
      </c>
      <c r="F165" t="s">
        <v>31</v>
      </c>
      <c r="G165" t="s">
        <v>32</v>
      </c>
      <c r="H165">
        <v>88</v>
      </c>
      <c r="I165">
        <v>22</v>
      </c>
      <c r="J165">
        <v>71</v>
      </c>
      <c r="K165">
        <v>39</v>
      </c>
      <c r="L165">
        <v>65</v>
      </c>
      <c r="M165" s="2">
        <v>688.63</v>
      </c>
      <c r="N165">
        <v>5</v>
      </c>
      <c r="O165">
        <v>7</v>
      </c>
      <c r="P165" t="s">
        <v>33</v>
      </c>
      <c r="Q165" t="s">
        <v>25</v>
      </c>
      <c r="R165" t="s">
        <v>26</v>
      </c>
      <c r="S165" s="2">
        <f t="shared" si="2"/>
        <v>26856.57</v>
      </c>
    </row>
    <row r="166" spans="1:19" x14ac:dyDescent="0.3">
      <c r="A166" t="s">
        <v>227</v>
      </c>
      <c r="B166" s="1">
        <v>46295</v>
      </c>
      <c r="C166" t="s">
        <v>57</v>
      </c>
      <c r="D166" t="s">
        <v>50</v>
      </c>
      <c r="E166" t="s">
        <v>42</v>
      </c>
      <c r="F166" t="s">
        <v>22</v>
      </c>
      <c r="G166" t="s">
        <v>23</v>
      </c>
      <c r="H166">
        <v>183</v>
      </c>
      <c r="I166">
        <v>61</v>
      </c>
      <c r="J166">
        <v>99</v>
      </c>
      <c r="K166">
        <v>145</v>
      </c>
      <c r="L166">
        <v>75</v>
      </c>
      <c r="M166" s="2">
        <v>2814.27</v>
      </c>
      <c r="N166">
        <v>4</v>
      </c>
      <c r="O166">
        <v>0</v>
      </c>
      <c r="P166" t="s">
        <v>33</v>
      </c>
      <c r="Q166" t="s">
        <v>34</v>
      </c>
      <c r="R166" t="s">
        <v>26</v>
      </c>
      <c r="S166" s="2">
        <f t="shared" si="2"/>
        <v>408069.15</v>
      </c>
    </row>
    <row r="167" spans="1:19" x14ac:dyDescent="0.3">
      <c r="A167" t="s">
        <v>228</v>
      </c>
      <c r="B167" s="1">
        <v>46376</v>
      </c>
      <c r="C167" t="s">
        <v>45</v>
      </c>
      <c r="D167" t="s">
        <v>46</v>
      </c>
      <c r="E167" t="s">
        <v>21</v>
      </c>
      <c r="F167" t="s">
        <v>1582</v>
      </c>
      <c r="G167" t="s">
        <v>1583</v>
      </c>
      <c r="H167">
        <v>89</v>
      </c>
      <c r="I167">
        <v>51</v>
      </c>
      <c r="J167">
        <v>50</v>
      </c>
      <c r="K167">
        <v>90</v>
      </c>
      <c r="L167">
        <v>80</v>
      </c>
      <c r="M167" s="2">
        <v>767.76</v>
      </c>
      <c r="N167">
        <v>4</v>
      </c>
      <c r="O167">
        <v>0</v>
      </c>
      <c r="P167" t="s">
        <v>33</v>
      </c>
      <c r="Q167" t="s">
        <v>34</v>
      </c>
      <c r="R167" t="s">
        <v>59</v>
      </c>
      <c r="S167" s="2">
        <f t="shared" si="2"/>
        <v>69098.399999999994</v>
      </c>
    </row>
    <row r="168" spans="1:19" x14ac:dyDescent="0.3">
      <c r="A168" t="s">
        <v>229</v>
      </c>
      <c r="B168" s="1">
        <v>46225</v>
      </c>
      <c r="C168" t="s">
        <v>49</v>
      </c>
      <c r="D168" t="s">
        <v>50</v>
      </c>
      <c r="E168" t="s">
        <v>58</v>
      </c>
      <c r="F168" t="s">
        <v>37</v>
      </c>
      <c r="G168" t="s">
        <v>38</v>
      </c>
      <c r="H168">
        <v>183</v>
      </c>
      <c r="I168">
        <v>121</v>
      </c>
      <c r="J168">
        <v>107</v>
      </c>
      <c r="K168">
        <v>197</v>
      </c>
      <c r="L168">
        <v>62</v>
      </c>
      <c r="M168" s="2">
        <v>1244.83</v>
      </c>
      <c r="N168">
        <v>6</v>
      </c>
      <c r="O168">
        <v>0</v>
      </c>
      <c r="P168" t="s">
        <v>33</v>
      </c>
      <c r="Q168" t="s">
        <v>47</v>
      </c>
      <c r="R168" t="s">
        <v>26</v>
      </c>
      <c r="S168" s="2">
        <f t="shared" si="2"/>
        <v>245231.50999999998</v>
      </c>
    </row>
    <row r="169" spans="1:19" x14ac:dyDescent="0.3">
      <c r="A169" t="s">
        <v>230</v>
      </c>
      <c r="B169" s="1">
        <v>46126</v>
      </c>
      <c r="C169" t="s">
        <v>80</v>
      </c>
      <c r="D169" t="s">
        <v>46</v>
      </c>
      <c r="E169" t="s">
        <v>21</v>
      </c>
      <c r="F169" t="s">
        <v>31</v>
      </c>
      <c r="G169" t="s">
        <v>32</v>
      </c>
      <c r="H169">
        <v>113</v>
      </c>
      <c r="I169">
        <v>111</v>
      </c>
      <c r="J169">
        <v>25</v>
      </c>
      <c r="K169">
        <v>199</v>
      </c>
      <c r="L169">
        <v>67</v>
      </c>
      <c r="M169" s="2">
        <v>1193.28</v>
      </c>
      <c r="N169">
        <v>7</v>
      </c>
      <c r="O169">
        <v>0</v>
      </c>
      <c r="P169" t="s">
        <v>33</v>
      </c>
      <c r="Q169" t="s">
        <v>47</v>
      </c>
      <c r="R169" t="s">
        <v>26</v>
      </c>
      <c r="S169" s="2">
        <f t="shared" si="2"/>
        <v>237462.72</v>
      </c>
    </row>
    <row r="170" spans="1:19" x14ac:dyDescent="0.3">
      <c r="A170" t="s">
        <v>231</v>
      </c>
      <c r="B170" s="1">
        <v>46049</v>
      </c>
      <c r="C170" t="s">
        <v>52</v>
      </c>
      <c r="D170" t="s">
        <v>53</v>
      </c>
      <c r="E170" t="s">
        <v>30</v>
      </c>
      <c r="F170" t="s">
        <v>37</v>
      </c>
      <c r="G170" t="s">
        <v>38</v>
      </c>
      <c r="H170">
        <v>75</v>
      </c>
      <c r="I170">
        <v>33</v>
      </c>
      <c r="J170">
        <v>93</v>
      </c>
      <c r="K170">
        <v>15</v>
      </c>
      <c r="L170">
        <v>92</v>
      </c>
      <c r="M170" s="2">
        <v>661.29</v>
      </c>
      <c r="N170">
        <v>3</v>
      </c>
      <c r="O170">
        <v>4</v>
      </c>
      <c r="P170" t="s">
        <v>24</v>
      </c>
      <c r="Q170" t="s">
        <v>25</v>
      </c>
      <c r="R170" t="s">
        <v>26</v>
      </c>
      <c r="S170" s="2">
        <f t="shared" si="2"/>
        <v>9919.3499999999985</v>
      </c>
    </row>
    <row r="171" spans="1:19" x14ac:dyDescent="0.3">
      <c r="A171" t="s">
        <v>232</v>
      </c>
      <c r="B171" s="1">
        <v>46266</v>
      </c>
      <c r="C171" t="s">
        <v>40</v>
      </c>
      <c r="D171" t="s">
        <v>20</v>
      </c>
      <c r="E171" t="s">
        <v>21</v>
      </c>
      <c r="F171" t="s">
        <v>1582</v>
      </c>
      <c r="G171" t="s">
        <v>1583</v>
      </c>
      <c r="H171">
        <v>65</v>
      </c>
      <c r="I171">
        <v>107</v>
      </c>
      <c r="J171">
        <v>32</v>
      </c>
      <c r="K171">
        <v>140</v>
      </c>
      <c r="L171">
        <v>45</v>
      </c>
      <c r="M171" s="2">
        <v>983.61</v>
      </c>
      <c r="N171">
        <v>3</v>
      </c>
      <c r="O171">
        <v>0</v>
      </c>
      <c r="P171" t="s">
        <v>33</v>
      </c>
      <c r="Q171" t="s">
        <v>47</v>
      </c>
      <c r="R171" t="s">
        <v>81</v>
      </c>
      <c r="S171" s="2">
        <f t="shared" si="2"/>
        <v>137705.4</v>
      </c>
    </row>
    <row r="172" spans="1:19" x14ac:dyDescent="0.3">
      <c r="A172" t="s">
        <v>233</v>
      </c>
      <c r="B172" s="1">
        <v>46042</v>
      </c>
      <c r="C172" t="s">
        <v>72</v>
      </c>
      <c r="D172" t="s">
        <v>50</v>
      </c>
      <c r="E172" t="s">
        <v>21</v>
      </c>
      <c r="F172" t="s">
        <v>37</v>
      </c>
      <c r="G172" t="s">
        <v>38</v>
      </c>
      <c r="H172">
        <v>113</v>
      </c>
      <c r="I172">
        <v>102</v>
      </c>
      <c r="J172">
        <v>22</v>
      </c>
      <c r="K172">
        <v>193</v>
      </c>
      <c r="L172">
        <v>94</v>
      </c>
      <c r="M172" s="2">
        <v>2019.36</v>
      </c>
      <c r="N172">
        <v>6</v>
      </c>
      <c r="O172">
        <v>0</v>
      </c>
      <c r="P172" t="s">
        <v>33</v>
      </c>
      <c r="Q172" t="s">
        <v>34</v>
      </c>
      <c r="R172" t="s">
        <v>59</v>
      </c>
      <c r="S172" s="2">
        <f t="shared" si="2"/>
        <v>389736.48</v>
      </c>
    </row>
    <row r="173" spans="1:19" x14ac:dyDescent="0.3">
      <c r="A173" t="s">
        <v>234</v>
      </c>
      <c r="B173" s="1">
        <v>46027</v>
      </c>
      <c r="C173" t="s">
        <v>36</v>
      </c>
      <c r="D173" t="s">
        <v>29</v>
      </c>
      <c r="E173" t="s">
        <v>42</v>
      </c>
      <c r="F173" t="s">
        <v>31</v>
      </c>
      <c r="G173" t="s">
        <v>32</v>
      </c>
      <c r="H173">
        <v>141</v>
      </c>
      <c r="I173">
        <v>120</v>
      </c>
      <c r="J173">
        <v>78</v>
      </c>
      <c r="K173">
        <v>183</v>
      </c>
      <c r="L173">
        <v>56</v>
      </c>
      <c r="M173" s="2">
        <v>2609.5700000000002</v>
      </c>
      <c r="N173">
        <v>8</v>
      </c>
      <c r="O173">
        <v>0</v>
      </c>
      <c r="P173" t="s">
        <v>33</v>
      </c>
      <c r="Q173" t="s">
        <v>47</v>
      </c>
      <c r="R173" t="s">
        <v>43</v>
      </c>
      <c r="S173" s="2">
        <f t="shared" si="2"/>
        <v>477551.31000000006</v>
      </c>
    </row>
    <row r="174" spans="1:19" x14ac:dyDescent="0.3">
      <c r="A174" t="s">
        <v>235</v>
      </c>
      <c r="B174" s="1">
        <v>46121</v>
      </c>
      <c r="C174" t="s">
        <v>109</v>
      </c>
      <c r="D174" t="s">
        <v>46</v>
      </c>
      <c r="E174" t="s">
        <v>21</v>
      </c>
      <c r="F174" t="s">
        <v>37</v>
      </c>
      <c r="G174" t="s">
        <v>38</v>
      </c>
      <c r="H174">
        <v>156</v>
      </c>
      <c r="I174">
        <v>102</v>
      </c>
      <c r="J174">
        <v>84</v>
      </c>
      <c r="K174">
        <v>174</v>
      </c>
      <c r="L174">
        <v>78</v>
      </c>
      <c r="M174" s="2">
        <v>3196.1</v>
      </c>
      <c r="N174">
        <v>3</v>
      </c>
      <c r="O174">
        <v>0</v>
      </c>
      <c r="P174" t="s">
        <v>33</v>
      </c>
      <c r="Q174" t="s">
        <v>47</v>
      </c>
      <c r="R174" t="s">
        <v>26</v>
      </c>
      <c r="S174" s="2">
        <f t="shared" si="2"/>
        <v>556121.4</v>
      </c>
    </row>
    <row r="175" spans="1:19" x14ac:dyDescent="0.3">
      <c r="A175" t="s">
        <v>236</v>
      </c>
      <c r="B175" s="1">
        <v>46121</v>
      </c>
      <c r="C175" t="s">
        <v>89</v>
      </c>
      <c r="D175" t="s">
        <v>20</v>
      </c>
      <c r="E175" t="s">
        <v>42</v>
      </c>
      <c r="F175" t="s">
        <v>1582</v>
      </c>
      <c r="G175" t="s">
        <v>1583</v>
      </c>
      <c r="H175">
        <v>205</v>
      </c>
      <c r="I175">
        <v>52</v>
      </c>
      <c r="J175">
        <v>106</v>
      </c>
      <c r="K175">
        <v>151</v>
      </c>
      <c r="L175">
        <v>56</v>
      </c>
      <c r="M175" s="2">
        <v>1083.3800000000001</v>
      </c>
      <c r="N175">
        <v>4</v>
      </c>
      <c r="O175">
        <v>0</v>
      </c>
      <c r="P175" t="s">
        <v>33</v>
      </c>
      <c r="Q175" t="s">
        <v>47</v>
      </c>
      <c r="R175" t="s">
        <v>26</v>
      </c>
      <c r="S175" s="2">
        <f t="shared" si="2"/>
        <v>163590.38</v>
      </c>
    </row>
    <row r="176" spans="1:19" x14ac:dyDescent="0.3">
      <c r="A176" t="s">
        <v>237</v>
      </c>
      <c r="B176" s="1">
        <v>46143</v>
      </c>
      <c r="C176" t="s">
        <v>36</v>
      </c>
      <c r="D176" t="s">
        <v>29</v>
      </c>
      <c r="E176" t="s">
        <v>58</v>
      </c>
      <c r="F176" t="s">
        <v>37</v>
      </c>
      <c r="G176" t="s">
        <v>38</v>
      </c>
      <c r="H176">
        <v>62</v>
      </c>
      <c r="I176">
        <v>71</v>
      </c>
      <c r="J176">
        <v>100</v>
      </c>
      <c r="K176">
        <v>33</v>
      </c>
      <c r="L176">
        <v>51</v>
      </c>
      <c r="M176" s="2">
        <v>2248.69</v>
      </c>
      <c r="N176">
        <v>6</v>
      </c>
      <c r="O176">
        <v>5</v>
      </c>
      <c r="P176" t="s">
        <v>24</v>
      </c>
      <c r="Q176" t="s">
        <v>25</v>
      </c>
      <c r="R176" t="s">
        <v>26</v>
      </c>
      <c r="S176" s="2">
        <f t="shared" si="2"/>
        <v>74206.77</v>
      </c>
    </row>
    <row r="177" spans="1:19" x14ac:dyDescent="0.3">
      <c r="A177" t="s">
        <v>238</v>
      </c>
      <c r="B177" s="1">
        <v>46083</v>
      </c>
      <c r="C177" t="s">
        <v>49</v>
      </c>
      <c r="D177" t="s">
        <v>50</v>
      </c>
      <c r="E177" t="s">
        <v>21</v>
      </c>
      <c r="F177" t="s">
        <v>37</v>
      </c>
      <c r="G177" t="s">
        <v>38</v>
      </c>
      <c r="H177">
        <v>189</v>
      </c>
      <c r="I177">
        <v>112</v>
      </c>
      <c r="J177">
        <v>88</v>
      </c>
      <c r="K177">
        <v>213</v>
      </c>
      <c r="L177">
        <v>45</v>
      </c>
      <c r="M177" s="2">
        <v>1238</v>
      </c>
      <c r="N177">
        <v>4</v>
      </c>
      <c r="O177">
        <v>0</v>
      </c>
      <c r="P177" t="s">
        <v>33</v>
      </c>
      <c r="Q177" t="s">
        <v>47</v>
      </c>
      <c r="R177" t="s">
        <v>26</v>
      </c>
      <c r="S177" s="2">
        <f t="shared" si="2"/>
        <v>263694</v>
      </c>
    </row>
    <row r="178" spans="1:19" x14ac:dyDescent="0.3">
      <c r="A178" t="s">
        <v>239</v>
      </c>
      <c r="B178" s="1">
        <v>46211</v>
      </c>
      <c r="C178" t="s">
        <v>49</v>
      </c>
      <c r="D178" t="s">
        <v>50</v>
      </c>
      <c r="E178" t="s">
        <v>42</v>
      </c>
      <c r="F178" t="s">
        <v>1582</v>
      </c>
      <c r="G178" t="s">
        <v>1583</v>
      </c>
      <c r="H178">
        <v>215</v>
      </c>
      <c r="I178">
        <v>84</v>
      </c>
      <c r="J178">
        <v>105</v>
      </c>
      <c r="K178">
        <v>194</v>
      </c>
      <c r="L178">
        <v>94</v>
      </c>
      <c r="M178" s="2">
        <v>1250.8499999999999</v>
      </c>
      <c r="N178">
        <v>2</v>
      </c>
      <c r="O178">
        <v>0</v>
      </c>
      <c r="P178" t="s">
        <v>33</v>
      </c>
      <c r="Q178" t="s">
        <v>34</v>
      </c>
      <c r="R178" t="s">
        <v>81</v>
      </c>
      <c r="S178" s="2">
        <f t="shared" si="2"/>
        <v>242664.9</v>
      </c>
    </row>
    <row r="179" spans="1:19" x14ac:dyDescent="0.3">
      <c r="A179" t="s">
        <v>240</v>
      </c>
      <c r="B179" s="1">
        <v>46264</v>
      </c>
      <c r="C179" t="s">
        <v>87</v>
      </c>
      <c r="D179" t="s">
        <v>53</v>
      </c>
      <c r="E179" t="s">
        <v>42</v>
      </c>
      <c r="F179" t="s">
        <v>22</v>
      </c>
      <c r="G179" t="s">
        <v>23</v>
      </c>
      <c r="H179">
        <v>162</v>
      </c>
      <c r="I179">
        <v>39</v>
      </c>
      <c r="J179">
        <v>73</v>
      </c>
      <c r="K179">
        <v>128</v>
      </c>
      <c r="L179">
        <v>92</v>
      </c>
      <c r="M179" s="2">
        <v>494</v>
      </c>
      <c r="N179">
        <v>4</v>
      </c>
      <c r="O179">
        <v>0</v>
      </c>
      <c r="P179" t="s">
        <v>33</v>
      </c>
      <c r="Q179" t="s">
        <v>34</v>
      </c>
      <c r="R179" t="s">
        <v>26</v>
      </c>
      <c r="S179" s="2">
        <f t="shared" si="2"/>
        <v>63232</v>
      </c>
    </row>
    <row r="180" spans="1:19" x14ac:dyDescent="0.3">
      <c r="A180" t="s">
        <v>241</v>
      </c>
      <c r="B180" s="1">
        <v>46281</v>
      </c>
      <c r="C180" t="s">
        <v>87</v>
      </c>
      <c r="D180" t="s">
        <v>53</v>
      </c>
      <c r="E180" t="s">
        <v>42</v>
      </c>
      <c r="F180" t="s">
        <v>31</v>
      </c>
      <c r="G180" t="s">
        <v>32</v>
      </c>
      <c r="H180">
        <v>174</v>
      </c>
      <c r="I180">
        <v>77</v>
      </c>
      <c r="J180">
        <v>82</v>
      </c>
      <c r="K180">
        <v>169</v>
      </c>
      <c r="L180">
        <v>90</v>
      </c>
      <c r="M180" s="2">
        <v>437.56</v>
      </c>
      <c r="N180">
        <v>6</v>
      </c>
      <c r="O180">
        <v>0</v>
      </c>
      <c r="P180" t="s">
        <v>24</v>
      </c>
      <c r="Q180" t="s">
        <v>34</v>
      </c>
      <c r="R180" t="s">
        <v>43</v>
      </c>
      <c r="S180" s="2">
        <f t="shared" si="2"/>
        <v>73947.64</v>
      </c>
    </row>
    <row r="181" spans="1:19" x14ac:dyDescent="0.3">
      <c r="A181" t="s">
        <v>242</v>
      </c>
      <c r="B181" s="1">
        <v>46251</v>
      </c>
      <c r="C181" t="s">
        <v>28</v>
      </c>
      <c r="D181" t="s">
        <v>29</v>
      </c>
      <c r="E181" t="s">
        <v>42</v>
      </c>
      <c r="F181" t="s">
        <v>37</v>
      </c>
      <c r="G181" t="s">
        <v>38</v>
      </c>
      <c r="H181">
        <v>173</v>
      </c>
      <c r="I181">
        <v>76</v>
      </c>
      <c r="J181">
        <v>29</v>
      </c>
      <c r="K181">
        <v>220</v>
      </c>
      <c r="L181">
        <v>88</v>
      </c>
      <c r="M181" s="2">
        <v>1223.4000000000001</v>
      </c>
      <c r="N181">
        <v>6</v>
      </c>
      <c r="O181">
        <v>0</v>
      </c>
      <c r="P181" t="s">
        <v>33</v>
      </c>
      <c r="Q181" t="s">
        <v>47</v>
      </c>
      <c r="R181" t="s">
        <v>43</v>
      </c>
      <c r="S181" s="2">
        <f t="shared" si="2"/>
        <v>269148</v>
      </c>
    </row>
    <row r="182" spans="1:19" x14ac:dyDescent="0.3">
      <c r="A182" t="s">
        <v>243</v>
      </c>
      <c r="B182" s="1">
        <v>46153</v>
      </c>
      <c r="C182" t="s">
        <v>40</v>
      </c>
      <c r="D182" t="s">
        <v>20</v>
      </c>
      <c r="E182" t="s">
        <v>42</v>
      </c>
      <c r="F182" t="s">
        <v>1582</v>
      </c>
      <c r="G182" t="s">
        <v>1583</v>
      </c>
      <c r="H182">
        <v>156</v>
      </c>
      <c r="I182">
        <v>92</v>
      </c>
      <c r="J182">
        <v>22</v>
      </c>
      <c r="K182">
        <v>226</v>
      </c>
      <c r="L182">
        <v>80</v>
      </c>
      <c r="M182" s="2">
        <v>893.23</v>
      </c>
      <c r="N182">
        <v>8</v>
      </c>
      <c r="O182">
        <v>0</v>
      </c>
      <c r="P182" t="s">
        <v>33</v>
      </c>
      <c r="Q182" t="s">
        <v>47</v>
      </c>
      <c r="R182" t="s">
        <v>26</v>
      </c>
      <c r="S182" s="2">
        <f t="shared" si="2"/>
        <v>201869.98</v>
      </c>
    </row>
    <row r="183" spans="1:19" x14ac:dyDescent="0.3">
      <c r="A183" t="s">
        <v>244</v>
      </c>
      <c r="B183" s="1">
        <v>46264</v>
      </c>
      <c r="C183" t="s">
        <v>98</v>
      </c>
      <c r="D183" t="s">
        <v>20</v>
      </c>
      <c r="E183" t="s">
        <v>30</v>
      </c>
      <c r="F183" t="s">
        <v>31</v>
      </c>
      <c r="G183" t="s">
        <v>32</v>
      </c>
      <c r="H183">
        <v>51</v>
      </c>
      <c r="I183">
        <v>74</v>
      </c>
      <c r="J183">
        <v>59</v>
      </c>
      <c r="K183">
        <v>66</v>
      </c>
      <c r="L183">
        <v>89</v>
      </c>
      <c r="M183" s="2">
        <v>1277.8499999999999</v>
      </c>
      <c r="N183">
        <v>2</v>
      </c>
      <c r="O183">
        <v>2</v>
      </c>
      <c r="P183" t="s">
        <v>33</v>
      </c>
      <c r="Q183" t="s">
        <v>34</v>
      </c>
      <c r="R183" t="s">
        <v>81</v>
      </c>
      <c r="S183" s="2">
        <f t="shared" si="2"/>
        <v>84338.099999999991</v>
      </c>
    </row>
    <row r="184" spans="1:19" x14ac:dyDescent="0.3">
      <c r="A184" t="s">
        <v>245</v>
      </c>
      <c r="B184" s="1">
        <v>46252</v>
      </c>
      <c r="C184" t="s">
        <v>89</v>
      </c>
      <c r="D184" t="s">
        <v>20</v>
      </c>
      <c r="E184" t="s">
        <v>58</v>
      </c>
      <c r="F184" t="s">
        <v>22</v>
      </c>
      <c r="G184" t="s">
        <v>23</v>
      </c>
      <c r="H184">
        <v>74</v>
      </c>
      <c r="I184">
        <v>118</v>
      </c>
      <c r="J184">
        <v>97</v>
      </c>
      <c r="K184">
        <v>95</v>
      </c>
      <c r="L184">
        <v>91</v>
      </c>
      <c r="M184" s="2">
        <v>1235.01</v>
      </c>
      <c r="N184">
        <v>5</v>
      </c>
      <c r="O184">
        <v>0</v>
      </c>
      <c r="P184" t="s">
        <v>33</v>
      </c>
      <c r="Q184" t="s">
        <v>34</v>
      </c>
      <c r="R184" t="s">
        <v>43</v>
      </c>
      <c r="S184" s="2">
        <f t="shared" si="2"/>
        <v>117325.95</v>
      </c>
    </row>
    <row r="185" spans="1:19" x14ac:dyDescent="0.3">
      <c r="A185" t="s">
        <v>246</v>
      </c>
      <c r="B185" s="1">
        <v>46137</v>
      </c>
      <c r="C185" t="s">
        <v>55</v>
      </c>
      <c r="D185" t="s">
        <v>50</v>
      </c>
      <c r="E185" t="s">
        <v>75</v>
      </c>
      <c r="F185" t="s">
        <v>22</v>
      </c>
      <c r="G185" t="s">
        <v>23</v>
      </c>
      <c r="H185">
        <v>207</v>
      </c>
      <c r="I185">
        <v>130</v>
      </c>
      <c r="J185">
        <v>59</v>
      </c>
      <c r="K185">
        <v>278</v>
      </c>
      <c r="L185">
        <v>52</v>
      </c>
      <c r="M185" s="2">
        <v>935.69</v>
      </c>
      <c r="N185">
        <v>6</v>
      </c>
      <c r="O185">
        <v>0</v>
      </c>
      <c r="P185" t="s">
        <v>33</v>
      </c>
      <c r="Q185" t="s">
        <v>47</v>
      </c>
      <c r="R185" t="s">
        <v>26</v>
      </c>
      <c r="S185" s="2">
        <f t="shared" si="2"/>
        <v>260121.82</v>
      </c>
    </row>
    <row r="186" spans="1:19" x14ac:dyDescent="0.3">
      <c r="A186" t="s">
        <v>247</v>
      </c>
      <c r="B186" s="1">
        <v>46102</v>
      </c>
      <c r="C186" t="s">
        <v>19</v>
      </c>
      <c r="D186" t="s">
        <v>20</v>
      </c>
      <c r="E186" t="s">
        <v>21</v>
      </c>
      <c r="F186" t="s">
        <v>1582</v>
      </c>
      <c r="G186" t="s">
        <v>1583</v>
      </c>
      <c r="H186">
        <v>212</v>
      </c>
      <c r="I186">
        <v>112</v>
      </c>
      <c r="J186">
        <v>84</v>
      </c>
      <c r="K186">
        <v>240</v>
      </c>
      <c r="L186">
        <v>72</v>
      </c>
      <c r="M186" s="2">
        <v>1811.5</v>
      </c>
      <c r="N186">
        <v>8</v>
      </c>
      <c r="O186">
        <v>0</v>
      </c>
      <c r="P186" t="s">
        <v>33</v>
      </c>
      <c r="Q186" t="s">
        <v>47</v>
      </c>
      <c r="R186" t="s">
        <v>26</v>
      </c>
      <c r="S186" s="2">
        <f t="shared" si="2"/>
        <v>434760</v>
      </c>
    </row>
    <row r="187" spans="1:19" x14ac:dyDescent="0.3">
      <c r="A187" t="s">
        <v>248</v>
      </c>
      <c r="B187" s="1">
        <v>46327</v>
      </c>
      <c r="C187" t="s">
        <v>80</v>
      </c>
      <c r="D187" t="s">
        <v>46</v>
      </c>
      <c r="E187" t="s">
        <v>75</v>
      </c>
      <c r="F187" t="s">
        <v>31</v>
      </c>
      <c r="G187" t="s">
        <v>32</v>
      </c>
      <c r="H187">
        <v>209</v>
      </c>
      <c r="I187">
        <v>73</v>
      </c>
      <c r="J187">
        <v>93</v>
      </c>
      <c r="K187">
        <v>189</v>
      </c>
      <c r="L187">
        <v>94</v>
      </c>
      <c r="M187" s="2">
        <v>1195.97</v>
      </c>
      <c r="N187">
        <v>2</v>
      </c>
      <c r="O187">
        <v>0</v>
      </c>
      <c r="P187" t="s">
        <v>33</v>
      </c>
      <c r="Q187" t="s">
        <v>34</v>
      </c>
      <c r="R187" t="s">
        <v>26</v>
      </c>
      <c r="S187" s="2">
        <f t="shared" si="2"/>
        <v>226038.33000000002</v>
      </c>
    </row>
    <row r="188" spans="1:19" x14ac:dyDescent="0.3">
      <c r="A188" t="s">
        <v>249</v>
      </c>
      <c r="B188" s="1">
        <v>46051</v>
      </c>
      <c r="C188" t="s">
        <v>40</v>
      </c>
      <c r="D188" t="s">
        <v>20</v>
      </c>
      <c r="E188" t="s">
        <v>30</v>
      </c>
      <c r="F188" t="s">
        <v>31</v>
      </c>
      <c r="G188" t="s">
        <v>32</v>
      </c>
      <c r="H188">
        <v>102</v>
      </c>
      <c r="I188">
        <v>114</v>
      </c>
      <c r="J188">
        <v>20</v>
      </c>
      <c r="K188">
        <v>196</v>
      </c>
      <c r="L188">
        <v>70</v>
      </c>
      <c r="M188" s="2">
        <v>889.01</v>
      </c>
      <c r="N188">
        <v>6</v>
      </c>
      <c r="O188">
        <v>0</v>
      </c>
      <c r="P188" t="s">
        <v>33</v>
      </c>
      <c r="Q188" t="s">
        <v>47</v>
      </c>
      <c r="R188" t="s">
        <v>43</v>
      </c>
      <c r="S188" s="2">
        <f t="shared" si="2"/>
        <v>174245.96</v>
      </c>
    </row>
    <row r="189" spans="1:19" x14ac:dyDescent="0.3">
      <c r="A189" t="s">
        <v>250</v>
      </c>
      <c r="B189" s="1">
        <v>46289</v>
      </c>
      <c r="C189" t="s">
        <v>83</v>
      </c>
      <c r="D189" t="s">
        <v>29</v>
      </c>
      <c r="E189" t="s">
        <v>42</v>
      </c>
      <c r="F189" t="s">
        <v>37</v>
      </c>
      <c r="G189" t="s">
        <v>38</v>
      </c>
      <c r="H189">
        <v>187</v>
      </c>
      <c r="I189">
        <v>96</v>
      </c>
      <c r="J189">
        <v>101</v>
      </c>
      <c r="K189">
        <v>182</v>
      </c>
      <c r="L189">
        <v>97</v>
      </c>
      <c r="M189" s="2">
        <v>1542.61</v>
      </c>
      <c r="N189">
        <v>4</v>
      </c>
      <c r="O189">
        <v>0</v>
      </c>
      <c r="P189" t="s">
        <v>33</v>
      </c>
      <c r="Q189" t="s">
        <v>34</v>
      </c>
      <c r="R189" t="s">
        <v>81</v>
      </c>
      <c r="S189" s="2">
        <f t="shared" si="2"/>
        <v>280755.01999999996</v>
      </c>
    </row>
    <row r="190" spans="1:19" x14ac:dyDescent="0.3">
      <c r="A190" t="s">
        <v>251</v>
      </c>
      <c r="B190" s="1">
        <v>46199</v>
      </c>
      <c r="C190" t="s">
        <v>36</v>
      </c>
      <c r="D190" t="s">
        <v>29</v>
      </c>
      <c r="E190" t="s">
        <v>21</v>
      </c>
      <c r="F190" t="s">
        <v>37</v>
      </c>
      <c r="G190" t="s">
        <v>38</v>
      </c>
      <c r="H190">
        <v>55</v>
      </c>
      <c r="I190">
        <v>91</v>
      </c>
      <c r="J190">
        <v>90</v>
      </c>
      <c r="K190">
        <v>56</v>
      </c>
      <c r="L190">
        <v>92</v>
      </c>
      <c r="M190" s="2">
        <v>2597.56</v>
      </c>
      <c r="N190">
        <v>7</v>
      </c>
      <c r="O190">
        <v>8</v>
      </c>
      <c r="P190" t="s">
        <v>33</v>
      </c>
      <c r="Q190" t="s">
        <v>25</v>
      </c>
      <c r="R190" t="s">
        <v>26</v>
      </c>
      <c r="S190" s="2">
        <f t="shared" si="2"/>
        <v>145463.35999999999</v>
      </c>
    </row>
    <row r="191" spans="1:19" x14ac:dyDescent="0.3">
      <c r="A191" t="s">
        <v>252</v>
      </c>
      <c r="B191" s="1">
        <v>46385</v>
      </c>
      <c r="C191" t="s">
        <v>49</v>
      </c>
      <c r="D191" t="s">
        <v>50</v>
      </c>
      <c r="E191" t="s">
        <v>58</v>
      </c>
      <c r="F191" t="s">
        <v>1582</v>
      </c>
      <c r="G191" t="s">
        <v>1583</v>
      </c>
      <c r="H191">
        <v>78</v>
      </c>
      <c r="I191">
        <v>58</v>
      </c>
      <c r="J191">
        <v>63</v>
      </c>
      <c r="K191">
        <v>73</v>
      </c>
      <c r="L191">
        <v>56</v>
      </c>
      <c r="M191" s="2">
        <v>1366.15</v>
      </c>
      <c r="N191">
        <v>5</v>
      </c>
      <c r="O191">
        <v>0</v>
      </c>
      <c r="P191" t="s">
        <v>33</v>
      </c>
      <c r="Q191" t="s">
        <v>34</v>
      </c>
      <c r="R191" t="s">
        <v>26</v>
      </c>
      <c r="S191" s="2">
        <f t="shared" si="2"/>
        <v>99728.950000000012</v>
      </c>
    </row>
    <row r="192" spans="1:19" x14ac:dyDescent="0.3">
      <c r="A192" t="s">
        <v>253</v>
      </c>
      <c r="B192" s="1">
        <v>46253</v>
      </c>
      <c r="C192" t="s">
        <v>36</v>
      </c>
      <c r="D192" t="s">
        <v>29</v>
      </c>
      <c r="E192" t="s">
        <v>75</v>
      </c>
      <c r="F192" t="s">
        <v>1582</v>
      </c>
      <c r="G192" t="s">
        <v>1583</v>
      </c>
      <c r="H192">
        <v>146</v>
      </c>
      <c r="I192">
        <v>91</v>
      </c>
      <c r="J192">
        <v>82</v>
      </c>
      <c r="K192">
        <v>155</v>
      </c>
      <c r="L192">
        <v>53</v>
      </c>
      <c r="M192" s="2">
        <v>2346.44</v>
      </c>
      <c r="N192">
        <v>4</v>
      </c>
      <c r="O192">
        <v>0</v>
      </c>
      <c r="P192" t="s">
        <v>33</v>
      </c>
      <c r="Q192" t="s">
        <v>47</v>
      </c>
      <c r="R192" t="s">
        <v>26</v>
      </c>
      <c r="S192" s="2">
        <f t="shared" si="2"/>
        <v>363698.2</v>
      </c>
    </row>
    <row r="193" spans="1:19" x14ac:dyDescent="0.3">
      <c r="A193" t="s">
        <v>254</v>
      </c>
      <c r="B193" s="1">
        <v>46323</v>
      </c>
      <c r="C193" t="s">
        <v>109</v>
      </c>
      <c r="D193" t="s">
        <v>46</v>
      </c>
      <c r="E193" t="s">
        <v>30</v>
      </c>
      <c r="F193" t="s">
        <v>22</v>
      </c>
      <c r="G193" t="s">
        <v>23</v>
      </c>
      <c r="H193">
        <v>53</v>
      </c>
      <c r="I193">
        <v>54</v>
      </c>
      <c r="J193">
        <v>63</v>
      </c>
      <c r="K193">
        <v>44</v>
      </c>
      <c r="L193">
        <v>88</v>
      </c>
      <c r="M193" s="2">
        <v>3267.18</v>
      </c>
      <c r="N193">
        <v>2</v>
      </c>
      <c r="O193">
        <v>4</v>
      </c>
      <c r="P193" t="s">
        <v>33</v>
      </c>
      <c r="Q193" t="s">
        <v>25</v>
      </c>
      <c r="R193" t="s">
        <v>43</v>
      </c>
      <c r="S193" s="2">
        <f t="shared" si="2"/>
        <v>143755.91999999998</v>
      </c>
    </row>
    <row r="194" spans="1:19" x14ac:dyDescent="0.3">
      <c r="A194" t="s">
        <v>255</v>
      </c>
      <c r="B194" s="1">
        <v>46268</v>
      </c>
      <c r="C194" t="s">
        <v>87</v>
      </c>
      <c r="D194" t="s">
        <v>53</v>
      </c>
      <c r="E194" t="s">
        <v>58</v>
      </c>
      <c r="F194" t="s">
        <v>22</v>
      </c>
      <c r="G194" t="s">
        <v>23</v>
      </c>
      <c r="H194">
        <v>125</v>
      </c>
      <c r="I194">
        <v>58</v>
      </c>
      <c r="J194">
        <v>16</v>
      </c>
      <c r="K194">
        <v>167</v>
      </c>
      <c r="L194">
        <v>58</v>
      </c>
      <c r="M194" s="2">
        <v>489.34</v>
      </c>
      <c r="N194">
        <v>7</v>
      </c>
      <c r="O194">
        <v>0</v>
      </c>
      <c r="P194" t="s">
        <v>24</v>
      </c>
      <c r="Q194" t="s">
        <v>47</v>
      </c>
      <c r="R194" t="s">
        <v>81</v>
      </c>
      <c r="S194" s="2">
        <f t="shared" ref="S194:S257" si="3">K194*M194</f>
        <v>81719.78</v>
      </c>
    </row>
    <row r="195" spans="1:19" x14ac:dyDescent="0.3">
      <c r="A195" t="s">
        <v>256</v>
      </c>
      <c r="B195" s="1">
        <v>46285</v>
      </c>
      <c r="C195" t="s">
        <v>28</v>
      </c>
      <c r="D195" t="s">
        <v>29</v>
      </c>
      <c r="E195" t="s">
        <v>58</v>
      </c>
      <c r="F195" t="s">
        <v>22</v>
      </c>
      <c r="G195" t="s">
        <v>23</v>
      </c>
      <c r="H195">
        <v>181</v>
      </c>
      <c r="I195">
        <v>61</v>
      </c>
      <c r="J195">
        <v>51</v>
      </c>
      <c r="K195">
        <v>191</v>
      </c>
      <c r="L195">
        <v>69</v>
      </c>
      <c r="M195" s="2">
        <v>1291.23</v>
      </c>
      <c r="N195">
        <v>7</v>
      </c>
      <c r="O195">
        <v>0</v>
      </c>
      <c r="P195" t="s">
        <v>33</v>
      </c>
      <c r="Q195" t="s">
        <v>47</v>
      </c>
      <c r="R195" t="s">
        <v>26</v>
      </c>
      <c r="S195" s="2">
        <f t="shared" si="3"/>
        <v>246624.93</v>
      </c>
    </row>
    <row r="196" spans="1:19" x14ac:dyDescent="0.3">
      <c r="A196" t="s">
        <v>257</v>
      </c>
      <c r="B196" s="1">
        <v>46031</v>
      </c>
      <c r="C196" t="s">
        <v>55</v>
      </c>
      <c r="D196" t="s">
        <v>50</v>
      </c>
      <c r="E196" t="s">
        <v>75</v>
      </c>
      <c r="F196" t="s">
        <v>1582</v>
      </c>
      <c r="G196" t="s">
        <v>1583</v>
      </c>
      <c r="H196">
        <v>121</v>
      </c>
      <c r="I196">
        <v>46</v>
      </c>
      <c r="J196">
        <v>62</v>
      </c>
      <c r="K196">
        <v>105</v>
      </c>
      <c r="L196">
        <v>65</v>
      </c>
      <c r="M196" s="2">
        <v>982.79</v>
      </c>
      <c r="N196">
        <v>6</v>
      </c>
      <c r="O196">
        <v>0</v>
      </c>
      <c r="P196" t="s">
        <v>33</v>
      </c>
      <c r="Q196" t="s">
        <v>34</v>
      </c>
      <c r="R196" t="s">
        <v>59</v>
      </c>
      <c r="S196" s="2">
        <f t="shared" si="3"/>
        <v>103192.95</v>
      </c>
    </row>
    <row r="197" spans="1:19" x14ac:dyDescent="0.3">
      <c r="A197" t="s">
        <v>258</v>
      </c>
      <c r="B197" s="1">
        <v>46373</v>
      </c>
      <c r="C197" t="s">
        <v>146</v>
      </c>
      <c r="D197" t="s">
        <v>46</v>
      </c>
      <c r="E197" t="s">
        <v>21</v>
      </c>
      <c r="F197" t="s">
        <v>22</v>
      </c>
      <c r="G197" t="s">
        <v>23</v>
      </c>
      <c r="H197">
        <v>90</v>
      </c>
      <c r="I197">
        <v>62</v>
      </c>
      <c r="J197">
        <v>44</v>
      </c>
      <c r="K197">
        <v>108</v>
      </c>
      <c r="L197">
        <v>69</v>
      </c>
      <c r="M197" s="2">
        <v>1520.94</v>
      </c>
      <c r="N197">
        <v>3</v>
      </c>
      <c r="O197">
        <v>0</v>
      </c>
      <c r="P197" t="s">
        <v>33</v>
      </c>
      <c r="Q197" t="s">
        <v>34</v>
      </c>
      <c r="R197" t="s">
        <v>26</v>
      </c>
      <c r="S197" s="2">
        <f t="shared" si="3"/>
        <v>164261.52000000002</v>
      </c>
    </row>
    <row r="198" spans="1:19" x14ac:dyDescent="0.3">
      <c r="A198" t="s">
        <v>259</v>
      </c>
      <c r="B198" s="1">
        <v>46300</v>
      </c>
      <c r="C198" t="s">
        <v>45</v>
      </c>
      <c r="D198" t="s">
        <v>46</v>
      </c>
      <c r="E198" t="s">
        <v>58</v>
      </c>
      <c r="F198" t="s">
        <v>1582</v>
      </c>
      <c r="G198" t="s">
        <v>1583</v>
      </c>
      <c r="H198">
        <v>157</v>
      </c>
      <c r="I198">
        <v>41</v>
      </c>
      <c r="J198">
        <v>108</v>
      </c>
      <c r="K198">
        <v>90</v>
      </c>
      <c r="L198">
        <v>95</v>
      </c>
      <c r="M198" s="2">
        <v>776.35</v>
      </c>
      <c r="N198">
        <v>3</v>
      </c>
      <c r="O198">
        <v>8</v>
      </c>
      <c r="P198" t="s">
        <v>33</v>
      </c>
      <c r="Q198" t="s">
        <v>34</v>
      </c>
      <c r="R198" t="s">
        <v>26</v>
      </c>
      <c r="S198" s="2">
        <f t="shared" si="3"/>
        <v>69871.5</v>
      </c>
    </row>
    <row r="199" spans="1:19" x14ac:dyDescent="0.3">
      <c r="A199" t="s">
        <v>260</v>
      </c>
      <c r="B199" s="1">
        <v>46339</v>
      </c>
      <c r="C199" t="s">
        <v>19</v>
      </c>
      <c r="D199" t="s">
        <v>20</v>
      </c>
      <c r="E199" t="s">
        <v>75</v>
      </c>
      <c r="F199" t="s">
        <v>31</v>
      </c>
      <c r="G199" t="s">
        <v>32</v>
      </c>
      <c r="H199">
        <v>41</v>
      </c>
      <c r="I199">
        <v>72</v>
      </c>
      <c r="J199">
        <v>32</v>
      </c>
      <c r="K199">
        <v>81</v>
      </c>
      <c r="L199">
        <v>98</v>
      </c>
      <c r="M199" s="2">
        <v>1847.05</v>
      </c>
      <c r="N199">
        <v>6</v>
      </c>
      <c r="O199">
        <v>8</v>
      </c>
      <c r="P199" t="s">
        <v>24</v>
      </c>
      <c r="Q199" t="s">
        <v>34</v>
      </c>
      <c r="R199" t="s">
        <v>26</v>
      </c>
      <c r="S199" s="2">
        <f t="shared" si="3"/>
        <v>149611.04999999999</v>
      </c>
    </row>
    <row r="200" spans="1:19" x14ac:dyDescent="0.3">
      <c r="A200" t="s">
        <v>261</v>
      </c>
      <c r="B200" s="1">
        <v>46380</v>
      </c>
      <c r="C200" t="s">
        <v>68</v>
      </c>
      <c r="D200" t="s">
        <v>53</v>
      </c>
      <c r="E200" t="s">
        <v>58</v>
      </c>
      <c r="F200" t="s">
        <v>31</v>
      </c>
      <c r="G200" t="s">
        <v>32</v>
      </c>
      <c r="H200">
        <v>41</v>
      </c>
      <c r="I200">
        <v>88</v>
      </c>
      <c r="J200">
        <v>85</v>
      </c>
      <c r="K200">
        <v>44</v>
      </c>
      <c r="L200">
        <v>71</v>
      </c>
      <c r="M200" s="2">
        <v>541.41999999999996</v>
      </c>
      <c r="N200">
        <v>6</v>
      </c>
      <c r="O200">
        <v>5</v>
      </c>
      <c r="P200" t="s">
        <v>33</v>
      </c>
      <c r="Q200" t="s">
        <v>25</v>
      </c>
      <c r="R200" t="s">
        <v>26</v>
      </c>
      <c r="S200" s="2">
        <f t="shared" si="3"/>
        <v>23822.48</v>
      </c>
    </row>
    <row r="201" spans="1:19" x14ac:dyDescent="0.3">
      <c r="A201" t="s">
        <v>262</v>
      </c>
      <c r="B201" s="1">
        <v>46226</v>
      </c>
      <c r="C201" t="s">
        <v>72</v>
      </c>
      <c r="D201" t="s">
        <v>50</v>
      </c>
      <c r="E201" t="s">
        <v>75</v>
      </c>
      <c r="F201" t="s">
        <v>31</v>
      </c>
      <c r="G201" t="s">
        <v>32</v>
      </c>
      <c r="H201">
        <v>174</v>
      </c>
      <c r="I201">
        <v>39</v>
      </c>
      <c r="J201">
        <v>45</v>
      </c>
      <c r="K201">
        <v>168</v>
      </c>
      <c r="L201">
        <v>57</v>
      </c>
      <c r="M201" s="2">
        <v>2252.6999999999998</v>
      </c>
      <c r="N201">
        <v>4</v>
      </c>
      <c r="O201">
        <v>0</v>
      </c>
      <c r="P201" t="s">
        <v>33</v>
      </c>
      <c r="Q201" t="s">
        <v>47</v>
      </c>
      <c r="R201" t="s">
        <v>26</v>
      </c>
      <c r="S201" s="2">
        <f t="shared" si="3"/>
        <v>378453.6</v>
      </c>
    </row>
    <row r="202" spans="1:19" x14ac:dyDescent="0.3">
      <c r="A202" t="s">
        <v>263</v>
      </c>
      <c r="B202" s="1">
        <v>46355</v>
      </c>
      <c r="C202" t="s">
        <v>89</v>
      </c>
      <c r="D202" t="s">
        <v>20</v>
      </c>
      <c r="E202" t="s">
        <v>58</v>
      </c>
      <c r="F202" t="s">
        <v>1582</v>
      </c>
      <c r="G202" t="s">
        <v>1583</v>
      </c>
      <c r="H202">
        <v>184</v>
      </c>
      <c r="I202">
        <v>51</v>
      </c>
      <c r="J202">
        <v>104</v>
      </c>
      <c r="K202">
        <v>131</v>
      </c>
      <c r="L202">
        <v>59</v>
      </c>
      <c r="M202" s="2">
        <v>1151.99</v>
      </c>
      <c r="N202">
        <v>8</v>
      </c>
      <c r="O202">
        <v>0</v>
      </c>
      <c r="P202" t="s">
        <v>33</v>
      </c>
      <c r="Q202" t="s">
        <v>47</v>
      </c>
      <c r="R202" t="s">
        <v>26</v>
      </c>
      <c r="S202" s="2">
        <f t="shared" si="3"/>
        <v>150910.69</v>
      </c>
    </row>
    <row r="203" spans="1:19" x14ac:dyDescent="0.3">
      <c r="A203" t="s">
        <v>264</v>
      </c>
      <c r="B203" s="1">
        <v>46245</v>
      </c>
      <c r="C203" t="s">
        <v>19</v>
      </c>
      <c r="D203" t="s">
        <v>20</v>
      </c>
      <c r="E203" t="s">
        <v>58</v>
      </c>
      <c r="F203" t="s">
        <v>1582</v>
      </c>
      <c r="G203" t="s">
        <v>1583</v>
      </c>
      <c r="H203">
        <v>136</v>
      </c>
      <c r="I203">
        <v>90</v>
      </c>
      <c r="J203">
        <v>75</v>
      </c>
      <c r="K203">
        <v>151</v>
      </c>
      <c r="L203">
        <v>48</v>
      </c>
      <c r="M203" s="2">
        <v>1849.23</v>
      </c>
      <c r="N203">
        <v>7</v>
      </c>
      <c r="O203">
        <v>0</v>
      </c>
      <c r="P203" t="s">
        <v>33</v>
      </c>
      <c r="Q203" t="s">
        <v>47</v>
      </c>
      <c r="R203" t="s">
        <v>26</v>
      </c>
      <c r="S203" s="2">
        <f t="shared" si="3"/>
        <v>279233.73</v>
      </c>
    </row>
    <row r="204" spans="1:19" x14ac:dyDescent="0.3">
      <c r="A204" t="s">
        <v>265</v>
      </c>
      <c r="B204" s="1">
        <v>46311</v>
      </c>
      <c r="C204" t="s">
        <v>109</v>
      </c>
      <c r="D204" t="s">
        <v>46</v>
      </c>
      <c r="E204" t="s">
        <v>30</v>
      </c>
      <c r="F204" t="s">
        <v>31</v>
      </c>
      <c r="G204" t="s">
        <v>32</v>
      </c>
      <c r="H204">
        <v>98</v>
      </c>
      <c r="I204">
        <v>47</v>
      </c>
      <c r="J204">
        <v>103</v>
      </c>
      <c r="K204">
        <v>42</v>
      </c>
      <c r="L204">
        <v>81</v>
      </c>
      <c r="M204" s="2">
        <v>3184.32</v>
      </c>
      <c r="N204">
        <v>2</v>
      </c>
      <c r="O204">
        <v>5</v>
      </c>
      <c r="P204" t="s">
        <v>33</v>
      </c>
      <c r="Q204" t="s">
        <v>25</v>
      </c>
      <c r="R204" t="s">
        <v>43</v>
      </c>
      <c r="S204" s="2">
        <f t="shared" si="3"/>
        <v>133741.44</v>
      </c>
    </row>
    <row r="205" spans="1:19" x14ac:dyDescent="0.3">
      <c r="A205" t="s">
        <v>266</v>
      </c>
      <c r="B205" s="1">
        <v>46106</v>
      </c>
      <c r="C205" t="s">
        <v>98</v>
      </c>
      <c r="D205" t="s">
        <v>20</v>
      </c>
      <c r="E205" t="s">
        <v>21</v>
      </c>
      <c r="F205" t="s">
        <v>31</v>
      </c>
      <c r="G205" t="s">
        <v>32</v>
      </c>
      <c r="H205">
        <v>93</v>
      </c>
      <c r="I205">
        <v>95</v>
      </c>
      <c r="J205">
        <v>33</v>
      </c>
      <c r="K205">
        <v>155</v>
      </c>
      <c r="L205">
        <v>93</v>
      </c>
      <c r="M205" s="2">
        <v>1489.79</v>
      </c>
      <c r="N205">
        <v>8</v>
      </c>
      <c r="O205">
        <v>0</v>
      </c>
      <c r="P205" t="s">
        <v>33</v>
      </c>
      <c r="Q205" t="s">
        <v>34</v>
      </c>
      <c r="R205" t="s">
        <v>26</v>
      </c>
      <c r="S205" s="2">
        <f t="shared" si="3"/>
        <v>230917.44999999998</v>
      </c>
    </row>
    <row r="206" spans="1:19" x14ac:dyDescent="0.3">
      <c r="A206" t="s">
        <v>267</v>
      </c>
      <c r="B206" s="1">
        <v>46063</v>
      </c>
      <c r="C206" t="s">
        <v>87</v>
      </c>
      <c r="D206" t="s">
        <v>53</v>
      </c>
      <c r="E206" t="s">
        <v>30</v>
      </c>
      <c r="F206" t="s">
        <v>1582</v>
      </c>
      <c r="G206" t="s">
        <v>1583</v>
      </c>
      <c r="H206">
        <v>213</v>
      </c>
      <c r="I206">
        <v>89</v>
      </c>
      <c r="J206">
        <v>57</v>
      </c>
      <c r="K206">
        <v>245</v>
      </c>
      <c r="L206">
        <v>69</v>
      </c>
      <c r="M206" s="2">
        <v>473</v>
      </c>
      <c r="N206">
        <v>3</v>
      </c>
      <c r="O206">
        <v>0</v>
      </c>
      <c r="P206" t="s">
        <v>33</v>
      </c>
      <c r="Q206" t="s">
        <v>47</v>
      </c>
      <c r="R206" t="s">
        <v>59</v>
      </c>
      <c r="S206" s="2">
        <f t="shared" si="3"/>
        <v>115885</v>
      </c>
    </row>
    <row r="207" spans="1:19" x14ac:dyDescent="0.3">
      <c r="A207" t="s">
        <v>268</v>
      </c>
      <c r="B207" s="1">
        <v>46190</v>
      </c>
      <c r="C207" t="s">
        <v>52</v>
      </c>
      <c r="D207" t="s">
        <v>53</v>
      </c>
      <c r="E207" t="s">
        <v>75</v>
      </c>
      <c r="F207" t="s">
        <v>31</v>
      </c>
      <c r="G207" t="s">
        <v>32</v>
      </c>
      <c r="H207">
        <v>151</v>
      </c>
      <c r="I207">
        <v>49</v>
      </c>
      <c r="J207">
        <v>24</v>
      </c>
      <c r="K207">
        <v>176</v>
      </c>
      <c r="L207">
        <v>66</v>
      </c>
      <c r="M207" s="2">
        <v>663.67</v>
      </c>
      <c r="N207">
        <v>6</v>
      </c>
      <c r="O207">
        <v>0</v>
      </c>
      <c r="P207" t="s">
        <v>33</v>
      </c>
      <c r="Q207" t="s">
        <v>47</v>
      </c>
      <c r="R207" t="s">
        <v>26</v>
      </c>
      <c r="S207" s="2">
        <f t="shared" si="3"/>
        <v>116805.92</v>
      </c>
    </row>
    <row r="208" spans="1:19" x14ac:dyDescent="0.3">
      <c r="A208" t="s">
        <v>269</v>
      </c>
      <c r="B208" s="1">
        <v>46339</v>
      </c>
      <c r="C208" t="s">
        <v>89</v>
      </c>
      <c r="D208" t="s">
        <v>20</v>
      </c>
      <c r="E208" t="s">
        <v>58</v>
      </c>
      <c r="F208" t="s">
        <v>1582</v>
      </c>
      <c r="G208" t="s">
        <v>1583</v>
      </c>
      <c r="H208">
        <v>98</v>
      </c>
      <c r="I208">
        <v>65</v>
      </c>
      <c r="J208">
        <v>85</v>
      </c>
      <c r="K208">
        <v>78</v>
      </c>
      <c r="L208">
        <v>69</v>
      </c>
      <c r="M208" s="2">
        <v>1183.6400000000001</v>
      </c>
      <c r="N208">
        <v>7</v>
      </c>
      <c r="O208">
        <v>0</v>
      </c>
      <c r="P208" t="s">
        <v>33</v>
      </c>
      <c r="Q208" t="s">
        <v>34</v>
      </c>
      <c r="R208" t="s">
        <v>26</v>
      </c>
      <c r="S208" s="2">
        <f t="shared" si="3"/>
        <v>92323.920000000013</v>
      </c>
    </row>
    <row r="209" spans="1:19" x14ac:dyDescent="0.3">
      <c r="A209" t="s">
        <v>270</v>
      </c>
      <c r="B209" s="1">
        <v>46069</v>
      </c>
      <c r="C209" t="s">
        <v>80</v>
      </c>
      <c r="D209" t="s">
        <v>46</v>
      </c>
      <c r="E209" t="s">
        <v>75</v>
      </c>
      <c r="F209" t="s">
        <v>31</v>
      </c>
      <c r="G209" t="s">
        <v>32</v>
      </c>
      <c r="H209">
        <v>108</v>
      </c>
      <c r="I209">
        <v>39</v>
      </c>
      <c r="J209">
        <v>63</v>
      </c>
      <c r="K209">
        <v>84</v>
      </c>
      <c r="L209">
        <v>90</v>
      </c>
      <c r="M209" s="2">
        <v>1162.46</v>
      </c>
      <c r="N209">
        <v>3</v>
      </c>
      <c r="O209">
        <v>6</v>
      </c>
      <c r="P209" t="s">
        <v>33</v>
      </c>
      <c r="Q209" t="s">
        <v>34</v>
      </c>
      <c r="R209" t="s">
        <v>26</v>
      </c>
      <c r="S209" s="2">
        <f t="shared" si="3"/>
        <v>97646.64</v>
      </c>
    </row>
    <row r="210" spans="1:19" x14ac:dyDescent="0.3">
      <c r="A210" t="s">
        <v>271</v>
      </c>
      <c r="B210" s="1">
        <v>46075</v>
      </c>
      <c r="C210" t="s">
        <v>89</v>
      </c>
      <c r="D210" t="s">
        <v>20</v>
      </c>
      <c r="E210" t="s">
        <v>58</v>
      </c>
      <c r="F210" t="s">
        <v>37</v>
      </c>
      <c r="G210" t="s">
        <v>38</v>
      </c>
      <c r="H210">
        <v>109</v>
      </c>
      <c r="I210">
        <v>33</v>
      </c>
      <c r="J210">
        <v>31</v>
      </c>
      <c r="K210">
        <v>111</v>
      </c>
      <c r="L210">
        <v>50</v>
      </c>
      <c r="M210" s="2">
        <v>1124.97</v>
      </c>
      <c r="N210">
        <v>5</v>
      </c>
      <c r="O210">
        <v>0</v>
      </c>
      <c r="P210" t="s">
        <v>33</v>
      </c>
      <c r="Q210" t="s">
        <v>47</v>
      </c>
      <c r="R210" t="s">
        <v>26</v>
      </c>
      <c r="S210" s="2">
        <f t="shared" si="3"/>
        <v>124871.67</v>
      </c>
    </row>
    <row r="211" spans="1:19" x14ac:dyDescent="0.3">
      <c r="A211" t="s">
        <v>272</v>
      </c>
      <c r="B211" s="1">
        <v>46309</v>
      </c>
      <c r="C211" t="s">
        <v>19</v>
      </c>
      <c r="D211" t="s">
        <v>20</v>
      </c>
      <c r="E211" t="s">
        <v>21</v>
      </c>
      <c r="F211" t="s">
        <v>31</v>
      </c>
      <c r="G211" t="s">
        <v>32</v>
      </c>
      <c r="H211">
        <v>192</v>
      </c>
      <c r="I211">
        <v>96</v>
      </c>
      <c r="J211">
        <v>56</v>
      </c>
      <c r="K211">
        <v>232</v>
      </c>
      <c r="L211">
        <v>100</v>
      </c>
      <c r="M211" s="2">
        <v>1758.69</v>
      </c>
      <c r="N211">
        <v>4</v>
      </c>
      <c r="O211">
        <v>0</v>
      </c>
      <c r="P211" t="s">
        <v>33</v>
      </c>
      <c r="Q211" t="s">
        <v>47</v>
      </c>
      <c r="R211" t="s">
        <v>59</v>
      </c>
      <c r="S211" s="2">
        <f t="shared" si="3"/>
        <v>408016.08</v>
      </c>
    </row>
    <row r="212" spans="1:19" x14ac:dyDescent="0.3">
      <c r="A212" t="s">
        <v>273</v>
      </c>
      <c r="B212" s="1">
        <v>46176</v>
      </c>
      <c r="C212" t="s">
        <v>28</v>
      </c>
      <c r="D212" t="s">
        <v>29</v>
      </c>
      <c r="E212" t="s">
        <v>58</v>
      </c>
      <c r="F212" t="s">
        <v>22</v>
      </c>
      <c r="G212" t="s">
        <v>23</v>
      </c>
      <c r="H212">
        <v>75</v>
      </c>
      <c r="I212">
        <v>54</v>
      </c>
      <c r="J212">
        <v>53</v>
      </c>
      <c r="K212">
        <v>76</v>
      </c>
      <c r="L212">
        <v>62</v>
      </c>
      <c r="M212" s="2">
        <v>1298.21</v>
      </c>
      <c r="N212">
        <v>2</v>
      </c>
      <c r="O212">
        <v>0</v>
      </c>
      <c r="P212" t="s">
        <v>24</v>
      </c>
      <c r="Q212" t="s">
        <v>34</v>
      </c>
      <c r="R212" t="s">
        <v>26</v>
      </c>
      <c r="S212" s="2">
        <f t="shared" si="3"/>
        <v>98663.96</v>
      </c>
    </row>
    <row r="213" spans="1:19" x14ac:dyDescent="0.3">
      <c r="A213" t="s">
        <v>274</v>
      </c>
      <c r="B213" s="1">
        <v>46026</v>
      </c>
      <c r="C213" t="s">
        <v>57</v>
      </c>
      <c r="D213" t="s">
        <v>50</v>
      </c>
      <c r="E213" t="s">
        <v>21</v>
      </c>
      <c r="F213" t="s">
        <v>37</v>
      </c>
      <c r="G213" t="s">
        <v>38</v>
      </c>
      <c r="H213">
        <v>103</v>
      </c>
      <c r="I213">
        <v>112</v>
      </c>
      <c r="J213">
        <v>95</v>
      </c>
      <c r="K213">
        <v>120</v>
      </c>
      <c r="L213">
        <v>76</v>
      </c>
      <c r="M213" s="2">
        <v>2852.53</v>
      </c>
      <c r="N213">
        <v>3</v>
      </c>
      <c r="O213">
        <v>0</v>
      </c>
      <c r="P213" t="s">
        <v>33</v>
      </c>
      <c r="Q213" t="s">
        <v>34</v>
      </c>
      <c r="R213" t="s">
        <v>26</v>
      </c>
      <c r="S213" s="2">
        <f t="shared" si="3"/>
        <v>342303.60000000003</v>
      </c>
    </row>
    <row r="214" spans="1:19" x14ac:dyDescent="0.3">
      <c r="A214" t="s">
        <v>275</v>
      </c>
      <c r="B214" s="1">
        <v>46176</v>
      </c>
      <c r="C214" t="s">
        <v>49</v>
      </c>
      <c r="D214" t="s">
        <v>50</v>
      </c>
      <c r="E214" t="s">
        <v>30</v>
      </c>
      <c r="F214" t="s">
        <v>1582</v>
      </c>
      <c r="G214" t="s">
        <v>1583</v>
      </c>
      <c r="H214">
        <v>124</v>
      </c>
      <c r="I214">
        <v>76</v>
      </c>
      <c r="J214">
        <v>57</v>
      </c>
      <c r="K214">
        <v>143</v>
      </c>
      <c r="L214">
        <v>72</v>
      </c>
      <c r="M214" s="2">
        <v>1382.02</v>
      </c>
      <c r="N214">
        <v>8</v>
      </c>
      <c r="O214">
        <v>0</v>
      </c>
      <c r="P214" t="s">
        <v>33</v>
      </c>
      <c r="Q214" t="s">
        <v>34</v>
      </c>
      <c r="R214" t="s">
        <v>26</v>
      </c>
      <c r="S214" s="2">
        <f t="shared" si="3"/>
        <v>197628.86</v>
      </c>
    </row>
    <row r="215" spans="1:19" x14ac:dyDescent="0.3">
      <c r="A215" t="s">
        <v>276</v>
      </c>
      <c r="B215" s="1">
        <v>46147</v>
      </c>
      <c r="C215" t="s">
        <v>80</v>
      </c>
      <c r="D215" t="s">
        <v>46</v>
      </c>
      <c r="E215" t="s">
        <v>58</v>
      </c>
      <c r="F215" t="s">
        <v>37</v>
      </c>
      <c r="G215" t="s">
        <v>38</v>
      </c>
      <c r="H215">
        <v>85</v>
      </c>
      <c r="I215">
        <v>70</v>
      </c>
      <c r="J215">
        <v>55</v>
      </c>
      <c r="K215">
        <v>100</v>
      </c>
      <c r="L215">
        <v>63</v>
      </c>
      <c r="M215" s="2">
        <v>1151.67</v>
      </c>
      <c r="N215">
        <v>7</v>
      </c>
      <c r="O215">
        <v>0</v>
      </c>
      <c r="P215" t="s">
        <v>33</v>
      </c>
      <c r="Q215" t="s">
        <v>34</v>
      </c>
      <c r="R215" t="s">
        <v>26</v>
      </c>
      <c r="S215" s="2">
        <f t="shared" si="3"/>
        <v>115167</v>
      </c>
    </row>
    <row r="216" spans="1:19" x14ac:dyDescent="0.3">
      <c r="A216" t="s">
        <v>277</v>
      </c>
      <c r="B216" s="1">
        <v>46036</v>
      </c>
      <c r="C216" t="s">
        <v>146</v>
      </c>
      <c r="D216" t="s">
        <v>46</v>
      </c>
      <c r="E216" t="s">
        <v>21</v>
      </c>
      <c r="F216" t="s">
        <v>1582</v>
      </c>
      <c r="G216" t="s">
        <v>1583</v>
      </c>
      <c r="H216">
        <v>133</v>
      </c>
      <c r="I216">
        <v>34</v>
      </c>
      <c r="J216">
        <v>87</v>
      </c>
      <c r="K216">
        <v>80</v>
      </c>
      <c r="L216">
        <v>57</v>
      </c>
      <c r="M216" s="2">
        <v>1527.67</v>
      </c>
      <c r="N216">
        <v>6</v>
      </c>
      <c r="O216">
        <v>0</v>
      </c>
      <c r="P216" t="s">
        <v>33</v>
      </c>
      <c r="Q216" t="s">
        <v>34</v>
      </c>
      <c r="R216" t="s">
        <v>59</v>
      </c>
      <c r="S216" s="2">
        <f t="shared" si="3"/>
        <v>122213.6</v>
      </c>
    </row>
    <row r="217" spans="1:19" x14ac:dyDescent="0.3">
      <c r="A217" t="s">
        <v>278</v>
      </c>
      <c r="B217" s="1">
        <v>46101</v>
      </c>
      <c r="C217" t="s">
        <v>72</v>
      </c>
      <c r="D217" t="s">
        <v>50</v>
      </c>
      <c r="E217" t="s">
        <v>58</v>
      </c>
      <c r="F217" t="s">
        <v>37</v>
      </c>
      <c r="G217" t="s">
        <v>38</v>
      </c>
      <c r="H217">
        <v>217</v>
      </c>
      <c r="I217">
        <v>28</v>
      </c>
      <c r="J217">
        <v>67</v>
      </c>
      <c r="K217">
        <v>178</v>
      </c>
      <c r="L217">
        <v>88</v>
      </c>
      <c r="M217" s="2">
        <v>2199.69</v>
      </c>
      <c r="N217">
        <v>7</v>
      </c>
      <c r="O217">
        <v>0</v>
      </c>
      <c r="P217" t="s">
        <v>33</v>
      </c>
      <c r="Q217" t="s">
        <v>34</v>
      </c>
      <c r="R217" t="s">
        <v>26</v>
      </c>
      <c r="S217" s="2">
        <f t="shared" si="3"/>
        <v>391544.82</v>
      </c>
    </row>
    <row r="218" spans="1:19" x14ac:dyDescent="0.3">
      <c r="A218" t="s">
        <v>279</v>
      </c>
      <c r="B218" s="1">
        <v>46207</v>
      </c>
      <c r="C218" t="s">
        <v>55</v>
      </c>
      <c r="D218" t="s">
        <v>50</v>
      </c>
      <c r="E218" t="s">
        <v>75</v>
      </c>
      <c r="F218" t="s">
        <v>1582</v>
      </c>
      <c r="G218" t="s">
        <v>1583</v>
      </c>
      <c r="H218">
        <v>193</v>
      </c>
      <c r="I218">
        <v>81</v>
      </c>
      <c r="J218">
        <v>89</v>
      </c>
      <c r="K218">
        <v>185</v>
      </c>
      <c r="L218">
        <v>70</v>
      </c>
      <c r="M218" s="2">
        <v>1006.87</v>
      </c>
      <c r="N218">
        <v>8</v>
      </c>
      <c r="O218">
        <v>0</v>
      </c>
      <c r="P218" t="s">
        <v>33</v>
      </c>
      <c r="Q218" t="s">
        <v>47</v>
      </c>
      <c r="R218" t="s">
        <v>26</v>
      </c>
      <c r="S218" s="2">
        <f t="shared" si="3"/>
        <v>186270.95</v>
      </c>
    </row>
    <row r="219" spans="1:19" x14ac:dyDescent="0.3">
      <c r="A219" t="s">
        <v>280</v>
      </c>
      <c r="B219" s="1">
        <v>46354</v>
      </c>
      <c r="C219" t="s">
        <v>77</v>
      </c>
      <c r="D219" t="s">
        <v>53</v>
      </c>
      <c r="E219" t="s">
        <v>75</v>
      </c>
      <c r="F219" t="s">
        <v>22</v>
      </c>
      <c r="G219" t="s">
        <v>23</v>
      </c>
      <c r="H219">
        <v>208</v>
      </c>
      <c r="I219">
        <v>105</v>
      </c>
      <c r="J219">
        <v>60</v>
      </c>
      <c r="K219">
        <v>253</v>
      </c>
      <c r="L219">
        <v>55</v>
      </c>
      <c r="M219" s="2">
        <v>514.70000000000005</v>
      </c>
      <c r="N219">
        <v>2</v>
      </c>
      <c r="O219">
        <v>0</v>
      </c>
      <c r="P219" t="s">
        <v>33</v>
      </c>
      <c r="Q219" t="s">
        <v>47</v>
      </c>
      <c r="R219" t="s">
        <v>26</v>
      </c>
      <c r="S219" s="2">
        <f t="shared" si="3"/>
        <v>130219.1</v>
      </c>
    </row>
    <row r="220" spans="1:19" x14ac:dyDescent="0.3">
      <c r="A220" t="s">
        <v>281</v>
      </c>
      <c r="B220" s="1">
        <v>46223</v>
      </c>
      <c r="C220" t="s">
        <v>49</v>
      </c>
      <c r="D220" t="s">
        <v>50</v>
      </c>
      <c r="E220" t="s">
        <v>58</v>
      </c>
      <c r="F220" t="s">
        <v>31</v>
      </c>
      <c r="G220" t="s">
        <v>32</v>
      </c>
      <c r="H220">
        <v>42</v>
      </c>
      <c r="I220">
        <v>32</v>
      </c>
      <c r="J220">
        <v>48</v>
      </c>
      <c r="K220">
        <v>26</v>
      </c>
      <c r="L220">
        <v>59</v>
      </c>
      <c r="M220" s="2">
        <v>1302.78</v>
      </c>
      <c r="N220">
        <v>6</v>
      </c>
      <c r="O220">
        <v>4</v>
      </c>
      <c r="P220" t="s">
        <v>33</v>
      </c>
      <c r="Q220" t="s">
        <v>25</v>
      </c>
      <c r="R220" t="s">
        <v>26</v>
      </c>
      <c r="S220" s="2">
        <f t="shared" si="3"/>
        <v>33872.28</v>
      </c>
    </row>
    <row r="221" spans="1:19" x14ac:dyDescent="0.3">
      <c r="A221" t="s">
        <v>282</v>
      </c>
      <c r="B221" s="1">
        <v>46095</v>
      </c>
      <c r="C221" t="s">
        <v>72</v>
      </c>
      <c r="D221" t="s">
        <v>50</v>
      </c>
      <c r="E221" t="s">
        <v>21</v>
      </c>
      <c r="F221" t="s">
        <v>31</v>
      </c>
      <c r="G221" t="s">
        <v>32</v>
      </c>
      <c r="H221">
        <v>163</v>
      </c>
      <c r="I221">
        <v>33</v>
      </c>
      <c r="J221">
        <v>52</v>
      </c>
      <c r="K221">
        <v>144</v>
      </c>
      <c r="L221">
        <v>71</v>
      </c>
      <c r="M221" s="2">
        <v>2385.04</v>
      </c>
      <c r="N221">
        <v>2</v>
      </c>
      <c r="O221">
        <v>0</v>
      </c>
      <c r="P221" t="s">
        <v>24</v>
      </c>
      <c r="Q221" t="s">
        <v>34</v>
      </c>
      <c r="R221" t="s">
        <v>81</v>
      </c>
      <c r="S221" s="2">
        <f t="shared" si="3"/>
        <v>343445.76000000001</v>
      </c>
    </row>
    <row r="222" spans="1:19" x14ac:dyDescent="0.3">
      <c r="A222" t="s">
        <v>283</v>
      </c>
      <c r="B222" s="1">
        <v>46057</v>
      </c>
      <c r="C222" t="s">
        <v>45</v>
      </c>
      <c r="D222" t="s">
        <v>46</v>
      </c>
      <c r="E222" t="s">
        <v>21</v>
      </c>
      <c r="F222" t="s">
        <v>1582</v>
      </c>
      <c r="G222" t="s">
        <v>1583</v>
      </c>
      <c r="H222">
        <v>92</v>
      </c>
      <c r="I222">
        <v>86</v>
      </c>
      <c r="J222">
        <v>76</v>
      </c>
      <c r="K222">
        <v>102</v>
      </c>
      <c r="L222">
        <v>67</v>
      </c>
      <c r="M222" s="2">
        <v>796.19</v>
      </c>
      <c r="N222">
        <v>5</v>
      </c>
      <c r="O222">
        <v>0</v>
      </c>
      <c r="P222" t="s">
        <v>33</v>
      </c>
      <c r="Q222" t="s">
        <v>34</v>
      </c>
      <c r="R222" t="s">
        <v>26</v>
      </c>
      <c r="S222" s="2">
        <f t="shared" si="3"/>
        <v>81211.38</v>
      </c>
    </row>
    <row r="223" spans="1:19" x14ac:dyDescent="0.3">
      <c r="A223" t="s">
        <v>284</v>
      </c>
      <c r="B223" s="1">
        <v>46104</v>
      </c>
      <c r="C223" t="s">
        <v>109</v>
      </c>
      <c r="D223" t="s">
        <v>46</v>
      </c>
      <c r="E223" t="s">
        <v>75</v>
      </c>
      <c r="F223" t="s">
        <v>31</v>
      </c>
      <c r="G223" t="s">
        <v>32</v>
      </c>
      <c r="H223">
        <v>127</v>
      </c>
      <c r="I223">
        <v>102</v>
      </c>
      <c r="J223">
        <v>28</v>
      </c>
      <c r="K223">
        <v>201</v>
      </c>
      <c r="L223">
        <v>88</v>
      </c>
      <c r="M223" s="2">
        <v>3392.03</v>
      </c>
      <c r="N223">
        <v>7</v>
      </c>
      <c r="O223">
        <v>0</v>
      </c>
      <c r="P223" t="s">
        <v>33</v>
      </c>
      <c r="Q223" t="s">
        <v>47</v>
      </c>
      <c r="R223" t="s">
        <v>26</v>
      </c>
      <c r="S223" s="2">
        <f t="shared" si="3"/>
        <v>681798.03</v>
      </c>
    </row>
    <row r="224" spans="1:19" x14ac:dyDescent="0.3">
      <c r="A224" t="s">
        <v>285</v>
      </c>
      <c r="B224" s="1">
        <v>46124</v>
      </c>
      <c r="C224" t="s">
        <v>146</v>
      </c>
      <c r="D224" t="s">
        <v>46</v>
      </c>
      <c r="E224" t="s">
        <v>58</v>
      </c>
      <c r="F224" t="s">
        <v>22</v>
      </c>
      <c r="G224" t="s">
        <v>23</v>
      </c>
      <c r="H224">
        <v>143</v>
      </c>
      <c r="I224">
        <v>100</v>
      </c>
      <c r="J224">
        <v>38</v>
      </c>
      <c r="K224">
        <v>205</v>
      </c>
      <c r="L224">
        <v>56</v>
      </c>
      <c r="M224" s="2">
        <v>1542.14</v>
      </c>
      <c r="N224">
        <v>5</v>
      </c>
      <c r="O224">
        <v>0</v>
      </c>
      <c r="P224" t="s">
        <v>33</v>
      </c>
      <c r="Q224" t="s">
        <v>47</v>
      </c>
      <c r="R224" t="s">
        <v>59</v>
      </c>
      <c r="S224" s="2">
        <f t="shared" si="3"/>
        <v>316138.7</v>
      </c>
    </row>
    <row r="225" spans="1:19" x14ac:dyDescent="0.3">
      <c r="A225" t="s">
        <v>286</v>
      </c>
      <c r="B225" s="1">
        <v>46297</v>
      </c>
      <c r="C225" t="s">
        <v>55</v>
      </c>
      <c r="D225" t="s">
        <v>50</v>
      </c>
      <c r="E225" t="s">
        <v>58</v>
      </c>
      <c r="F225" t="s">
        <v>31</v>
      </c>
      <c r="G225" t="s">
        <v>32</v>
      </c>
      <c r="H225">
        <v>220</v>
      </c>
      <c r="I225">
        <v>47</v>
      </c>
      <c r="J225">
        <v>41</v>
      </c>
      <c r="K225">
        <v>226</v>
      </c>
      <c r="L225">
        <v>62</v>
      </c>
      <c r="M225" s="2">
        <v>1050.47</v>
      </c>
      <c r="N225">
        <v>8</v>
      </c>
      <c r="O225">
        <v>0</v>
      </c>
      <c r="P225" t="s">
        <v>33</v>
      </c>
      <c r="Q225" t="s">
        <v>47</v>
      </c>
      <c r="R225" t="s">
        <v>26</v>
      </c>
      <c r="S225" s="2">
        <f t="shared" si="3"/>
        <v>237406.22</v>
      </c>
    </row>
    <row r="226" spans="1:19" x14ac:dyDescent="0.3">
      <c r="A226" t="s">
        <v>287</v>
      </c>
      <c r="B226" s="1">
        <v>46221</v>
      </c>
      <c r="C226" t="s">
        <v>83</v>
      </c>
      <c r="D226" t="s">
        <v>29</v>
      </c>
      <c r="E226" t="s">
        <v>21</v>
      </c>
      <c r="F226" t="s">
        <v>22</v>
      </c>
      <c r="G226" t="s">
        <v>23</v>
      </c>
      <c r="H226">
        <v>157</v>
      </c>
      <c r="I226">
        <v>34</v>
      </c>
      <c r="J226">
        <v>48</v>
      </c>
      <c r="K226">
        <v>143</v>
      </c>
      <c r="L226">
        <v>87</v>
      </c>
      <c r="M226" s="2">
        <v>1716.04</v>
      </c>
      <c r="N226">
        <v>6</v>
      </c>
      <c r="O226">
        <v>0</v>
      </c>
      <c r="P226" t="s">
        <v>33</v>
      </c>
      <c r="Q226" t="s">
        <v>34</v>
      </c>
      <c r="R226" t="s">
        <v>26</v>
      </c>
      <c r="S226" s="2">
        <f t="shared" si="3"/>
        <v>245393.72</v>
      </c>
    </row>
    <row r="227" spans="1:19" x14ac:dyDescent="0.3">
      <c r="A227" t="s">
        <v>288</v>
      </c>
      <c r="B227" s="1">
        <v>46337</v>
      </c>
      <c r="C227" t="s">
        <v>68</v>
      </c>
      <c r="D227" t="s">
        <v>53</v>
      </c>
      <c r="E227" t="s">
        <v>30</v>
      </c>
      <c r="F227" t="s">
        <v>31</v>
      </c>
      <c r="G227" t="s">
        <v>32</v>
      </c>
      <c r="H227">
        <v>129</v>
      </c>
      <c r="I227">
        <v>65</v>
      </c>
      <c r="J227">
        <v>73</v>
      </c>
      <c r="K227">
        <v>121</v>
      </c>
      <c r="L227">
        <v>84</v>
      </c>
      <c r="M227" s="2">
        <v>560.70000000000005</v>
      </c>
      <c r="N227">
        <v>7</v>
      </c>
      <c r="O227">
        <v>0</v>
      </c>
      <c r="P227" t="s">
        <v>33</v>
      </c>
      <c r="Q227" t="s">
        <v>34</v>
      </c>
      <c r="R227" t="s">
        <v>26</v>
      </c>
      <c r="S227" s="2">
        <f t="shared" si="3"/>
        <v>67844.700000000012</v>
      </c>
    </row>
    <row r="228" spans="1:19" x14ac:dyDescent="0.3">
      <c r="A228" t="s">
        <v>289</v>
      </c>
      <c r="B228" s="1">
        <v>46328</v>
      </c>
      <c r="C228" t="s">
        <v>77</v>
      </c>
      <c r="D228" t="s">
        <v>53</v>
      </c>
      <c r="E228" t="s">
        <v>42</v>
      </c>
      <c r="F228" t="s">
        <v>37</v>
      </c>
      <c r="G228" t="s">
        <v>38</v>
      </c>
      <c r="H228">
        <v>70</v>
      </c>
      <c r="I228">
        <v>50</v>
      </c>
      <c r="J228">
        <v>54</v>
      </c>
      <c r="K228">
        <v>66</v>
      </c>
      <c r="L228">
        <v>52</v>
      </c>
      <c r="M228" s="2">
        <v>468.3</v>
      </c>
      <c r="N228">
        <v>7</v>
      </c>
      <c r="O228">
        <v>0</v>
      </c>
      <c r="P228" t="s">
        <v>24</v>
      </c>
      <c r="Q228" t="s">
        <v>34</v>
      </c>
      <c r="R228" t="s">
        <v>26</v>
      </c>
      <c r="S228" s="2">
        <f t="shared" si="3"/>
        <v>30907.8</v>
      </c>
    </row>
    <row r="229" spans="1:19" x14ac:dyDescent="0.3">
      <c r="A229" t="s">
        <v>290</v>
      </c>
      <c r="B229" s="1">
        <v>46253</v>
      </c>
      <c r="C229" t="s">
        <v>36</v>
      </c>
      <c r="D229" t="s">
        <v>29</v>
      </c>
      <c r="E229" t="s">
        <v>58</v>
      </c>
      <c r="F229" t="s">
        <v>22</v>
      </c>
      <c r="G229" t="s">
        <v>23</v>
      </c>
      <c r="H229">
        <v>164</v>
      </c>
      <c r="I229">
        <v>101</v>
      </c>
      <c r="J229">
        <v>83</v>
      </c>
      <c r="K229">
        <v>182</v>
      </c>
      <c r="L229">
        <v>89</v>
      </c>
      <c r="M229" s="2">
        <v>2601.1999999999998</v>
      </c>
      <c r="N229">
        <v>7</v>
      </c>
      <c r="O229">
        <v>0</v>
      </c>
      <c r="P229" t="s">
        <v>24</v>
      </c>
      <c r="Q229" t="s">
        <v>34</v>
      </c>
      <c r="R229" t="s">
        <v>26</v>
      </c>
      <c r="S229" s="2">
        <f t="shared" si="3"/>
        <v>473418.39999999997</v>
      </c>
    </row>
    <row r="230" spans="1:19" x14ac:dyDescent="0.3">
      <c r="A230" t="s">
        <v>291</v>
      </c>
      <c r="B230" s="1">
        <v>46373</v>
      </c>
      <c r="C230" t="s">
        <v>77</v>
      </c>
      <c r="D230" t="s">
        <v>53</v>
      </c>
      <c r="E230" t="s">
        <v>21</v>
      </c>
      <c r="F230" t="s">
        <v>31</v>
      </c>
      <c r="G230" t="s">
        <v>32</v>
      </c>
      <c r="H230">
        <v>164</v>
      </c>
      <c r="I230">
        <v>37</v>
      </c>
      <c r="J230">
        <v>39</v>
      </c>
      <c r="K230">
        <v>162</v>
      </c>
      <c r="L230">
        <v>97</v>
      </c>
      <c r="M230" s="2">
        <v>488.39</v>
      </c>
      <c r="N230">
        <v>6</v>
      </c>
      <c r="O230">
        <v>0</v>
      </c>
      <c r="P230" t="s">
        <v>33</v>
      </c>
      <c r="Q230" t="s">
        <v>34</v>
      </c>
      <c r="R230" t="s">
        <v>26</v>
      </c>
      <c r="S230" s="2">
        <f t="shared" si="3"/>
        <v>79119.179999999993</v>
      </c>
    </row>
    <row r="231" spans="1:19" x14ac:dyDescent="0.3">
      <c r="A231" t="s">
        <v>292</v>
      </c>
      <c r="B231" s="1">
        <v>46170</v>
      </c>
      <c r="C231" t="s">
        <v>55</v>
      </c>
      <c r="D231" t="s">
        <v>50</v>
      </c>
      <c r="E231" t="s">
        <v>58</v>
      </c>
      <c r="F231" t="s">
        <v>1582</v>
      </c>
      <c r="G231" t="s">
        <v>1583</v>
      </c>
      <c r="H231">
        <v>82</v>
      </c>
      <c r="I231">
        <v>30</v>
      </c>
      <c r="J231">
        <v>87</v>
      </c>
      <c r="K231">
        <v>25</v>
      </c>
      <c r="L231">
        <v>46</v>
      </c>
      <c r="M231" s="2">
        <v>1059.18</v>
      </c>
      <c r="N231">
        <v>3</v>
      </c>
      <c r="O231">
        <v>5</v>
      </c>
      <c r="P231" t="s">
        <v>33</v>
      </c>
      <c r="Q231" t="s">
        <v>25</v>
      </c>
      <c r="R231" t="s">
        <v>26</v>
      </c>
      <c r="S231" s="2">
        <f t="shared" si="3"/>
        <v>26479.5</v>
      </c>
    </row>
    <row r="232" spans="1:19" x14ac:dyDescent="0.3">
      <c r="A232" t="s">
        <v>293</v>
      </c>
      <c r="B232" s="1">
        <v>46300</v>
      </c>
      <c r="C232" t="s">
        <v>36</v>
      </c>
      <c r="D232" t="s">
        <v>29</v>
      </c>
      <c r="E232" t="s">
        <v>30</v>
      </c>
      <c r="F232" t="s">
        <v>1582</v>
      </c>
      <c r="G232" t="s">
        <v>1583</v>
      </c>
      <c r="H232">
        <v>180</v>
      </c>
      <c r="I232">
        <v>85</v>
      </c>
      <c r="J232">
        <v>29</v>
      </c>
      <c r="K232">
        <v>236</v>
      </c>
      <c r="L232">
        <v>81</v>
      </c>
      <c r="M232" s="2">
        <v>2214.8200000000002</v>
      </c>
      <c r="N232">
        <v>8</v>
      </c>
      <c r="O232">
        <v>0</v>
      </c>
      <c r="P232" t="s">
        <v>33</v>
      </c>
      <c r="Q232" t="s">
        <v>47</v>
      </c>
      <c r="R232" t="s">
        <v>81</v>
      </c>
      <c r="S232" s="2">
        <f t="shared" si="3"/>
        <v>522697.52</v>
      </c>
    </row>
    <row r="233" spans="1:19" x14ac:dyDescent="0.3">
      <c r="A233" t="s">
        <v>294</v>
      </c>
      <c r="B233" s="1">
        <v>46201</v>
      </c>
      <c r="C233" t="s">
        <v>40</v>
      </c>
      <c r="D233" t="s">
        <v>20</v>
      </c>
      <c r="E233" t="s">
        <v>30</v>
      </c>
      <c r="F233" t="s">
        <v>22</v>
      </c>
      <c r="G233" t="s">
        <v>23</v>
      </c>
      <c r="H233">
        <v>148</v>
      </c>
      <c r="I233">
        <v>33</v>
      </c>
      <c r="J233">
        <v>109</v>
      </c>
      <c r="K233">
        <v>72</v>
      </c>
      <c r="L233">
        <v>98</v>
      </c>
      <c r="M233" s="2">
        <v>927.66</v>
      </c>
      <c r="N233">
        <v>3</v>
      </c>
      <c r="O233">
        <v>1</v>
      </c>
      <c r="P233" t="s">
        <v>33</v>
      </c>
      <c r="Q233" t="s">
        <v>34</v>
      </c>
      <c r="R233" t="s">
        <v>26</v>
      </c>
      <c r="S233" s="2">
        <f t="shared" si="3"/>
        <v>66791.520000000004</v>
      </c>
    </row>
    <row r="234" spans="1:19" x14ac:dyDescent="0.3">
      <c r="A234" t="s">
        <v>295</v>
      </c>
      <c r="B234" s="1">
        <v>46107</v>
      </c>
      <c r="C234" t="s">
        <v>40</v>
      </c>
      <c r="D234" t="s">
        <v>20</v>
      </c>
      <c r="E234" t="s">
        <v>75</v>
      </c>
      <c r="F234" t="s">
        <v>22</v>
      </c>
      <c r="G234" t="s">
        <v>23</v>
      </c>
      <c r="H234">
        <v>93</v>
      </c>
      <c r="I234">
        <v>123</v>
      </c>
      <c r="J234">
        <v>109</v>
      </c>
      <c r="K234">
        <v>107</v>
      </c>
      <c r="L234">
        <v>82</v>
      </c>
      <c r="M234" s="2">
        <v>934.04</v>
      </c>
      <c r="N234">
        <v>8</v>
      </c>
      <c r="O234">
        <v>0</v>
      </c>
      <c r="P234" t="s">
        <v>33</v>
      </c>
      <c r="Q234" t="s">
        <v>34</v>
      </c>
      <c r="R234" t="s">
        <v>26</v>
      </c>
      <c r="S234" s="2">
        <f t="shared" si="3"/>
        <v>99942.28</v>
      </c>
    </row>
    <row r="235" spans="1:19" x14ac:dyDescent="0.3">
      <c r="A235" t="s">
        <v>296</v>
      </c>
      <c r="B235" s="1">
        <v>46172</v>
      </c>
      <c r="C235" t="s">
        <v>87</v>
      </c>
      <c r="D235" t="s">
        <v>53</v>
      </c>
      <c r="E235" t="s">
        <v>42</v>
      </c>
      <c r="F235" t="s">
        <v>22</v>
      </c>
      <c r="G235" t="s">
        <v>23</v>
      </c>
      <c r="H235">
        <v>55</v>
      </c>
      <c r="I235">
        <v>92</v>
      </c>
      <c r="J235">
        <v>59</v>
      </c>
      <c r="K235">
        <v>88</v>
      </c>
      <c r="L235">
        <v>79</v>
      </c>
      <c r="M235" s="2">
        <v>430.3</v>
      </c>
      <c r="N235">
        <v>6</v>
      </c>
      <c r="O235">
        <v>0</v>
      </c>
      <c r="P235" t="s">
        <v>24</v>
      </c>
      <c r="Q235" t="s">
        <v>34</v>
      </c>
      <c r="R235" t="s">
        <v>81</v>
      </c>
      <c r="S235" s="2">
        <f t="shared" si="3"/>
        <v>37866.400000000001</v>
      </c>
    </row>
    <row r="236" spans="1:19" x14ac:dyDescent="0.3">
      <c r="A236" t="s">
        <v>297</v>
      </c>
      <c r="B236" s="1">
        <v>46090</v>
      </c>
      <c r="C236" t="s">
        <v>45</v>
      </c>
      <c r="D236" t="s">
        <v>46</v>
      </c>
      <c r="E236" t="s">
        <v>30</v>
      </c>
      <c r="F236" t="s">
        <v>31</v>
      </c>
      <c r="G236" t="s">
        <v>32</v>
      </c>
      <c r="H236">
        <v>74</v>
      </c>
      <c r="I236">
        <v>116</v>
      </c>
      <c r="J236">
        <v>67</v>
      </c>
      <c r="K236">
        <v>123</v>
      </c>
      <c r="L236">
        <v>48</v>
      </c>
      <c r="M236" s="2">
        <v>878.8</v>
      </c>
      <c r="N236">
        <v>8</v>
      </c>
      <c r="O236">
        <v>0</v>
      </c>
      <c r="P236" t="s">
        <v>33</v>
      </c>
      <c r="Q236" t="s">
        <v>47</v>
      </c>
      <c r="R236" t="s">
        <v>59</v>
      </c>
      <c r="S236" s="2">
        <f t="shared" si="3"/>
        <v>108092.4</v>
      </c>
    </row>
    <row r="237" spans="1:19" x14ac:dyDescent="0.3">
      <c r="A237" t="s">
        <v>298</v>
      </c>
      <c r="B237" s="1">
        <v>46070</v>
      </c>
      <c r="C237" t="s">
        <v>28</v>
      </c>
      <c r="D237" t="s">
        <v>29</v>
      </c>
      <c r="E237" t="s">
        <v>21</v>
      </c>
      <c r="F237" t="s">
        <v>22</v>
      </c>
      <c r="G237" t="s">
        <v>23</v>
      </c>
      <c r="H237">
        <v>213</v>
      </c>
      <c r="I237">
        <v>70</v>
      </c>
      <c r="J237">
        <v>77</v>
      </c>
      <c r="K237">
        <v>206</v>
      </c>
      <c r="L237">
        <v>54</v>
      </c>
      <c r="M237" s="2">
        <v>1320.13</v>
      </c>
      <c r="N237">
        <v>8</v>
      </c>
      <c r="O237">
        <v>0</v>
      </c>
      <c r="P237" t="s">
        <v>24</v>
      </c>
      <c r="Q237" t="s">
        <v>47</v>
      </c>
      <c r="R237" t="s">
        <v>26</v>
      </c>
      <c r="S237" s="2">
        <f t="shared" si="3"/>
        <v>271946.78000000003</v>
      </c>
    </row>
    <row r="238" spans="1:19" x14ac:dyDescent="0.3">
      <c r="A238" t="s">
        <v>299</v>
      </c>
      <c r="B238" s="1">
        <v>46257</v>
      </c>
      <c r="C238" t="s">
        <v>49</v>
      </c>
      <c r="D238" t="s">
        <v>50</v>
      </c>
      <c r="E238" t="s">
        <v>21</v>
      </c>
      <c r="F238" t="s">
        <v>1582</v>
      </c>
      <c r="G238" t="s">
        <v>1583</v>
      </c>
      <c r="H238">
        <v>164</v>
      </c>
      <c r="I238">
        <v>61</v>
      </c>
      <c r="J238">
        <v>89</v>
      </c>
      <c r="K238">
        <v>136</v>
      </c>
      <c r="L238">
        <v>45</v>
      </c>
      <c r="M238" s="2">
        <v>1395.92</v>
      </c>
      <c r="N238">
        <v>8</v>
      </c>
      <c r="O238">
        <v>0</v>
      </c>
      <c r="P238" t="s">
        <v>33</v>
      </c>
      <c r="Q238" t="s">
        <v>47</v>
      </c>
      <c r="R238" t="s">
        <v>59</v>
      </c>
      <c r="S238" s="2">
        <f t="shared" si="3"/>
        <v>189845.12</v>
      </c>
    </row>
    <row r="239" spans="1:19" x14ac:dyDescent="0.3">
      <c r="A239" t="s">
        <v>300</v>
      </c>
      <c r="B239" s="1">
        <v>46089</v>
      </c>
      <c r="C239" t="s">
        <v>109</v>
      </c>
      <c r="D239" t="s">
        <v>46</v>
      </c>
      <c r="E239" t="s">
        <v>30</v>
      </c>
      <c r="F239" t="s">
        <v>1582</v>
      </c>
      <c r="G239" t="s">
        <v>1583</v>
      </c>
      <c r="H239">
        <v>95</v>
      </c>
      <c r="I239">
        <v>74</v>
      </c>
      <c r="J239">
        <v>42</v>
      </c>
      <c r="K239">
        <v>127</v>
      </c>
      <c r="L239">
        <v>76</v>
      </c>
      <c r="M239" s="2">
        <v>3051.86</v>
      </c>
      <c r="N239">
        <v>8</v>
      </c>
      <c r="O239">
        <v>0</v>
      </c>
      <c r="P239" t="s">
        <v>33</v>
      </c>
      <c r="Q239" t="s">
        <v>34</v>
      </c>
      <c r="R239" t="s">
        <v>26</v>
      </c>
      <c r="S239" s="2">
        <f t="shared" si="3"/>
        <v>387586.22000000003</v>
      </c>
    </row>
    <row r="240" spans="1:19" x14ac:dyDescent="0.3">
      <c r="A240" t="s">
        <v>301</v>
      </c>
      <c r="B240" s="1">
        <v>46023</v>
      </c>
      <c r="C240" t="s">
        <v>68</v>
      </c>
      <c r="D240" t="s">
        <v>53</v>
      </c>
      <c r="E240" t="s">
        <v>21</v>
      </c>
      <c r="F240" t="s">
        <v>31</v>
      </c>
      <c r="G240" t="s">
        <v>32</v>
      </c>
      <c r="H240">
        <v>51</v>
      </c>
      <c r="I240">
        <v>32</v>
      </c>
      <c r="J240">
        <v>95</v>
      </c>
      <c r="K240">
        <v>0</v>
      </c>
      <c r="L240">
        <v>95</v>
      </c>
      <c r="M240" s="2">
        <v>640.4</v>
      </c>
      <c r="N240">
        <v>2</v>
      </c>
      <c r="O240">
        <v>3</v>
      </c>
      <c r="P240" t="s">
        <v>24</v>
      </c>
      <c r="Q240" t="s">
        <v>25</v>
      </c>
      <c r="R240" t="s">
        <v>26</v>
      </c>
      <c r="S240" s="2">
        <f t="shared" si="3"/>
        <v>0</v>
      </c>
    </row>
    <row r="241" spans="1:19" x14ac:dyDescent="0.3">
      <c r="A241" t="s">
        <v>302</v>
      </c>
      <c r="B241" s="1">
        <v>46343</v>
      </c>
      <c r="C241" t="s">
        <v>72</v>
      </c>
      <c r="D241" t="s">
        <v>50</v>
      </c>
      <c r="E241" t="s">
        <v>42</v>
      </c>
      <c r="F241" t="s">
        <v>37</v>
      </c>
      <c r="G241" t="s">
        <v>38</v>
      </c>
      <c r="H241">
        <v>80</v>
      </c>
      <c r="I241">
        <v>55</v>
      </c>
      <c r="J241">
        <v>26</v>
      </c>
      <c r="K241">
        <v>109</v>
      </c>
      <c r="L241">
        <v>86</v>
      </c>
      <c r="M241" s="2">
        <v>2138.59</v>
      </c>
      <c r="N241">
        <v>5</v>
      </c>
      <c r="O241">
        <v>0</v>
      </c>
      <c r="P241" t="s">
        <v>33</v>
      </c>
      <c r="Q241" t="s">
        <v>34</v>
      </c>
      <c r="R241" t="s">
        <v>26</v>
      </c>
      <c r="S241" s="2">
        <f t="shared" si="3"/>
        <v>233106.31000000003</v>
      </c>
    </row>
    <row r="242" spans="1:19" x14ac:dyDescent="0.3">
      <c r="A242" t="s">
        <v>303</v>
      </c>
      <c r="B242" s="1">
        <v>46250</v>
      </c>
      <c r="C242" t="s">
        <v>80</v>
      </c>
      <c r="D242" t="s">
        <v>46</v>
      </c>
      <c r="E242" t="s">
        <v>58</v>
      </c>
      <c r="F242" t="s">
        <v>31</v>
      </c>
      <c r="G242" t="s">
        <v>32</v>
      </c>
      <c r="H242">
        <v>220</v>
      </c>
      <c r="I242">
        <v>32</v>
      </c>
      <c r="J242">
        <v>15</v>
      </c>
      <c r="K242">
        <v>237</v>
      </c>
      <c r="L242">
        <v>58</v>
      </c>
      <c r="M242" s="2">
        <v>1094.9000000000001</v>
      </c>
      <c r="N242">
        <v>3</v>
      </c>
      <c r="O242">
        <v>0</v>
      </c>
      <c r="P242" t="s">
        <v>33</v>
      </c>
      <c r="Q242" t="s">
        <v>47</v>
      </c>
      <c r="R242" t="s">
        <v>26</v>
      </c>
      <c r="S242" s="2">
        <f t="shared" si="3"/>
        <v>259491.30000000002</v>
      </c>
    </row>
    <row r="243" spans="1:19" x14ac:dyDescent="0.3">
      <c r="A243" t="s">
        <v>304</v>
      </c>
      <c r="B243" s="1">
        <v>46075</v>
      </c>
      <c r="C243" t="s">
        <v>19</v>
      </c>
      <c r="D243" t="s">
        <v>20</v>
      </c>
      <c r="E243" t="s">
        <v>21</v>
      </c>
      <c r="F243" t="s">
        <v>31</v>
      </c>
      <c r="G243" t="s">
        <v>32</v>
      </c>
      <c r="H243">
        <v>148</v>
      </c>
      <c r="I243">
        <v>108</v>
      </c>
      <c r="J243">
        <v>31</v>
      </c>
      <c r="K243">
        <v>225</v>
      </c>
      <c r="L243">
        <v>75</v>
      </c>
      <c r="M243" s="2">
        <v>1645.5</v>
      </c>
      <c r="N243">
        <v>5</v>
      </c>
      <c r="O243">
        <v>0</v>
      </c>
      <c r="P243" t="s">
        <v>24</v>
      </c>
      <c r="Q243" t="s">
        <v>47</v>
      </c>
      <c r="R243" t="s">
        <v>43</v>
      </c>
      <c r="S243" s="2">
        <f t="shared" si="3"/>
        <v>370237.5</v>
      </c>
    </row>
    <row r="244" spans="1:19" x14ac:dyDescent="0.3">
      <c r="A244" t="s">
        <v>305</v>
      </c>
      <c r="B244" s="1">
        <v>46335</v>
      </c>
      <c r="C244" t="s">
        <v>45</v>
      </c>
      <c r="D244" t="s">
        <v>46</v>
      </c>
      <c r="E244" t="s">
        <v>21</v>
      </c>
      <c r="F244" t="s">
        <v>22</v>
      </c>
      <c r="G244" t="s">
        <v>23</v>
      </c>
      <c r="H244">
        <v>137</v>
      </c>
      <c r="I244">
        <v>119</v>
      </c>
      <c r="J244">
        <v>32</v>
      </c>
      <c r="K244">
        <v>224</v>
      </c>
      <c r="L244">
        <v>86</v>
      </c>
      <c r="M244" s="2">
        <v>878.87</v>
      </c>
      <c r="N244">
        <v>3</v>
      </c>
      <c r="O244">
        <v>0</v>
      </c>
      <c r="P244" t="s">
        <v>24</v>
      </c>
      <c r="Q244" t="s">
        <v>47</v>
      </c>
      <c r="R244" t="s">
        <v>26</v>
      </c>
      <c r="S244" s="2">
        <f t="shared" si="3"/>
        <v>196866.88</v>
      </c>
    </row>
    <row r="245" spans="1:19" x14ac:dyDescent="0.3">
      <c r="A245" t="s">
        <v>306</v>
      </c>
      <c r="B245" s="1">
        <v>46074</v>
      </c>
      <c r="C245" t="s">
        <v>36</v>
      </c>
      <c r="D245" t="s">
        <v>29</v>
      </c>
      <c r="E245" t="s">
        <v>21</v>
      </c>
      <c r="F245" t="s">
        <v>22</v>
      </c>
      <c r="G245" t="s">
        <v>23</v>
      </c>
      <c r="H245">
        <v>200</v>
      </c>
      <c r="I245">
        <v>115</v>
      </c>
      <c r="J245">
        <v>34</v>
      </c>
      <c r="K245">
        <v>281</v>
      </c>
      <c r="L245">
        <v>71</v>
      </c>
      <c r="M245" s="2">
        <v>2455.7199999999998</v>
      </c>
      <c r="N245">
        <v>5</v>
      </c>
      <c r="O245">
        <v>0</v>
      </c>
      <c r="P245" t="s">
        <v>33</v>
      </c>
      <c r="Q245" t="s">
        <v>47</v>
      </c>
      <c r="R245" t="s">
        <v>26</v>
      </c>
      <c r="S245" s="2">
        <f t="shared" si="3"/>
        <v>690057.32</v>
      </c>
    </row>
    <row r="246" spans="1:19" x14ac:dyDescent="0.3">
      <c r="A246" t="s">
        <v>307</v>
      </c>
      <c r="B246" s="1">
        <v>46330</v>
      </c>
      <c r="C246" t="s">
        <v>62</v>
      </c>
      <c r="D246" t="s">
        <v>29</v>
      </c>
      <c r="E246" t="s">
        <v>30</v>
      </c>
      <c r="F246" t="s">
        <v>1582</v>
      </c>
      <c r="G246" t="s">
        <v>1583</v>
      </c>
      <c r="H246">
        <v>129</v>
      </c>
      <c r="I246">
        <v>74</v>
      </c>
      <c r="J246">
        <v>55</v>
      </c>
      <c r="K246">
        <v>148</v>
      </c>
      <c r="L246">
        <v>95</v>
      </c>
      <c r="M246" s="2">
        <v>649.58000000000004</v>
      </c>
      <c r="N246">
        <v>4</v>
      </c>
      <c r="O246">
        <v>0</v>
      </c>
      <c r="P246" t="s">
        <v>33</v>
      </c>
      <c r="Q246" t="s">
        <v>34</v>
      </c>
      <c r="R246" t="s">
        <v>26</v>
      </c>
      <c r="S246" s="2">
        <f t="shared" si="3"/>
        <v>96137.840000000011</v>
      </c>
    </row>
    <row r="247" spans="1:19" x14ac:dyDescent="0.3">
      <c r="A247" t="s">
        <v>308</v>
      </c>
      <c r="B247" s="1">
        <v>46145</v>
      </c>
      <c r="C247" t="s">
        <v>52</v>
      </c>
      <c r="D247" t="s">
        <v>53</v>
      </c>
      <c r="E247" t="s">
        <v>75</v>
      </c>
      <c r="F247" t="s">
        <v>37</v>
      </c>
      <c r="G247" t="s">
        <v>38</v>
      </c>
      <c r="H247">
        <v>92</v>
      </c>
      <c r="I247">
        <v>86</v>
      </c>
      <c r="J247">
        <v>92</v>
      </c>
      <c r="K247">
        <v>86</v>
      </c>
      <c r="L247">
        <v>77</v>
      </c>
      <c r="M247" s="2">
        <v>609.52</v>
      </c>
      <c r="N247">
        <v>5</v>
      </c>
      <c r="O247">
        <v>0</v>
      </c>
      <c r="P247" t="s">
        <v>33</v>
      </c>
      <c r="Q247" t="s">
        <v>34</v>
      </c>
      <c r="R247" t="s">
        <v>26</v>
      </c>
      <c r="S247" s="2">
        <f t="shared" si="3"/>
        <v>52418.720000000001</v>
      </c>
    </row>
    <row r="248" spans="1:19" x14ac:dyDescent="0.3">
      <c r="A248" t="s">
        <v>309</v>
      </c>
      <c r="B248" s="1">
        <v>46090</v>
      </c>
      <c r="C248" t="s">
        <v>55</v>
      </c>
      <c r="D248" t="s">
        <v>50</v>
      </c>
      <c r="E248" t="s">
        <v>75</v>
      </c>
      <c r="F248" t="s">
        <v>22</v>
      </c>
      <c r="G248" t="s">
        <v>23</v>
      </c>
      <c r="H248">
        <v>167</v>
      </c>
      <c r="I248">
        <v>101</v>
      </c>
      <c r="J248">
        <v>91</v>
      </c>
      <c r="K248">
        <v>177</v>
      </c>
      <c r="L248">
        <v>49</v>
      </c>
      <c r="M248" s="2">
        <v>1005.66</v>
      </c>
      <c r="N248">
        <v>2</v>
      </c>
      <c r="O248">
        <v>0</v>
      </c>
      <c r="P248" t="s">
        <v>33</v>
      </c>
      <c r="Q248" t="s">
        <v>47</v>
      </c>
      <c r="R248" t="s">
        <v>81</v>
      </c>
      <c r="S248" s="2">
        <f t="shared" si="3"/>
        <v>178001.82</v>
      </c>
    </row>
    <row r="249" spans="1:19" x14ac:dyDescent="0.3">
      <c r="A249" t="s">
        <v>310</v>
      </c>
      <c r="B249" s="1">
        <v>46053</v>
      </c>
      <c r="C249" t="s">
        <v>55</v>
      </c>
      <c r="D249" t="s">
        <v>50</v>
      </c>
      <c r="E249" t="s">
        <v>21</v>
      </c>
      <c r="F249" t="s">
        <v>22</v>
      </c>
      <c r="G249" t="s">
        <v>23</v>
      </c>
      <c r="H249">
        <v>160</v>
      </c>
      <c r="I249">
        <v>118</v>
      </c>
      <c r="J249">
        <v>24</v>
      </c>
      <c r="K249">
        <v>254</v>
      </c>
      <c r="L249">
        <v>46</v>
      </c>
      <c r="M249" s="2">
        <v>1017.47</v>
      </c>
      <c r="N249">
        <v>2</v>
      </c>
      <c r="O249">
        <v>0</v>
      </c>
      <c r="P249" t="s">
        <v>33</v>
      </c>
      <c r="Q249" t="s">
        <v>47</v>
      </c>
      <c r="R249" t="s">
        <v>26</v>
      </c>
      <c r="S249" s="2">
        <f t="shared" si="3"/>
        <v>258437.38</v>
      </c>
    </row>
    <row r="250" spans="1:19" x14ac:dyDescent="0.3">
      <c r="A250" t="s">
        <v>311</v>
      </c>
      <c r="B250" s="1">
        <v>46181</v>
      </c>
      <c r="C250" t="s">
        <v>49</v>
      </c>
      <c r="D250" t="s">
        <v>50</v>
      </c>
      <c r="E250" t="s">
        <v>30</v>
      </c>
      <c r="F250" t="s">
        <v>1582</v>
      </c>
      <c r="G250" t="s">
        <v>1583</v>
      </c>
      <c r="H250">
        <v>148</v>
      </c>
      <c r="I250">
        <v>109</v>
      </c>
      <c r="J250">
        <v>66</v>
      </c>
      <c r="K250">
        <v>191</v>
      </c>
      <c r="L250">
        <v>50</v>
      </c>
      <c r="M250" s="2">
        <v>1336.54</v>
      </c>
      <c r="N250">
        <v>6</v>
      </c>
      <c r="O250">
        <v>0</v>
      </c>
      <c r="P250" t="s">
        <v>33</v>
      </c>
      <c r="Q250" t="s">
        <v>47</v>
      </c>
      <c r="R250" t="s">
        <v>26</v>
      </c>
      <c r="S250" s="2">
        <f t="shared" si="3"/>
        <v>255279.13999999998</v>
      </c>
    </row>
    <row r="251" spans="1:19" x14ac:dyDescent="0.3">
      <c r="A251" t="s">
        <v>312</v>
      </c>
      <c r="B251" s="1">
        <v>46246</v>
      </c>
      <c r="C251" t="s">
        <v>98</v>
      </c>
      <c r="D251" t="s">
        <v>20</v>
      </c>
      <c r="E251" t="s">
        <v>42</v>
      </c>
      <c r="F251" t="s">
        <v>37</v>
      </c>
      <c r="G251" t="s">
        <v>38</v>
      </c>
      <c r="H251">
        <v>140</v>
      </c>
      <c r="I251">
        <v>95</v>
      </c>
      <c r="J251">
        <v>96</v>
      </c>
      <c r="K251">
        <v>139</v>
      </c>
      <c r="L251">
        <v>93</v>
      </c>
      <c r="M251" s="2">
        <v>1493.67</v>
      </c>
      <c r="N251">
        <v>7</v>
      </c>
      <c r="O251">
        <v>0</v>
      </c>
      <c r="P251" t="s">
        <v>33</v>
      </c>
      <c r="Q251" t="s">
        <v>34</v>
      </c>
      <c r="R251" t="s">
        <v>26</v>
      </c>
      <c r="S251" s="2">
        <f t="shared" si="3"/>
        <v>207620.13</v>
      </c>
    </row>
    <row r="252" spans="1:19" x14ac:dyDescent="0.3">
      <c r="A252" t="s">
        <v>313</v>
      </c>
      <c r="B252" s="1">
        <v>46112</v>
      </c>
      <c r="C252" t="s">
        <v>62</v>
      </c>
      <c r="D252" t="s">
        <v>29</v>
      </c>
      <c r="E252" t="s">
        <v>42</v>
      </c>
      <c r="F252" t="s">
        <v>31</v>
      </c>
      <c r="G252" t="s">
        <v>32</v>
      </c>
      <c r="H252">
        <v>151</v>
      </c>
      <c r="I252">
        <v>34</v>
      </c>
      <c r="J252">
        <v>73</v>
      </c>
      <c r="K252">
        <v>112</v>
      </c>
      <c r="L252">
        <v>84</v>
      </c>
      <c r="M252" s="2">
        <v>715.24</v>
      </c>
      <c r="N252">
        <v>4</v>
      </c>
      <c r="O252">
        <v>0</v>
      </c>
      <c r="P252" t="s">
        <v>33</v>
      </c>
      <c r="Q252" t="s">
        <v>34</v>
      </c>
      <c r="R252" t="s">
        <v>26</v>
      </c>
      <c r="S252" s="2">
        <f t="shared" si="3"/>
        <v>80106.880000000005</v>
      </c>
    </row>
    <row r="253" spans="1:19" x14ac:dyDescent="0.3">
      <c r="A253" t="s">
        <v>314</v>
      </c>
      <c r="B253" s="1">
        <v>46087</v>
      </c>
      <c r="C253" t="s">
        <v>19</v>
      </c>
      <c r="D253" t="s">
        <v>20</v>
      </c>
      <c r="E253" t="s">
        <v>42</v>
      </c>
      <c r="F253" t="s">
        <v>31</v>
      </c>
      <c r="G253" t="s">
        <v>32</v>
      </c>
      <c r="H253">
        <v>81</v>
      </c>
      <c r="I253">
        <v>83</v>
      </c>
      <c r="J253">
        <v>59</v>
      </c>
      <c r="K253">
        <v>105</v>
      </c>
      <c r="L253">
        <v>78</v>
      </c>
      <c r="M253" s="2">
        <v>1806.2</v>
      </c>
      <c r="N253">
        <v>8</v>
      </c>
      <c r="O253">
        <v>0</v>
      </c>
      <c r="P253" t="s">
        <v>33</v>
      </c>
      <c r="Q253" t="s">
        <v>34</v>
      </c>
      <c r="R253" t="s">
        <v>26</v>
      </c>
      <c r="S253" s="2">
        <f t="shared" si="3"/>
        <v>189651</v>
      </c>
    </row>
    <row r="254" spans="1:19" x14ac:dyDescent="0.3">
      <c r="A254" t="s">
        <v>315</v>
      </c>
      <c r="B254" s="1">
        <v>46284</v>
      </c>
      <c r="C254" t="s">
        <v>109</v>
      </c>
      <c r="D254" t="s">
        <v>46</v>
      </c>
      <c r="E254" t="s">
        <v>75</v>
      </c>
      <c r="F254" t="s">
        <v>37</v>
      </c>
      <c r="G254" t="s">
        <v>38</v>
      </c>
      <c r="H254">
        <v>149</v>
      </c>
      <c r="I254">
        <v>54</v>
      </c>
      <c r="J254">
        <v>82</v>
      </c>
      <c r="K254">
        <v>121</v>
      </c>
      <c r="L254">
        <v>49</v>
      </c>
      <c r="M254" s="2">
        <v>3048.29</v>
      </c>
      <c r="N254">
        <v>6</v>
      </c>
      <c r="O254">
        <v>0</v>
      </c>
      <c r="P254" t="s">
        <v>33</v>
      </c>
      <c r="Q254" t="s">
        <v>47</v>
      </c>
      <c r="R254" t="s">
        <v>26</v>
      </c>
      <c r="S254" s="2">
        <f t="shared" si="3"/>
        <v>368843.08999999997</v>
      </c>
    </row>
    <row r="255" spans="1:19" x14ac:dyDescent="0.3">
      <c r="A255" t="s">
        <v>316</v>
      </c>
      <c r="B255" s="1">
        <v>46029</v>
      </c>
      <c r="C255" t="s">
        <v>109</v>
      </c>
      <c r="D255" t="s">
        <v>46</v>
      </c>
      <c r="E255" t="s">
        <v>58</v>
      </c>
      <c r="F255" t="s">
        <v>22</v>
      </c>
      <c r="G255" t="s">
        <v>23</v>
      </c>
      <c r="H255">
        <v>134</v>
      </c>
      <c r="I255">
        <v>40</v>
      </c>
      <c r="J255">
        <v>47</v>
      </c>
      <c r="K255">
        <v>127</v>
      </c>
      <c r="L255">
        <v>94</v>
      </c>
      <c r="M255" s="2">
        <v>2945.86</v>
      </c>
      <c r="N255">
        <v>10</v>
      </c>
      <c r="O255">
        <v>3</v>
      </c>
      <c r="P255" t="s">
        <v>33</v>
      </c>
      <c r="Q255" t="s">
        <v>34</v>
      </c>
      <c r="R255" t="s">
        <v>26</v>
      </c>
      <c r="S255" s="2">
        <f t="shared" si="3"/>
        <v>374124.22000000003</v>
      </c>
    </row>
    <row r="256" spans="1:19" x14ac:dyDescent="0.3">
      <c r="A256" t="s">
        <v>317</v>
      </c>
      <c r="B256" s="1">
        <v>46237</v>
      </c>
      <c r="C256" t="s">
        <v>62</v>
      </c>
      <c r="D256" t="s">
        <v>29</v>
      </c>
      <c r="E256" t="s">
        <v>58</v>
      </c>
      <c r="F256" t="s">
        <v>37</v>
      </c>
      <c r="G256" t="s">
        <v>38</v>
      </c>
      <c r="H256">
        <v>138</v>
      </c>
      <c r="I256">
        <v>39</v>
      </c>
      <c r="J256">
        <v>37</v>
      </c>
      <c r="K256">
        <v>140</v>
      </c>
      <c r="L256">
        <v>99</v>
      </c>
      <c r="M256" s="2">
        <v>634.95000000000005</v>
      </c>
      <c r="N256">
        <v>8</v>
      </c>
      <c r="O256">
        <v>0</v>
      </c>
      <c r="P256" t="s">
        <v>33</v>
      </c>
      <c r="Q256" t="s">
        <v>34</v>
      </c>
      <c r="R256" t="s">
        <v>59</v>
      </c>
      <c r="S256" s="2">
        <f t="shared" si="3"/>
        <v>88893</v>
      </c>
    </row>
    <row r="257" spans="1:19" x14ac:dyDescent="0.3">
      <c r="A257" t="s">
        <v>318</v>
      </c>
      <c r="B257" s="1">
        <v>46137</v>
      </c>
      <c r="C257" t="s">
        <v>83</v>
      </c>
      <c r="D257" t="s">
        <v>29</v>
      </c>
      <c r="E257" t="s">
        <v>42</v>
      </c>
      <c r="F257" t="s">
        <v>1582</v>
      </c>
      <c r="G257" t="s">
        <v>1583</v>
      </c>
      <c r="H257">
        <v>121</v>
      </c>
      <c r="I257">
        <v>54</v>
      </c>
      <c r="J257">
        <v>24</v>
      </c>
      <c r="K257">
        <v>151</v>
      </c>
      <c r="L257">
        <v>81</v>
      </c>
      <c r="M257" s="2">
        <v>1559.3</v>
      </c>
      <c r="N257">
        <v>6</v>
      </c>
      <c r="O257">
        <v>0</v>
      </c>
      <c r="P257" t="s">
        <v>33</v>
      </c>
      <c r="Q257" t="s">
        <v>34</v>
      </c>
      <c r="R257" t="s">
        <v>26</v>
      </c>
      <c r="S257" s="2">
        <f t="shared" si="3"/>
        <v>235454.3</v>
      </c>
    </row>
    <row r="258" spans="1:19" x14ac:dyDescent="0.3">
      <c r="A258" t="s">
        <v>319</v>
      </c>
      <c r="B258" s="1">
        <v>46211</v>
      </c>
      <c r="C258" t="s">
        <v>77</v>
      </c>
      <c r="D258" t="s">
        <v>53</v>
      </c>
      <c r="E258" t="s">
        <v>58</v>
      </c>
      <c r="F258" t="s">
        <v>31</v>
      </c>
      <c r="G258" t="s">
        <v>32</v>
      </c>
      <c r="H258">
        <v>159</v>
      </c>
      <c r="I258">
        <v>130</v>
      </c>
      <c r="J258">
        <v>51</v>
      </c>
      <c r="K258">
        <v>238</v>
      </c>
      <c r="L258">
        <v>94</v>
      </c>
      <c r="M258" s="2">
        <v>534.48</v>
      </c>
      <c r="N258">
        <v>4</v>
      </c>
      <c r="O258">
        <v>0</v>
      </c>
      <c r="P258" t="s">
        <v>24</v>
      </c>
      <c r="Q258" t="s">
        <v>47</v>
      </c>
      <c r="R258" t="s">
        <v>26</v>
      </c>
      <c r="S258" s="2">
        <f t="shared" ref="S258:S321" si="4">K258*M258</f>
        <v>127206.24</v>
      </c>
    </row>
    <row r="259" spans="1:19" x14ac:dyDescent="0.3">
      <c r="A259" t="s">
        <v>320</v>
      </c>
      <c r="B259" s="1">
        <v>46302</v>
      </c>
      <c r="C259" t="s">
        <v>83</v>
      </c>
      <c r="D259" t="s">
        <v>29</v>
      </c>
      <c r="E259" t="s">
        <v>30</v>
      </c>
      <c r="F259" t="s">
        <v>37</v>
      </c>
      <c r="G259" t="s">
        <v>38</v>
      </c>
      <c r="H259">
        <v>199</v>
      </c>
      <c r="I259">
        <v>51</v>
      </c>
      <c r="J259">
        <v>74</v>
      </c>
      <c r="K259">
        <v>176</v>
      </c>
      <c r="L259">
        <v>68</v>
      </c>
      <c r="M259" s="2">
        <v>1629.34</v>
      </c>
      <c r="N259">
        <v>5</v>
      </c>
      <c r="O259">
        <v>0</v>
      </c>
      <c r="P259" t="s">
        <v>33</v>
      </c>
      <c r="Q259" t="s">
        <v>47</v>
      </c>
      <c r="R259" t="s">
        <v>59</v>
      </c>
      <c r="S259" s="2">
        <f t="shared" si="4"/>
        <v>286763.83999999997</v>
      </c>
    </row>
    <row r="260" spans="1:19" x14ac:dyDescent="0.3">
      <c r="A260" t="s">
        <v>321</v>
      </c>
      <c r="B260" s="1">
        <v>46359</v>
      </c>
      <c r="C260" t="s">
        <v>28</v>
      </c>
      <c r="D260" t="s">
        <v>29</v>
      </c>
      <c r="E260" t="s">
        <v>75</v>
      </c>
      <c r="F260" t="s">
        <v>1582</v>
      </c>
      <c r="G260" t="s">
        <v>1583</v>
      </c>
      <c r="H260">
        <v>46</v>
      </c>
      <c r="I260">
        <v>49</v>
      </c>
      <c r="J260">
        <v>84</v>
      </c>
      <c r="K260">
        <v>11</v>
      </c>
      <c r="L260">
        <v>67</v>
      </c>
      <c r="M260" s="2">
        <v>1335.34</v>
      </c>
      <c r="N260">
        <v>7</v>
      </c>
      <c r="O260">
        <v>6</v>
      </c>
      <c r="P260" t="s">
        <v>33</v>
      </c>
      <c r="Q260" t="s">
        <v>25</v>
      </c>
      <c r="R260" t="s">
        <v>26</v>
      </c>
      <c r="S260" s="2">
        <f t="shared" si="4"/>
        <v>14688.74</v>
      </c>
    </row>
    <row r="261" spans="1:19" x14ac:dyDescent="0.3">
      <c r="A261" t="s">
        <v>322</v>
      </c>
      <c r="B261" s="1">
        <v>46141</v>
      </c>
      <c r="C261" t="s">
        <v>49</v>
      </c>
      <c r="D261" t="s">
        <v>50</v>
      </c>
      <c r="E261" t="s">
        <v>75</v>
      </c>
      <c r="F261" t="s">
        <v>22</v>
      </c>
      <c r="G261" t="s">
        <v>23</v>
      </c>
      <c r="H261">
        <v>175</v>
      </c>
      <c r="I261">
        <v>50</v>
      </c>
      <c r="J261">
        <v>68</v>
      </c>
      <c r="K261">
        <v>157</v>
      </c>
      <c r="L261">
        <v>76</v>
      </c>
      <c r="M261" s="2">
        <v>1419.91</v>
      </c>
      <c r="N261">
        <v>3</v>
      </c>
      <c r="O261">
        <v>0</v>
      </c>
      <c r="P261" t="s">
        <v>33</v>
      </c>
      <c r="Q261" t="s">
        <v>34</v>
      </c>
      <c r="R261" t="s">
        <v>26</v>
      </c>
      <c r="S261" s="2">
        <f t="shared" si="4"/>
        <v>222925.87000000002</v>
      </c>
    </row>
    <row r="262" spans="1:19" x14ac:dyDescent="0.3">
      <c r="A262" t="s">
        <v>323</v>
      </c>
      <c r="B262" s="1">
        <v>46054</v>
      </c>
      <c r="C262" t="s">
        <v>68</v>
      </c>
      <c r="D262" t="s">
        <v>53</v>
      </c>
      <c r="E262" t="s">
        <v>21</v>
      </c>
      <c r="F262" t="s">
        <v>1582</v>
      </c>
      <c r="G262" t="s">
        <v>1583</v>
      </c>
      <c r="H262">
        <v>61</v>
      </c>
      <c r="I262">
        <v>94</v>
      </c>
      <c r="J262">
        <v>27</v>
      </c>
      <c r="K262">
        <v>128</v>
      </c>
      <c r="L262">
        <v>77</v>
      </c>
      <c r="M262" s="2">
        <v>556.02</v>
      </c>
      <c r="N262">
        <v>8</v>
      </c>
      <c r="O262">
        <v>0</v>
      </c>
      <c r="P262" t="s">
        <v>33</v>
      </c>
      <c r="Q262" t="s">
        <v>34</v>
      </c>
      <c r="R262" t="s">
        <v>26</v>
      </c>
      <c r="S262" s="2">
        <f t="shared" si="4"/>
        <v>71170.559999999998</v>
      </c>
    </row>
    <row r="263" spans="1:19" x14ac:dyDescent="0.3">
      <c r="A263" t="s">
        <v>324</v>
      </c>
      <c r="B263" s="1">
        <v>46126</v>
      </c>
      <c r="C263" t="s">
        <v>72</v>
      </c>
      <c r="D263" t="s">
        <v>50</v>
      </c>
      <c r="E263" t="s">
        <v>42</v>
      </c>
      <c r="F263" t="s">
        <v>37</v>
      </c>
      <c r="G263" t="s">
        <v>38</v>
      </c>
      <c r="H263">
        <v>106</v>
      </c>
      <c r="I263">
        <v>128</v>
      </c>
      <c r="J263">
        <v>55</v>
      </c>
      <c r="K263">
        <v>179</v>
      </c>
      <c r="L263">
        <v>96</v>
      </c>
      <c r="M263" s="2">
        <v>2152.9</v>
      </c>
      <c r="N263">
        <v>12</v>
      </c>
      <c r="O263">
        <v>0</v>
      </c>
      <c r="P263" t="s">
        <v>24</v>
      </c>
      <c r="Q263" t="s">
        <v>34</v>
      </c>
      <c r="R263" t="s">
        <v>26</v>
      </c>
      <c r="S263" s="2">
        <f t="shared" si="4"/>
        <v>385369.10000000003</v>
      </c>
    </row>
    <row r="264" spans="1:19" x14ac:dyDescent="0.3">
      <c r="A264" t="s">
        <v>325</v>
      </c>
      <c r="B264" s="1">
        <v>46254</v>
      </c>
      <c r="C264" t="s">
        <v>62</v>
      </c>
      <c r="D264" t="s">
        <v>29</v>
      </c>
      <c r="E264" t="s">
        <v>42</v>
      </c>
      <c r="F264" t="s">
        <v>31</v>
      </c>
      <c r="G264" t="s">
        <v>32</v>
      </c>
      <c r="H264">
        <v>82</v>
      </c>
      <c r="I264">
        <v>77</v>
      </c>
      <c r="J264">
        <v>74</v>
      </c>
      <c r="K264">
        <v>85</v>
      </c>
      <c r="L264">
        <v>65</v>
      </c>
      <c r="M264" s="2">
        <v>686.91</v>
      </c>
      <c r="N264">
        <v>6</v>
      </c>
      <c r="O264">
        <v>0</v>
      </c>
      <c r="P264" t="s">
        <v>33</v>
      </c>
      <c r="Q264" t="s">
        <v>34</v>
      </c>
      <c r="R264" t="s">
        <v>59</v>
      </c>
      <c r="S264" s="2">
        <f t="shared" si="4"/>
        <v>58387.35</v>
      </c>
    </row>
    <row r="265" spans="1:19" x14ac:dyDescent="0.3">
      <c r="A265" t="s">
        <v>326</v>
      </c>
      <c r="B265" s="1">
        <v>46190</v>
      </c>
      <c r="C265" t="s">
        <v>146</v>
      </c>
      <c r="D265" t="s">
        <v>46</v>
      </c>
      <c r="E265" t="s">
        <v>21</v>
      </c>
      <c r="F265" t="s">
        <v>31</v>
      </c>
      <c r="G265" t="s">
        <v>32</v>
      </c>
      <c r="H265">
        <v>63</v>
      </c>
      <c r="I265">
        <v>40</v>
      </c>
      <c r="J265">
        <v>102</v>
      </c>
      <c r="K265">
        <v>1</v>
      </c>
      <c r="L265">
        <v>64</v>
      </c>
      <c r="M265" s="2">
        <v>1597.92</v>
      </c>
      <c r="N265">
        <v>7</v>
      </c>
      <c r="O265">
        <v>4</v>
      </c>
      <c r="P265" t="s">
        <v>33</v>
      </c>
      <c r="Q265" t="s">
        <v>25</v>
      </c>
      <c r="R265" t="s">
        <v>43</v>
      </c>
      <c r="S265" s="2">
        <f t="shared" si="4"/>
        <v>1597.92</v>
      </c>
    </row>
    <row r="266" spans="1:19" x14ac:dyDescent="0.3">
      <c r="A266" t="s">
        <v>327</v>
      </c>
      <c r="B266" s="1">
        <v>46230</v>
      </c>
      <c r="C266" t="s">
        <v>62</v>
      </c>
      <c r="D266" t="s">
        <v>29</v>
      </c>
      <c r="E266" t="s">
        <v>42</v>
      </c>
      <c r="F266" t="s">
        <v>37</v>
      </c>
      <c r="G266" t="s">
        <v>38</v>
      </c>
      <c r="H266">
        <v>141</v>
      </c>
      <c r="I266">
        <v>85</v>
      </c>
      <c r="J266">
        <v>21</v>
      </c>
      <c r="K266">
        <v>205</v>
      </c>
      <c r="L266">
        <v>88</v>
      </c>
      <c r="M266" s="2">
        <v>671.84</v>
      </c>
      <c r="N266">
        <v>8</v>
      </c>
      <c r="O266">
        <v>0</v>
      </c>
      <c r="P266" t="s">
        <v>33</v>
      </c>
      <c r="Q266" t="s">
        <v>47</v>
      </c>
      <c r="R266" t="s">
        <v>26</v>
      </c>
      <c r="S266" s="2">
        <f t="shared" si="4"/>
        <v>137727.20000000001</v>
      </c>
    </row>
    <row r="267" spans="1:19" x14ac:dyDescent="0.3">
      <c r="A267" t="s">
        <v>328</v>
      </c>
      <c r="B267" s="1">
        <v>46124</v>
      </c>
      <c r="C267" t="s">
        <v>72</v>
      </c>
      <c r="D267" t="s">
        <v>50</v>
      </c>
      <c r="E267" t="s">
        <v>75</v>
      </c>
      <c r="F267" t="s">
        <v>1582</v>
      </c>
      <c r="G267" t="s">
        <v>1583</v>
      </c>
      <c r="H267">
        <v>66</v>
      </c>
      <c r="I267">
        <v>122</v>
      </c>
      <c r="J267">
        <v>32</v>
      </c>
      <c r="K267">
        <v>156</v>
      </c>
      <c r="L267">
        <v>52</v>
      </c>
      <c r="M267" s="2">
        <v>1985.26</v>
      </c>
      <c r="N267">
        <v>8</v>
      </c>
      <c r="O267">
        <v>0</v>
      </c>
      <c r="P267" t="s">
        <v>33</v>
      </c>
      <c r="Q267" t="s">
        <v>47</v>
      </c>
      <c r="R267" t="s">
        <v>26</v>
      </c>
      <c r="S267" s="2">
        <f t="shared" si="4"/>
        <v>309700.56</v>
      </c>
    </row>
    <row r="268" spans="1:19" x14ac:dyDescent="0.3">
      <c r="A268" t="s">
        <v>329</v>
      </c>
      <c r="B268" s="1">
        <v>46192</v>
      </c>
      <c r="C268" t="s">
        <v>49</v>
      </c>
      <c r="D268" t="s">
        <v>50</v>
      </c>
      <c r="E268" t="s">
        <v>75</v>
      </c>
      <c r="F268" t="s">
        <v>37</v>
      </c>
      <c r="G268" t="s">
        <v>38</v>
      </c>
      <c r="H268">
        <v>59</v>
      </c>
      <c r="I268">
        <v>22</v>
      </c>
      <c r="J268">
        <v>23</v>
      </c>
      <c r="K268">
        <v>58</v>
      </c>
      <c r="L268">
        <v>57</v>
      </c>
      <c r="M268" s="2">
        <v>1404.65</v>
      </c>
      <c r="N268">
        <v>5</v>
      </c>
      <c r="O268">
        <v>0</v>
      </c>
      <c r="P268" t="s">
        <v>33</v>
      </c>
      <c r="Q268" t="s">
        <v>34</v>
      </c>
      <c r="R268" t="s">
        <v>26</v>
      </c>
      <c r="S268" s="2">
        <f t="shared" si="4"/>
        <v>81469.700000000012</v>
      </c>
    </row>
    <row r="269" spans="1:19" x14ac:dyDescent="0.3">
      <c r="A269" t="s">
        <v>330</v>
      </c>
      <c r="B269" s="1">
        <v>46111</v>
      </c>
      <c r="C269" t="s">
        <v>19</v>
      </c>
      <c r="D269" t="s">
        <v>20</v>
      </c>
      <c r="E269" t="s">
        <v>58</v>
      </c>
      <c r="F269" t="s">
        <v>31</v>
      </c>
      <c r="G269" t="s">
        <v>32</v>
      </c>
      <c r="H269">
        <v>83</v>
      </c>
      <c r="I269">
        <v>93</v>
      </c>
      <c r="J269">
        <v>70</v>
      </c>
      <c r="K269">
        <v>106</v>
      </c>
      <c r="L269">
        <v>97</v>
      </c>
      <c r="M269" s="2">
        <v>1880.8</v>
      </c>
      <c r="N269">
        <v>5</v>
      </c>
      <c r="O269">
        <v>0</v>
      </c>
      <c r="P269" t="s">
        <v>24</v>
      </c>
      <c r="Q269" t="s">
        <v>34</v>
      </c>
      <c r="R269" t="s">
        <v>59</v>
      </c>
      <c r="S269" s="2">
        <f t="shared" si="4"/>
        <v>199364.8</v>
      </c>
    </row>
    <row r="270" spans="1:19" x14ac:dyDescent="0.3">
      <c r="A270" t="s">
        <v>331</v>
      </c>
      <c r="B270" s="1">
        <v>46233</v>
      </c>
      <c r="C270" t="s">
        <v>80</v>
      </c>
      <c r="D270" t="s">
        <v>46</v>
      </c>
      <c r="E270" t="s">
        <v>42</v>
      </c>
      <c r="F270" t="s">
        <v>37</v>
      </c>
      <c r="G270" t="s">
        <v>38</v>
      </c>
      <c r="H270">
        <v>111</v>
      </c>
      <c r="I270">
        <v>77</v>
      </c>
      <c r="J270">
        <v>34</v>
      </c>
      <c r="K270">
        <v>154</v>
      </c>
      <c r="L270">
        <v>47</v>
      </c>
      <c r="M270" s="2">
        <v>1125.0999999999999</v>
      </c>
      <c r="N270">
        <v>6</v>
      </c>
      <c r="O270">
        <v>0</v>
      </c>
      <c r="P270" t="s">
        <v>33</v>
      </c>
      <c r="Q270" t="s">
        <v>47</v>
      </c>
      <c r="R270" t="s">
        <v>26</v>
      </c>
      <c r="S270" s="2">
        <f t="shared" si="4"/>
        <v>173265.4</v>
      </c>
    </row>
    <row r="271" spans="1:19" x14ac:dyDescent="0.3">
      <c r="A271" t="s">
        <v>332</v>
      </c>
      <c r="B271" s="1">
        <v>46301</v>
      </c>
      <c r="C271" t="s">
        <v>68</v>
      </c>
      <c r="D271" t="s">
        <v>53</v>
      </c>
      <c r="E271" t="s">
        <v>75</v>
      </c>
      <c r="F271" t="s">
        <v>31</v>
      </c>
      <c r="G271" t="s">
        <v>32</v>
      </c>
      <c r="H271">
        <v>111</v>
      </c>
      <c r="I271">
        <v>69</v>
      </c>
      <c r="J271">
        <v>32</v>
      </c>
      <c r="K271">
        <v>148</v>
      </c>
      <c r="L271">
        <v>71</v>
      </c>
      <c r="M271" s="2">
        <v>563.92999999999995</v>
      </c>
      <c r="N271">
        <v>8</v>
      </c>
      <c r="O271">
        <v>0</v>
      </c>
      <c r="P271" t="s">
        <v>33</v>
      </c>
      <c r="Q271" t="s">
        <v>34</v>
      </c>
      <c r="R271" t="s">
        <v>26</v>
      </c>
      <c r="S271" s="2">
        <f t="shared" si="4"/>
        <v>83461.64</v>
      </c>
    </row>
    <row r="272" spans="1:19" x14ac:dyDescent="0.3">
      <c r="A272" t="s">
        <v>333</v>
      </c>
      <c r="B272" s="1">
        <v>46036</v>
      </c>
      <c r="C272" t="s">
        <v>40</v>
      </c>
      <c r="D272" t="s">
        <v>20</v>
      </c>
      <c r="E272" t="s">
        <v>21</v>
      </c>
      <c r="F272" t="s">
        <v>1582</v>
      </c>
      <c r="G272" t="s">
        <v>1583</v>
      </c>
      <c r="H272">
        <v>179</v>
      </c>
      <c r="I272">
        <v>120</v>
      </c>
      <c r="J272">
        <v>77</v>
      </c>
      <c r="K272">
        <v>222</v>
      </c>
      <c r="L272">
        <v>67</v>
      </c>
      <c r="M272" s="2">
        <v>974.28</v>
      </c>
      <c r="N272">
        <v>6</v>
      </c>
      <c r="O272">
        <v>0</v>
      </c>
      <c r="P272" t="s">
        <v>33</v>
      </c>
      <c r="Q272" t="s">
        <v>47</v>
      </c>
      <c r="R272" t="s">
        <v>26</v>
      </c>
      <c r="S272" s="2">
        <f t="shared" si="4"/>
        <v>216290.16</v>
      </c>
    </row>
    <row r="273" spans="1:19" x14ac:dyDescent="0.3">
      <c r="A273" t="s">
        <v>334</v>
      </c>
      <c r="B273" s="1">
        <v>46074</v>
      </c>
      <c r="C273" t="s">
        <v>80</v>
      </c>
      <c r="D273" t="s">
        <v>46</v>
      </c>
      <c r="E273" t="s">
        <v>75</v>
      </c>
      <c r="F273" t="s">
        <v>37</v>
      </c>
      <c r="G273" t="s">
        <v>38</v>
      </c>
      <c r="H273">
        <v>54</v>
      </c>
      <c r="I273">
        <v>123</v>
      </c>
      <c r="J273">
        <v>75</v>
      </c>
      <c r="K273">
        <v>102</v>
      </c>
      <c r="L273">
        <v>78</v>
      </c>
      <c r="M273" s="2">
        <v>1068.6400000000001</v>
      </c>
      <c r="N273">
        <v>6</v>
      </c>
      <c r="O273">
        <v>0</v>
      </c>
      <c r="P273" t="s">
        <v>33</v>
      </c>
      <c r="Q273" t="s">
        <v>34</v>
      </c>
      <c r="R273" t="s">
        <v>81</v>
      </c>
      <c r="S273" s="2">
        <f t="shared" si="4"/>
        <v>109001.28000000001</v>
      </c>
    </row>
    <row r="274" spans="1:19" x14ac:dyDescent="0.3">
      <c r="A274" t="s">
        <v>335</v>
      </c>
      <c r="B274" s="1">
        <v>46380</v>
      </c>
      <c r="C274" t="s">
        <v>28</v>
      </c>
      <c r="D274" t="s">
        <v>29</v>
      </c>
      <c r="E274" t="s">
        <v>21</v>
      </c>
      <c r="F274" t="s">
        <v>31</v>
      </c>
      <c r="G274" t="s">
        <v>32</v>
      </c>
      <c r="H274">
        <v>96</v>
      </c>
      <c r="I274">
        <v>93</v>
      </c>
      <c r="J274">
        <v>64</v>
      </c>
      <c r="K274">
        <v>125</v>
      </c>
      <c r="L274">
        <v>67</v>
      </c>
      <c r="M274" s="2">
        <v>1413.15</v>
      </c>
      <c r="N274">
        <v>10</v>
      </c>
      <c r="O274">
        <v>0</v>
      </c>
      <c r="P274" t="s">
        <v>24</v>
      </c>
      <c r="Q274" t="s">
        <v>34</v>
      </c>
      <c r="R274" t="s">
        <v>43</v>
      </c>
      <c r="S274" s="2">
        <f t="shared" si="4"/>
        <v>176643.75</v>
      </c>
    </row>
    <row r="275" spans="1:19" x14ac:dyDescent="0.3">
      <c r="A275" t="s">
        <v>336</v>
      </c>
      <c r="B275" s="1">
        <v>46331</v>
      </c>
      <c r="C275" t="s">
        <v>109</v>
      </c>
      <c r="D275" t="s">
        <v>46</v>
      </c>
      <c r="E275" t="s">
        <v>21</v>
      </c>
      <c r="F275" t="s">
        <v>22</v>
      </c>
      <c r="G275" t="s">
        <v>23</v>
      </c>
      <c r="H275">
        <v>184</v>
      </c>
      <c r="I275">
        <v>44</v>
      </c>
      <c r="J275">
        <v>78</v>
      </c>
      <c r="K275">
        <v>150</v>
      </c>
      <c r="L275">
        <v>79</v>
      </c>
      <c r="M275" s="2">
        <v>3077.79</v>
      </c>
      <c r="N275">
        <v>5</v>
      </c>
      <c r="O275">
        <v>0</v>
      </c>
      <c r="P275" t="s">
        <v>24</v>
      </c>
      <c r="Q275" t="s">
        <v>34</v>
      </c>
      <c r="R275" t="s">
        <v>26</v>
      </c>
      <c r="S275" s="2">
        <f t="shared" si="4"/>
        <v>461668.5</v>
      </c>
    </row>
    <row r="276" spans="1:19" x14ac:dyDescent="0.3">
      <c r="A276" t="s">
        <v>337</v>
      </c>
      <c r="B276" s="1">
        <v>46098</v>
      </c>
      <c r="C276" t="s">
        <v>62</v>
      </c>
      <c r="D276" t="s">
        <v>29</v>
      </c>
      <c r="E276" t="s">
        <v>30</v>
      </c>
      <c r="F276" t="s">
        <v>1582</v>
      </c>
      <c r="G276" t="s">
        <v>1583</v>
      </c>
      <c r="H276">
        <v>40</v>
      </c>
      <c r="I276">
        <v>62</v>
      </c>
      <c r="J276">
        <v>93</v>
      </c>
      <c r="K276">
        <v>9</v>
      </c>
      <c r="L276">
        <v>57</v>
      </c>
      <c r="M276" s="2">
        <v>742.9</v>
      </c>
      <c r="N276">
        <v>4</v>
      </c>
      <c r="O276">
        <v>6</v>
      </c>
      <c r="P276" t="s">
        <v>33</v>
      </c>
      <c r="Q276" t="s">
        <v>25</v>
      </c>
      <c r="R276" t="s">
        <v>26</v>
      </c>
      <c r="S276" s="2">
        <f t="shared" si="4"/>
        <v>6686.0999999999995</v>
      </c>
    </row>
    <row r="277" spans="1:19" x14ac:dyDescent="0.3">
      <c r="A277" t="s">
        <v>338</v>
      </c>
      <c r="B277" s="1">
        <v>46103</v>
      </c>
      <c r="C277" t="s">
        <v>87</v>
      </c>
      <c r="D277" t="s">
        <v>53</v>
      </c>
      <c r="E277" t="s">
        <v>75</v>
      </c>
      <c r="F277" t="s">
        <v>37</v>
      </c>
      <c r="G277" t="s">
        <v>38</v>
      </c>
      <c r="H277">
        <v>58</v>
      </c>
      <c r="I277">
        <v>67</v>
      </c>
      <c r="J277">
        <v>105</v>
      </c>
      <c r="K277">
        <v>20</v>
      </c>
      <c r="L277">
        <v>87</v>
      </c>
      <c r="M277" s="2">
        <v>440.6</v>
      </c>
      <c r="N277">
        <v>2</v>
      </c>
      <c r="O277">
        <v>6</v>
      </c>
      <c r="P277" t="s">
        <v>33</v>
      </c>
      <c r="Q277" t="s">
        <v>25</v>
      </c>
      <c r="R277" t="s">
        <v>26</v>
      </c>
      <c r="S277" s="2">
        <f t="shared" si="4"/>
        <v>8812</v>
      </c>
    </row>
    <row r="278" spans="1:19" x14ac:dyDescent="0.3">
      <c r="A278" t="s">
        <v>339</v>
      </c>
      <c r="B278" s="1">
        <v>46180</v>
      </c>
      <c r="C278" t="s">
        <v>55</v>
      </c>
      <c r="D278" t="s">
        <v>50</v>
      </c>
      <c r="E278" t="s">
        <v>21</v>
      </c>
      <c r="F278" t="s">
        <v>22</v>
      </c>
      <c r="G278" t="s">
        <v>23</v>
      </c>
      <c r="H278">
        <v>183</v>
      </c>
      <c r="I278">
        <v>108</v>
      </c>
      <c r="J278">
        <v>93</v>
      </c>
      <c r="K278">
        <v>198</v>
      </c>
      <c r="L278">
        <v>95</v>
      </c>
      <c r="M278" s="2">
        <v>971.37</v>
      </c>
      <c r="N278">
        <v>7</v>
      </c>
      <c r="O278">
        <v>0</v>
      </c>
      <c r="P278" t="s">
        <v>33</v>
      </c>
      <c r="Q278" t="s">
        <v>34</v>
      </c>
      <c r="R278" t="s">
        <v>26</v>
      </c>
      <c r="S278" s="2">
        <f t="shared" si="4"/>
        <v>192331.26</v>
      </c>
    </row>
    <row r="279" spans="1:19" x14ac:dyDescent="0.3">
      <c r="A279" t="s">
        <v>340</v>
      </c>
      <c r="B279" s="1">
        <v>46336</v>
      </c>
      <c r="C279" t="s">
        <v>80</v>
      </c>
      <c r="D279" t="s">
        <v>46</v>
      </c>
      <c r="E279" t="s">
        <v>42</v>
      </c>
      <c r="F279" t="s">
        <v>31</v>
      </c>
      <c r="G279" t="s">
        <v>32</v>
      </c>
      <c r="H279">
        <v>219</v>
      </c>
      <c r="I279">
        <v>93</v>
      </c>
      <c r="J279">
        <v>65</v>
      </c>
      <c r="K279">
        <v>247</v>
      </c>
      <c r="L279">
        <v>99</v>
      </c>
      <c r="M279" s="2">
        <v>1208.74</v>
      </c>
      <c r="N279">
        <v>6</v>
      </c>
      <c r="O279">
        <v>0</v>
      </c>
      <c r="P279" t="s">
        <v>24</v>
      </c>
      <c r="Q279" t="s">
        <v>47</v>
      </c>
      <c r="R279" t="s">
        <v>26</v>
      </c>
      <c r="S279" s="2">
        <f t="shared" si="4"/>
        <v>298558.78000000003</v>
      </c>
    </row>
    <row r="280" spans="1:19" x14ac:dyDescent="0.3">
      <c r="A280" t="s">
        <v>341</v>
      </c>
      <c r="B280" s="1">
        <v>46068</v>
      </c>
      <c r="C280" t="s">
        <v>62</v>
      </c>
      <c r="D280" t="s">
        <v>29</v>
      </c>
      <c r="E280" t="s">
        <v>58</v>
      </c>
      <c r="F280" t="s">
        <v>22</v>
      </c>
      <c r="G280" t="s">
        <v>23</v>
      </c>
      <c r="H280">
        <v>124</v>
      </c>
      <c r="I280">
        <v>115</v>
      </c>
      <c r="J280">
        <v>24</v>
      </c>
      <c r="K280">
        <v>215</v>
      </c>
      <c r="L280">
        <v>60</v>
      </c>
      <c r="M280" s="2">
        <v>678.55</v>
      </c>
      <c r="N280">
        <v>4</v>
      </c>
      <c r="O280">
        <v>0</v>
      </c>
      <c r="P280" t="s">
        <v>24</v>
      </c>
      <c r="Q280" t="s">
        <v>47</v>
      </c>
      <c r="R280" t="s">
        <v>43</v>
      </c>
      <c r="S280" s="2">
        <f t="shared" si="4"/>
        <v>145888.25</v>
      </c>
    </row>
    <row r="281" spans="1:19" x14ac:dyDescent="0.3">
      <c r="A281" t="s">
        <v>342</v>
      </c>
      <c r="B281" s="1">
        <v>46247</v>
      </c>
      <c r="C281" t="s">
        <v>146</v>
      </c>
      <c r="D281" t="s">
        <v>46</v>
      </c>
      <c r="E281" t="s">
        <v>75</v>
      </c>
      <c r="F281" t="s">
        <v>37</v>
      </c>
      <c r="G281" t="s">
        <v>38</v>
      </c>
      <c r="H281">
        <v>93</v>
      </c>
      <c r="I281">
        <v>51</v>
      </c>
      <c r="J281">
        <v>103</v>
      </c>
      <c r="K281">
        <v>41</v>
      </c>
      <c r="L281">
        <v>49</v>
      </c>
      <c r="M281" s="2">
        <v>1455.14</v>
      </c>
      <c r="N281">
        <v>8</v>
      </c>
      <c r="O281">
        <v>1</v>
      </c>
      <c r="P281" t="s">
        <v>24</v>
      </c>
      <c r="Q281" t="s">
        <v>34</v>
      </c>
      <c r="R281" t="s">
        <v>26</v>
      </c>
      <c r="S281" s="2">
        <f t="shared" si="4"/>
        <v>59660.740000000005</v>
      </c>
    </row>
    <row r="282" spans="1:19" x14ac:dyDescent="0.3">
      <c r="A282" t="s">
        <v>343</v>
      </c>
      <c r="B282" s="1">
        <v>46374</v>
      </c>
      <c r="C282" t="s">
        <v>72</v>
      </c>
      <c r="D282" t="s">
        <v>50</v>
      </c>
      <c r="E282" t="s">
        <v>58</v>
      </c>
      <c r="F282" t="s">
        <v>1582</v>
      </c>
      <c r="G282" t="s">
        <v>1583</v>
      </c>
      <c r="H282">
        <v>136</v>
      </c>
      <c r="I282">
        <v>64</v>
      </c>
      <c r="J282">
        <v>84</v>
      </c>
      <c r="K282">
        <v>116</v>
      </c>
      <c r="L282">
        <v>69</v>
      </c>
      <c r="M282" s="2">
        <v>2024.63</v>
      </c>
      <c r="N282">
        <v>5</v>
      </c>
      <c r="O282">
        <v>0</v>
      </c>
      <c r="P282" t="s">
        <v>33</v>
      </c>
      <c r="Q282" t="s">
        <v>34</v>
      </c>
      <c r="R282" t="s">
        <v>26</v>
      </c>
      <c r="S282" s="2">
        <f t="shared" si="4"/>
        <v>234857.08000000002</v>
      </c>
    </row>
    <row r="283" spans="1:19" x14ac:dyDescent="0.3">
      <c r="A283" t="s">
        <v>344</v>
      </c>
      <c r="B283" s="1">
        <v>46215</v>
      </c>
      <c r="C283" t="s">
        <v>28</v>
      </c>
      <c r="D283" t="s">
        <v>29</v>
      </c>
      <c r="E283" t="s">
        <v>58</v>
      </c>
      <c r="F283" t="s">
        <v>31</v>
      </c>
      <c r="G283" t="s">
        <v>32</v>
      </c>
      <c r="H283">
        <v>48</v>
      </c>
      <c r="I283">
        <v>57</v>
      </c>
      <c r="J283">
        <v>17</v>
      </c>
      <c r="K283">
        <v>88</v>
      </c>
      <c r="L283">
        <v>65</v>
      </c>
      <c r="M283" s="2">
        <v>1237.8900000000001</v>
      </c>
      <c r="N283">
        <v>2</v>
      </c>
      <c r="O283">
        <v>0</v>
      </c>
      <c r="P283" t="s">
        <v>24</v>
      </c>
      <c r="Q283" t="s">
        <v>34</v>
      </c>
      <c r="R283" t="s">
        <v>26</v>
      </c>
      <c r="S283" s="2">
        <f t="shared" si="4"/>
        <v>108934.32</v>
      </c>
    </row>
    <row r="284" spans="1:19" x14ac:dyDescent="0.3">
      <c r="A284" t="s">
        <v>345</v>
      </c>
      <c r="B284" s="1">
        <v>46245</v>
      </c>
      <c r="C284" t="s">
        <v>62</v>
      </c>
      <c r="D284" t="s">
        <v>29</v>
      </c>
      <c r="E284" t="s">
        <v>30</v>
      </c>
      <c r="F284" t="s">
        <v>31</v>
      </c>
      <c r="G284" t="s">
        <v>32</v>
      </c>
      <c r="H284">
        <v>126</v>
      </c>
      <c r="I284">
        <v>96</v>
      </c>
      <c r="J284">
        <v>93</v>
      </c>
      <c r="K284">
        <v>129</v>
      </c>
      <c r="L284">
        <v>75</v>
      </c>
      <c r="M284" s="2">
        <v>728.63</v>
      </c>
      <c r="N284">
        <v>5</v>
      </c>
      <c r="O284">
        <v>0</v>
      </c>
      <c r="P284" t="s">
        <v>33</v>
      </c>
      <c r="Q284" t="s">
        <v>34</v>
      </c>
      <c r="R284" t="s">
        <v>26</v>
      </c>
      <c r="S284" s="2">
        <f t="shared" si="4"/>
        <v>93993.27</v>
      </c>
    </row>
    <row r="285" spans="1:19" x14ac:dyDescent="0.3">
      <c r="A285" t="s">
        <v>346</v>
      </c>
      <c r="B285" s="1">
        <v>46072</v>
      </c>
      <c r="C285" t="s">
        <v>62</v>
      </c>
      <c r="D285" t="s">
        <v>29</v>
      </c>
      <c r="E285" t="s">
        <v>75</v>
      </c>
      <c r="F285" t="s">
        <v>37</v>
      </c>
      <c r="G285" t="s">
        <v>38</v>
      </c>
      <c r="H285">
        <v>92</v>
      </c>
      <c r="I285">
        <v>44</v>
      </c>
      <c r="J285">
        <v>67</v>
      </c>
      <c r="K285">
        <v>69</v>
      </c>
      <c r="L285">
        <v>89</v>
      </c>
      <c r="M285" s="2">
        <v>707.58</v>
      </c>
      <c r="N285">
        <v>7</v>
      </c>
      <c r="O285">
        <v>5</v>
      </c>
      <c r="P285" t="s">
        <v>33</v>
      </c>
      <c r="Q285" t="s">
        <v>34</v>
      </c>
      <c r="R285" t="s">
        <v>26</v>
      </c>
      <c r="S285" s="2">
        <f t="shared" si="4"/>
        <v>48823.020000000004</v>
      </c>
    </row>
    <row r="286" spans="1:19" x14ac:dyDescent="0.3">
      <c r="A286" t="s">
        <v>347</v>
      </c>
      <c r="B286" s="1">
        <v>46036</v>
      </c>
      <c r="C286" t="s">
        <v>40</v>
      </c>
      <c r="D286" t="s">
        <v>20</v>
      </c>
      <c r="E286" t="s">
        <v>30</v>
      </c>
      <c r="F286" t="s">
        <v>1582</v>
      </c>
      <c r="G286" t="s">
        <v>1583</v>
      </c>
      <c r="H286">
        <v>79</v>
      </c>
      <c r="I286">
        <v>26</v>
      </c>
      <c r="J286">
        <v>61</v>
      </c>
      <c r="K286">
        <v>44</v>
      </c>
      <c r="L286">
        <v>45</v>
      </c>
      <c r="M286" s="2">
        <v>886.97</v>
      </c>
      <c r="N286">
        <v>4</v>
      </c>
      <c r="O286">
        <v>8</v>
      </c>
      <c r="P286" t="s">
        <v>33</v>
      </c>
      <c r="Q286" t="s">
        <v>34</v>
      </c>
      <c r="R286" t="s">
        <v>26</v>
      </c>
      <c r="S286" s="2">
        <f t="shared" si="4"/>
        <v>39026.68</v>
      </c>
    </row>
    <row r="287" spans="1:19" x14ac:dyDescent="0.3">
      <c r="A287" t="s">
        <v>348</v>
      </c>
      <c r="B287" s="1">
        <v>46221</v>
      </c>
      <c r="C287" t="s">
        <v>28</v>
      </c>
      <c r="D287" t="s">
        <v>29</v>
      </c>
      <c r="E287" t="s">
        <v>21</v>
      </c>
      <c r="F287" t="s">
        <v>31</v>
      </c>
      <c r="G287" t="s">
        <v>32</v>
      </c>
      <c r="H287">
        <v>161</v>
      </c>
      <c r="I287">
        <v>128</v>
      </c>
      <c r="J287">
        <v>29</v>
      </c>
      <c r="K287">
        <v>260</v>
      </c>
      <c r="L287">
        <v>64</v>
      </c>
      <c r="M287" s="2">
        <v>1374.07</v>
      </c>
      <c r="N287">
        <v>8</v>
      </c>
      <c r="O287">
        <v>0</v>
      </c>
      <c r="P287" t="s">
        <v>33</v>
      </c>
      <c r="Q287" t="s">
        <v>47</v>
      </c>
      <c r="R287" t="s">
        <v>26</v>
      </c>
      <c r="S287" s="2">
        <f t="shared" si="4"/>
        <v>357258.2</v>
      </c>
    </row>
    <row r="288" spans="1:19" x14ac:dyDescent="0.3">
      <c r="A288" t="s">
        <v>349</v>
      </c>
      <c r="B288" s="1">
        <v>46054</v>
      </c>
      <c r="C288" t="s">
        <v>83</v>
      </c>
      <c r="D288" t="s">
        <v>29</v>
      </c>
      <c r="E288" t="s">
        <v>58</v>
      </c>
      <c r="F288" t="s">
        <v>37</v>
      </c>
      <c r="G288" t="s">
        <v>38</v>
      </c>
      <c r="H288">
        <v>87</v>
      </c>
      <c r="I288">
        <v>77</v>
      </c>
      <c r="J288">
        <v>20</v>
      </c>
      <c r="K288">
        <v>144</v>
      </c>
      <c r="L288">
        <v>61</v>
      </c>
      <c r="M288" s="2">
        <v>1580.72</v>
      </c>
      <c r="N288">
        <v>4</v>
      </c>
      <c r="O288">
        <v>0</v>
      </c>
      <c r="P288" t="s">
        <v>33</v>
      </c>
      <c r="Q288" t="s">
        <v>47</v>
      </c>
      <c r="R288" t="s">
        <v>26</v>
      </c>
      <c r="S288" s="2">
        <f t="shared" si="4"/>
        <v>227623.67999999999</v>
      </c>
    </row>
    <row r="289" spans="1:19" x14ac:dyDescent="0.3">
      <c r="A289" t="s">
        <v>350</v>
      </c>
      <c r="B289" s="1">
        <v>46297</v>
      </c>
      <c r="C289" t="s">
        <v>62</v>
      </c>
      <c r="D289" t="s">
        <v>29</v>
      </c>
      <c r="E289" t="s">
        <v>75</v>
      </c>
      <c r="F289" t="s">
        <v>37</v>
      </c>
      <c r="G289" t="s">
        <v>38</v>
      </c>
      <c r="H289">
        <v>178</v>
      </c>
      <c r="I289">
        <v>72</v>
      </c>
      <c r="J289">
        <v>90</v>
      </c>
      <c r="K289">
        <v>160</v>
      </c>
      <c r="L289">
        <v>59</v>
      </c>
      <c r="M289" s="2">
        <v>707.5</v>
      </c>
      <c r="N289">
        <v>8</v>
      </c>
      <c r="O289">
        <v>0</v>
      </c>
      <c r="P289" t="s">
        <v>33</v>
      </c>
      <c r="Q289" t="s">
        <v>47</v>
      </c>
      <c r="R289" t="s">
        <v>26</v>
      </c>
      <c r="S289" s="2">
        <f t="shared" si="4"/>
        <v>113200</v>
      </c>
    </row>
    <row r="290" spans="1:19" x14ac:dyDescent="0.3">
      <c r="A290" t="s">
        <v>351</v>
      </c>
      <c r="B290" s="1">
        <v>46252</v>
      </c>
      <c r="C290" t="s">
        <v>72</v>
      </c>
      <c r="D290" t="s">
        <v>50</v>
      </c>
      <c r="E290" t="s">
        <v>58</v>
      </c>
      <c r="F290" t="s">
        <v>37</v>
      </c>
      <c r="G290" t="s">
        <v>38</v>
      </c>
      <c r="H290">
        <v>60</v>
      </c>
      <c r="I290">
        <v>70</v>
      </c>
      <c r="J290">
        <v>106</v>
      </c>
      <c r="K290">
        <v>24</v>
      </c>
      <c r="L290">
        <v>47</v>
      </c>
      <c r="M290" s="2">
        <v>2200.92</v>
      </c>
      <c r="N290">
        <v>6</v>
      </c>
      <c r="O290">
        <v>3</v>
      </c>
      <c r="P290" t="s">
        <v>33</v>
      </c>
      <c r="Q290" t="s">
        <v>25</v>
      </c>
      <c r="R290" t="s">
        <v>26</v>
      </c>
      <c r="S290" s="2">
        <f t="shared" si="4"/>
        <v>52822.080000000002</v>
      </c>
    </row>
    <row r="291" spans="1:19" x14ac:dyDescent="0.3">
      <c r="A291" t="s">
        <v>352</v>
      </c>
      <c r="B291" s="1">
        <v>46155</v>
      </c>
      <c r="C291" t="s">
        <v>28</v>
      </c>
      <c r="D291" t="s">
        <v>29</v>
      </c>
      <c r="E291" t="s">
        <v>42</v>
      </c>
      <c r="F291" t="s">
        <v>22</v>
      </c>
      <c r="G291" t="s">
        <v>23</v>
      </c>
      <c r="H291">
        <v>72</v>
      </c>
      <c r="I291">
        <v>25</v>
      </c>
      <c r="J291">
        <v>69</v>
      </c>
      <c r="K291">
        <v>28</v>
      </c>
      <c r="L291">
        <v>50</v>
      </c>
      <c r="M291" s="2">
        <v>1426.95</v>
      </c>
      <c r="N291">
        <v>5</v>
      </c>
      <c r="O291">
        <v>3</v>
      </c>
      <c r="P291" t="s">
        <v>33</v>
      </c>
      <c r="Q291" t="s">
        <v>25</v>
      </c>
      <c r="R291" t="s">
        <v>43</v>
      </c>
      <c r="S291" s="2">
        <f t="shared" si="4"/>
        <v>39954.6</v>
      </c>
    </row>
    <row r="292" spans="1:19" x14ac:dyDescent="0.3">
      <c r="A292" t="s">
        <v>353</v>
      </c>
      <c r="B292" s="1">
        <v>46381</v>
      </c>
      <c r="C292" t="s">
        <v>109</v>
      </c>
      <c r="D292" t="s">
        <v>46</v>
      </c>
      <c r="E292" t="s">
        <v>75</v>
      </c>
      <c r="F292" t="s">
        <v>1582</v>
      </c>
      <c r="G292" t="s">
        <v>1583</v>
      </c>
      <c r="H292">
        <v>182</v>
      </c>
      <c r="I292">
        <v>70</v>
      </c>
      <c r="J292">
        <v>85</v>
      </c>
      <c r="K292">
        <v>167</v>
      </c>
      <c r="L292">
        <v>65</v>
      </c>
      <c r="M292" s="2">
        <v>3428.24</v>
      </c>
      <c r="N292">
        <v>6</v>
      </c>
      <c r="O292">
        <v>0</v>
      </c>
      <c r="P292" t="s">
        <v>33</v>
      </c>
      <c r="Q292" t="s">
        <v>47</v>
      </c>
      <c r="R292" t="s">
        <v>43</v>
      </c>
      <c r="S292" s="2">
        <f t="shared" si="4"/>
        <v>572516.07999999996</v>
      </c>
    </row>
    <row r="293" spans="1:19" x14ac:dyDescent="0.3">
      <c r="A293" t="s">
        <v>354</v>
      </c>
      <c r="B293" s="1">
        <v>46297</v>
      </c>
      <c r="C293" t="s">
        <v>68</v>
      </c>
      <c r="D293" t="s">
        <v>53</v>
      </c>
      <c r="E293" t="s">
        <v>75</v>
      </c>
      <c r="F293" t="s">
        <v>1582</v>
      </c>
      <c r="G293" t="s">
        <v>1583</v>
      </c>
      <c r="H293">
        <v>78</v>
      </c>
      <c r="I293">
        <v>38</v>
      </c>
      <c r="J293">
        <v>87</v>
      </c>
      <c r="K293">
        <v>29</v>
      </c>
      <c r="L293">
        <v>82</v>
      </c>
      <c r="M293" s="2">
        <v>609.91999999999996</v>
      </c>
      <c r="N293">
        <v>2</v>
      </c>
      <c r="O293">
        <v>2</v>
      </c>
      <c r="P293" t="s">
        <v>33</v>
      </c>
      <c r="Q293" t="s">
        <v>25</v>
      </c>
      <c r="R293" t="s">
        <v>59</v>
      </c>
      <c r="S293" s="2">
        <f t="shared" si="4"/>
        <v>17687.68</v>
      </c>
    </row>
    <row r="294" spans="1:19" x14ac:dyDescent="0.3">
      <c r="A294" t="s">
        <v>355</v>
      </c>
      <c r="B294" s="1">
        <v>46334</v>
      </c>
      <c r="C294" t="s">
        <v>146</v>
      </c>
      <c r="D294" t="s">
        <v>46</v>
      </c>
      <c r="E294" t="s">
        <v>21</v>
      </c>
      <c r="F294" t="s">
        <v>1582</v>
      </c>
      <c r="G294" t="s">
        <v>1583</v>
      </c>
      <c r="H294">
        <v>207</v>
      </c>
      <c r="I294">
        <v>82</v>
      </c>
      <c r="J294">
        <v>88</v>
      </c>
      <c r="K294">
        <v>201</v>
      </c>
      <c r="L294">
        <v>83</v>
      </c>
      <c r="M294" s="2">
        <v>1491.91</v>
      </c>
      <c r="N294">
        <v>3</v>
      </c>
      <c r="O294">
        <v>0</v>
      </c>
      <c r="P294" t="s">
        <v>33</v>
      </c>
      <c r="Q294" t="s">
        <v>47</v>
      </c>
      <c r="R294" t="s">
        <v>26</v>
      </c>
      <c r="S294" s="2">
        <f t="shared" si="4"/>
        <v>299873.91000000003</v>
      </c>
    </row>
    <row r="295" spans="1:19" x14ac:dyDescent="0.3">
      <c r="A295" t="s">
        <v>356</v>
      </c>
      <c r="B295" s="1">
        <v>46178</v>
      </c>
      <c r="C295" t="s">
        <v>57</v>
      </c>
      <c r="D295" t="s">
        <v>50</v>
      </c>
      <c r="E295" t="s">
        <v>58</v>
      </c>
      <c r="F295" t="s">
        <v>37</v>
      </c>
      <c r="G295" t="s">
        <v>38</v>
      </c>
      <c r="H295">
        <v>216</v>
      </c>
      <c r="I295">
        <v>50</v>
      </c>
      <c r="J295">
        <v>21</v>
      </c>
      <c r="K295">
        <v>245</v>
      </c>
      <c r="L295">
        <v>92</v>
      </c>
      <c r="M295" s="2">
        <v>2786.12</v>
      </c>
      <c r="N295">
        <v>4</v>
      </c>
      <c r="O295">
        <v>0</v>
      </c>
      <c r="P295" t="s">
        <v>33</v>
      </c>
      <c r="Q295" t="s">
        <v>47</v>
      </c>
      <c r="R295" t="s">
        <v>26</v>
      </c>
      <c r="S295" s="2">
        <f t="shared" si="4"/>
        <v>682599.4</v>
      </c>
    </row>
    <row r="296" spans="1:19" x14ac:dyDescent="0.3">
      <c r="A296" t="s">
        <v>357</v>
      </c>
      <c r="B296" s="1">
        <v>46068</v>
      </c>
      <c r="C296" t="s">
        <v>45</v>
      </c>
      <c r="D296" t="s">
        <v>46</v>
      </c>
      <c r="E296" t="s">
        <v>58</v>
      </c>
      <c r="F296" t="s">
        <v>31</v>
      </c>
      <c r="G296" t="s">
        <v>32</v>
      </c>
      <c r="H296">
        <v>98</v>
      </c>
      <c r="I296">
        <v>37</v>
      </c>
      <c r="J296">
        <v>53</v>
      </c>
      <c r="K296">
        <v>82</v>
      </c>
      <c r="L296">
        <v>92</v>
      </c>
      <c r="M296" s="2">
        <v>790.9</v>
      </c>
      <c r="N296">
        <v>8</v>
      </c>
      <c r="O296">
        <v>7</v>
      </c>
      <c r="P296" t="s">
        <v>33</v>
      </c>
      <c r="Q296" t="s">
        <v>34</v>
      </c>
      <c r="R296" t="s">
        <v>26</v>
      </c>
      <c r="S296" s="2">
        <f t="shared" si="4"/>
        <v>64853.799999999996</v>
      </c>
    </row>
    <row r="297" spans="1:19" x14ac:dyDescent="0.3">
      <c r="A297" t="s">
        <v>358</v>
      </c>
      <c r="B297" s="1">
        <v>46182</v>
      </c>
      <c r="C297" t="s">
        <v>36</v>
      </c>
      <c r="D297" t="s">
        <v>29</v>
      </c>
      <c r="E297" t="s">
        <v>42</v>
      </c>
      <c r="F297" t="s">
        <v>1582</v>
      </c>
      <c r="G297" t="s">
        <v>1583</v>
      </c>
      <c r="H297">
        <v>164</v>
      </c>
      <c r="I297">
        <v>117</v>
      </c>
      <c r="J297">
        <v>81</v>
      </c>
      <c r="K297">
        <v>200</v>
      </c>
      <c r="L297">
        <v>100</v>
      </c>
      <c r="M297" s="2">
        <v>2339.48</v>
      </c>
      <c r="N297">
        <v>2</v>
      </c>
      <c r="O297">
        <v>0</v>
      </c>
      <c r="P297" t="s">
        <v>33</v>
      </c>
      <c r="Q297" t="s">
        <v>34</v>
      </c>
      <c r="R297" t="s">
        <v>26</v>
      </c>
      <c r="S297" s="2">
        <f t="shared" si="4"/>
        <v>467896</v>
      </c>
    </row>
    <row r="298" spans="1:19" x14ac:dyDescent="0.3">
      <c r="A298" t="s">
        <v>359</v>
      </c>
      <c r="B298" s="1">
        <v>46163</v>
      </c>
      <c r="C298" t="s">
        <v>68</v>
      </c>
      <c r="D298" t="s">
        <v>53</v>
      </c>
      <c r="E298" t="s">
        <v>42</v>
      </c>
      <c r="F298" t="s">
        <v>31</v>
      </c>
      <c r="G298" t="s">
        <v>32</v>
      </c>
      <c r="H298">
        <v>84</v>
      </c>
      <c r="I298">
        <v>44</v>
      </c>
      <c r="J298">
        <v>40</v>
      </c>
      <c r="K298">
        <v>88</v>
      </c>
      <c r="L298">
        <v>98</v>
      </c>
      <c r="M298" s="2">
        <v>546.91999999999996</v>
      </c>
      <c r="N298">
        <v>2</v>
      </c>
      <c r="O298">
        <v>6</v>
      </c>
      <c r="P298" t="s">
        <v>33</v>
      </c>
      <c r="Q298" t="s">
        <v>34</v>
      </c>
      <c r="R298" t="s">
        <v>59</v>
      </c>
      <c r="S298" s="2">
        <f t="shared" si="4"/>
        <v>48128.959999999999</v>
      </c>
    </row>
    <row r="299" spans="1:19" x14ac:dyDescent="0.3">
      <c r="A299" t="s">
        <v>360</v>
      </c>
      <c r="B299" s="1">
        <v>46265</v>
      </c>
      <c r="C299" t="s">
        <v>146</v>
      </c>
      <c r="D299" t="s">
        <v>46</v>
      </c>
      <c r="E299" t="s">
        <v>30</v>
      </c>
      <c r="F299" t="s">
        <v>1582</v>
      </c>
      <c r="G299" t="s">
        <v>1583</v>
      </c>
      <c r="H299">
        <v>202</v>
      </c>
      <c r="I299">
        <v>35</v>
      </c>
      <c r="J299">
        <v>102</v>
      </c>
      <c r="K299">
        <v>135</v>
      </c>
      <c r="L299">
        <v>46</v>
      </c>
      <c r="M299" s="2">
        <v>1422.58</v>
      </c>
      <c r="N299">
        <v>5</v>
      </c>
      <c r="O299">
        <v>0</v>
      </c>
      <c r="P299" t="s">
        <v>33</v>
      </c>
      <c r="Q299" t="s">
        <v>47</v>
      </c>
      <c r="R299" t="s">
        <v>26</v>
      </c>
      <c r="S299" s="2">
        <f t="shared" si="4"/>
        <v>192048.3</v>
      </c>
    </row>
    <row r="300" spans="1:19" x14ac:dyDescent="0.3">
      <c r="A300" t="s">
        <v>361</v>
      </c>
      <c r="B300" s="1">
        <v>46132</v>
      </c>
      <c r="C300" t="s">
        <v>52</v>
      </c>
      <c r="D300" t="s">
        <v>53</v>
      </c>
      <c r="E300" t="s">
        <v>21</v>
      </c>
      <c r="F300" t="s">
        <v>22</v>
      </c>
      <c r="G300" t="s">
        <v>23</v>
      </c>
      <c r="H300">
        <v>106</v>
      </c>
      <c r="I300">
        <v>115</v>
      </c>
      <c r="J300">
        <v>103</v>
      </c>
      <c r="K300">
        <v>118</v>
      </c>
      <c r="L300">
        <v>50</v>
      </c>
      <c r="M300" s="2">
        <v>622.05999999999995</v>
      </c>
      <c r="N300">
        <v>5</v>
      </c>
      <c r="O300">
        <v>0</v>
      </c>
      <c r="P300" t="s">
        <v>24</v>
      </c>
      <c r="Q300" t="s">
        <v>47</v>
      </c>
      <c r="R300" t="s">
        <v>43</v>
      </c>
      <c r="S300" s="2">
        <f t="shared" si="4"/>
        <v>73403.079999999987</v>
      </c>
    </row>
    <row r="301" spans="1:19" x14ac:dyDescent="0.3">
      <c r="A301" t="s">
        <v>362</v>
      </c>
      <c r="B301" s="1">
        <v>46090</v>
      </c>
      <c r="C301" t="s">
        <v>28</v>
      </c>
      <c r="D301" t="s">
        <v>29</v>
      </c>
      <c r="E301" t="s">
        <v>42</v>
      </c>
      <c r="F301" t="s">
        <v>37</v>
      </c>
      <c r="G301" t="s">
        <v>38</v>
      </c>
      <c r="H301">
        <v>206</v>
      </c>
      <c r="I301">
        <v>72</v>
      </c>
      <c r="J301">
        <v>80</v>
      </c>
      <c r="K301">
        <v>198</v>
      </c>
      <c r="L301">
        <v>46</v>
      </c>
      <c r="M301" s="2">
        <v>1394.8</v>
      </c>
      <c r="N301">
        <v>8</v>
      </c>
      <c r="O301">
        <v>0</v>
      </c>
      <c r="P301" t="s">
        <v>33</v>
      </c>
      <c r="Q301" t="s">
        <v>47</v>
      </c>
      <c r="R301" t="s">
        <v>26</v>
      </c>
      <c r="S301" s="2">
        <f t="shared" si="4"/>
        <v>276170.39999999997</v>
      </c>
    </row>
    <row r="302" spans="1:19" x14ac:dyDescent="0.3">
      <c r="A302" t="s">
        <v>363</v>
      </c>
      <c r="B302" s="1">
        <v>46201</v>
      </c>
      <c r="C302" t="s">
        <v>62</v>
      </c>
      <c r="D302" t="s">
        <v>29</v>
      </c>
      <c r="E302" t="s">
        <v>42</v>
      </c>
      <c r="F302" t="s">
        <v>37</v>
      </c>
      <c r="G302" t="s">
        <v>38</v>
      </c>
      <c r="H302">
        <v>195</v>
      </c>
      <c r="I302">
        <v>123</v>
      </c>
      <c r="J302">
        <v>54</v>
      </c>
      <c r="K302">
        <v>264</v>
      </c>
      <c r="L302">
        <v>90</v>
      </c>
      <c r="M302" s="2">
        <v>765.38</v>
      </c>
      <c r="N302">
        <v>7</v>
      </c>
      <c r="O302">
        <v>0</v>
      </c>
      <c r="P302" t="s">
        <v>33</v>
      </c>
      <c r="Q302" t="s">
        <v>47</v>
      </c>
      <c r="R302" t="s">
        <v>43</v>
      </c>
      <c r="S302" s="2">
        <f t="shared" si="4"/>
        <v>202060.32</v>
      </c>
    </row>
    <row r="303" spans="1:19" x14ac:dyDescent="0.3">
      <c r="A303" t="s">
        <v>364</v>
      </c>
      <c r="B303" s="1">
        <v>46362</v>
      </c>
      <c r="C303" t="s">
        <v>49</v>
      </c>
      <c r="D303" t="s">
        <v>50</v>
      </c>
      <c r="E303" t="s">
        <v>42</v>
      </c>
      <c r="F303" t="s">
        <v>1582</v>
      </c>
      <c r="G303" t="s">
        <v>1583</v>
      </c>
      <c r="H303">
        <v>117</v>
      </c>
      <c r="I303">
        <v>106</v>
      </c>
      <c r="J303">
        <v>81</v>
      </c>
      <c r="K303">
        <v>142</v>
      </c>
      <c r="L303">
        <v>97</v>
      </c>
      <c r="M303" s="2">
        <v>1332.14</v>
      </c>
      <c r="N303">
        <v>6</v>
      </c>
      <c r="O303">
        <v>0</v>
      </c>
      <c r="P303" t="s">
        <v>24</v>
      </c>
      <c r="Q303" t="s">
        <v>34</v>
      </c>
      <c r="R303" t="s">
        <v>26</v>
      </c>
      <c r="S303" s="2">
        <f t="shared" si="4"/>
        <v>189163.88</v>
      </c>
    </row>
    <row r="304" spans="1:19" x14ac:dyDescent="0.3">
      <c r="A304" t="s">
        <v>365</v>
      </c>
      <c r="B304" s="1">
        <v>46356</v>
      </c>
      <c r="C304" t="s">
        <v>45</v>
      </c>
      <c r="D304" t="s">
        <v>46</v>
      </c>
      <c r="E304" t="s">
        <v>21</v>
      </c>
      <c r="F304" t="s">
        <v>31</v>
      </c>
      <c r="G304" t="s">
        <v>32</v>
      </c>
      <c r="H304">
        <v>163</v>
      </c>
      <c r="I304">
        <v>28</v>
      </c>
      <c r="J304">
        <v>58</v>
      </c>
      <c r="K304">
        <v>133</v>
      </c>
      <c r="L304">
        <v>62</v>
      </c>
      <c r="M304" s="2">
        <v>822.5</v>
      </c>
      <c r="N304">
        <v>8</v>
      </c>
      <c r="O304">
        <v>0</v>
      </c>
      <c r="P304" t="s">
        <v>33</v>
      </c>
      <c r="Q304" t="s">
        <v>34</v>
      </c>
      <c r="R304" t="s">
        <v>26</v>
      </c>
      <c r="S304" s="2">
        <f t="shared" si="4"/>
        <v>109392.5</v>
      </c>
    </row>
    <row r="305" spans="1:19" x14ac:dyDescent="0.3">
      <c r="A305" t="s">
        <v>366</v>
      </c>
      <c r="B305" s="1">
        <v>46277</v>
      </c>
      <c r="C305" t="s">
        <v>80</v>
      </c>
      <c r="D305" t="s">
        <v>46</v>
      </c>
      <c r="E305" t="s">
        <v>42</v>
      </c>
      <c r="F305" t="s">
        <v>22</v>
      </c>
      <c r="G305" t="s">
        <v>23</v>
      </c>
      <c r="H305">
        <v>54</v>
      </c>
      <c r="I305">
        <v>123</v>
      </c>
      <c r="J305">
        <v>91</v>
      </c>
      <c r="K305">
        <v>86</v>
      </c>
      <c r="L305">
        <v>70</v>
      </c>
      <c r="M305" s="2">
        <v>1135.32</v>
      </c>
      <c r="N305">
        <v>7</v>
      </c>
      <c r="O305">
        <v>0</v>
      </c>
      <c r="P305" t="s">
        <v>24</v>
      </c>
      <c r="Q305" t="s">
        <v>34</v>
      </c>
      <c r="R305" t="s">
        <v>26</v>
      </c>
      <c r="S305" s="2">
        <f t="shared" si="4"/>
        <v>97637.51999999999</v>
      </c>
    </row>
    <row r="306" spans="1:19" x14ac:dyDescent="0.3">
      <c r="A306" t="s">
        <v>367</v>
      </c>
      <c r="B306" s="1">
        <v>46136</v>
      </c>
      <c r="C306" t="s">
        <v>45</v>
      </c>
      <c r="D306" t="s">
        <v>46</v>
      </c>
      <c r="E306" t="s">
        <v>58</v>
      </c>
      <c r="F306" t="s">
        <v>1582</v>
      </c>
      <c r="G306" t="s">
        <v>1583</v>
      </c>
      <c r="H306">
        <v>139</v>
      </c>
      <c r="I306">
        <v>114</v>
      </c>
      <c r="J306">
        <v>19</v>
      </c>
      <c r="K306">
        <v>234</v>
      </c>
      <c r="L306">
        <v>82</v>
      </c>
      <c r="M306" s="2">
        <v>833.29</v>
      </c>
      <c r="N306">
        <v>6</v>
      </c>
      <c r="O306">
        <v>0</v>
      </c>
      <c r="P306" t="s">
        <v>33</v>
      </c>
      <c r="Q306" t="s">
        <v>47</v>
      </c>
      <c r="R306" t="s">
        <v>26</v>
      </c>
      <c r="S306" s="2">
        <f t="shared" si="4"/>
        <v>194989.86</v>
      </c>
    </row>
    <row r="307" spans="1:19" x14ac:dyDescent="0.3">
      <c r="A307" t="s">
        <v>368</v>
      </c>
      <c r="B307" s="1">
        <v>46309</v>
      </c>
      <c r="C307" t="s">
        <v>68</v>
      </c>
      <c r="D307" t="s">
        <v>53</v>
      </c>
      <c r="E307" t="s">
        <v>21</v>
      </c>
      <c r="F307" t="s">
        <v>37</v>
      </c>
      <c r="G307" t="s">
        <v>38</v>
      </c>
      <c r="H307">
        <v>83</v>
      </c>
      <c r="I307">
        <v>127</v>
      </c>
      <c r="J307">
        <v>99</v>
      </c>
      <c r="K307">
        <v>111</v>
      </c>
      <c r="L307">
        <v>80</v>
      </c>
      <c r="M307" s="2">
        <v>561.74</v>
      </c>
      <c r="N307">
        <v>2</v>
      </c>
      <c r="O307">
        <v>0</v>
      </c>
      <c r="P307" t="s">
        <v>33</v>
      </c>
      <c r="Q307" t="s">
        <v>34</v>
      </c>
      <c r="R307" t="s">
        <v>59</v>
      </c>
      <c r="S307" s="2">
        <f t="shared" si="4"/>
        <v>62353.14</v>
      </c>
    </row>
    <row r="308" spans="1:19" x14ac:dyDescent="0.3">
      <c r="A308" t="s">
        <v>369</v>
      </c>
      <c r="B308" s="1">
        <v>46173</v>
      </c>
      <c r="C308" t="s">
        <v>83</v>
      </c>
      <c r="D308" t="s">
        <v>29</v>
      </c>
      <c r="E308" t="s">
        <v>75</v>
      </c>
      <c r="F308" t="s">
        <v>22</v>
      </c>
      <c r="G308" t="s">
        <v>23</v>
      </c>
      <c r="H308">
        <v>130</v>
      </c>
      <c r="I308">
        <v>48</v>
      </c>
      <c r="J308">
        <v>110</v>
      </c>
      <c r="K308">
        <v>68</v>
      </c>
      <c r="L308">
        <v>100</v>
      </c>
      <c r="M308" s="2">
        <v>1538.27</v>
      </c>
      <c r="N308">
        <v>8</v>
      </c>
      <c r="O308">
        <v>6</v>
      </c>
      <c r="P308" t="s">
        <v>33</v>
      </c>
      <c r="Q308" t="s">
        <v>34</v>
      </c>
      <c r="R308" t="s">
        <v>26</v>
      </c>
      <c r="S308" s="2">
        <f t="shared" si="4"/>
        <v>104602.36</v>
      </c>
    </row>
    <row r="309" spans="1:19" x14ac:dyDescent="0.3">
      <c r="A309" t="s">
        <v>370</v>
      </c>
      <c r="B309" s="1">
        <v>46218</v>
      </c>
      <c r="C309" t="s">
        <v>57</v>
      </c>
      <c r="D309" t="s">
        <v>50</v>
      </c>
      <c r="E309" t="s">
        <v>58</v>
      </c>
      <c r="F309" t="s">
        <v>31</v>
      </c>
      <c r="G309" t="s">
        <v>32</v>
      </c>
      <c r="H309">
        <v>202</v>
      </c>
      <c r="I309">
        <v>94</v>
      </c>
      <c r="J309">
        <v>89</v>
      </c>
      <c r="K309">
        <v>207</v>
      </c>
      <c r="L309">
        <v>84</v>
      </c>
      <c r="M309" s="2">
        <v>2559.88</v>
      </c>
      <c r="N309">
        <v>3</v>
      </c>
      <c r="O309">
        <v>0</v>
      </c>
      <c r="P309" t="s">
        <v>33</v>
      </c>
      <c r="Q309" t="s">
        <v>47</v>
      </c>
      <c r="R309" t="s">
        <v>43</v>
      </c>
      <c r="S309" s="2">
        <f t="shared" si="4"/>
        <v>529895.16</v>
      </c>
    </row>
    <row r="310" spans="1:19" x14ac:dyDescent="0.3">
      <c r="A310" t="s">
        <v>371</v>
      </c>
      <c r="B310" s="1">
        <v>46096</v>
      </c>
      <c r="C310" t="s">
        <v>52</v>
      </c>
      <c r="D310" t="s">
        <v>53</v>
      </c>
      <c r="E310" t="s">
        <v>58</v>
      </c>
      <c r="F310" t="s">
        <v>31</v>
      </c>
      <c r="G310" t="s">
        <v>32</v>
      </c>
      <c r="H310">
        <v>78</v>
      </c>
      <c r="I310">
        <v>37</v>
      </c>
      <c r="J310">
        <v>40</v>
      </c>
      <c r="K310">
        <v>75</v>
      </c>
      <c r="L310">
        <v>66</v>
      </c>
      <c r="M310" s="2">
        <v>638.19000000000005</v>
      </c>
      <c r="N310">
        <v>6</v>
      </c>
      <c r="O310">
        <v>0</v>
      </c>
      <c r="P310" t="s">
        <v>33</v>
      </c>
      <c r="Q310" t="s">
        <v>34</v>
      </c>
      <c r="R310" t="s">
        <v>81</v>
      </c>
      <c r="S310" s="2">
        <f t="shared" si="4"/>
        <v>47864.250000000007</v>
      </c>
    </row>
    <row r="311" spans="1:19" x14ac:dyDescent="0.3">
      <c r="A311" t="s">
        <v>372</v>
      </c>
      <c r="B311" s="1">
        <v>46109</v>
      </c>
      <c r="C311" t="s">
        <v>80</v>
      </c>
      <c r="D311" t="s">
        <v>46</v>
      </c>
      <c r="E311" t="s">
        <v>75</v>
      </c>
      <c r="F311" t="s">
        <v>1582</v>
      </c>
      <c r="G311" t="s">
        <v>1583</v>
      </c>
      <c r="H311">
        <v>125</v>
      </c>
      <c r="I311">
        <v>100</v>
      </c>
      <c r="J311">
        <v>37</v>
      </c>
      <c r="K311">
        <v>188</v>
      </c>
      <c r="L311">
        <v>65</v>
      </c>
      <c r="M311" s="2">
        <v>1129.5899999999999</v>
      </c>
      <c r="N311">
        <v>2</v>
      </c>
      <c r="O311">
        <v>0</v>
      </c>
      <c r="P311" t="s">
        <v>33</v>
      </c>
      <c r="Q311" t="s">
        <v>47</v>
      </c>
      <c r="R311" t="s">
        <v>26</v>
      </c>
      <c r="S311" s="2">
        <f t="shared" si="4"/>
        <v>212362.91999999998</v>
      </c>
    </row>
    <row r="312" spans="1:19" x14ac:dyDescent="0.3">
      <c r="A312" t="s">
        <v>373</v>
      </c>
      <c r="B312" s="1">
        <v>46042</v>
      </c>
      <c r="C312" t="s">
        <v>87</v>
      </c>
      <c r="D312" t="s">
        <v>53</v>
      </c>
      <c r="E312" t="s">
        <v>58</v>
      </c>
      <c r="F312" t="s">
        <v>31</v>
      </c>
      <c r="G312" t="s">
        <v>32</v>
      </c>
      <c r="H312">
        <v>73</v>
      </c>
      <c r="I312">
        <v>98</v>
      </c>
      <c r="J312">
        <v>70</v>
      </c>
      <c r="K312">
        <v>101</v>
      </c>
      <c r="L312">
        <v>85</v>
      </c>
      <c r="M312" s="2">
        <v>443.65</v>
      </c>
      <c r="N312">
        <v>5</v>
      </c>
      <c r="O312">
        <v>0</v>
      </c>
      <c r="P312" t="s">
        <v>33</v>
      </c>
      <c r="Q312" t="s">
        <v>34</v>
      </c>
      <c r="R312" t="s">
        <v>26</v>
      </c>
      <c r="S312" s="2">
        <f t="shared" si="4"/>
        <v>44808.649999999994</v>
      </c>
    </row>
    <row r="313" spans="1:19" x14ac:dyDescent="0.3">
      <c r="A313" t="s">
        <v>374</v>
      </c>
      <c r="B313" s="1">
        <v>46378</v>
      </c>
      <c r="C313" t="s">
        <v>87</v>
      </c>
      <c r="D313" t="s">
        <v>53</v>
      </c>
      <c r="E313" t="s">
        <v>21</v>
      </c>
      <c r="F313" t="s">
        <v>31</v>
      </c>
      <c r="G313" t="s">
        <v>32</v>
      </c>
      <c r="H313">
        <v>122</v>
      </c>
      <c r="I313">
        <v>116</v>
      </c>
      <c r="J313">
        <v>82</v>
      </c>
      <c r="K313">
        <v>156</v>
      </c>
      <c r="L313">
        <v>57</v>
      </c>
      <c r="M313" s="2">
        <v>406.61</v>
      </c>
      <c r="N313">
        <v>2</v>
      </c>
      <c r="O313">
        <v>0</v>
      </c>
      <c r="P313" t="s">
        <v>33</v>
      </c>
      <c r="Q313" t="s">
        <v>47</v>
      </c>
      <c r="R313" t="s">
        <v>26</v>
      </c>
      <c r="S313" s="2">
        <f t="shared" si="4"/>
        <v>63431.16</v>
      </c>
    </row>
    <row r="314" spans="1:19" x14ac:dyDescent="0.3">
      <c r="A314" t="s">
        <v>375</v>
      </c>
      <c r="B314" s="1">
        <v>46256</v>
      </c>
      <c r="C314" t="s">
        <v>45</v>
      </c>
      <c r="D314" t="s">
        <v>46</v>
      </c>
      <c r="E314" t="s">
        <v>42</v>
      </c>
      <c r="F314" t="s">
        <v>31</v>
      </c>
      <c r="G314" t="s">
        <v>32</v>
      </c>
      <c r="H314">
        <v>138</v>
      </c>
      <c r="I314">
        <v>84</v>
      </c>
      <c r="J314">
        <v>90</v>
      </c>
      <c r="K314">
        <v>132</v>
      </c>
      <c r="L314">
        <v>64</v>
      </c>
      <c r="M314" s="2">
        <v>746.72</v>
      </c>
      <c r="N314">
        <v>8</v>
      </c>
      <c r="O314">
        <v>0</v>
      </c>
      <c r="P314" t="s">
        <v>24</v>
      </c>
      <c r="Q314" t="s">
        <v>34</v>
      </c>
      <c r="R314" t="s">
        <v>81</v>
      </c>
      <c r="S314" s="2">
        <f t="shared" si="4"/>
        <v>98567.040000000008</v>
      </c>
    </row>
    <row r="315" spans="1:19" x14ac:dyDescent="0.3">
      <c r="A315" t="s">
        <v>376</v>
      </c>
      <c r="B315" s="1">
        <v>46090</v>
      </c>
      <c r="C315" t="s">
        <v>52</v>
      </c>
      <c r="D315" t="s">
        <v>53</v>
      </c>
      <c r="E315" t="s">
        <v>58</v>
      </c>
      <c r="F315" t="s">
        <v>22</v>
      </c>
      <c r="G315" t="s">
        <v>23</v>
      </c>
      <c r="H315">
        <v>127</v>
      </c>
      <c r="I315">
        <v>82</v>
      </c>
      <c r="J315">
        <v>60</v>
      </c>
      <c r="K315">
        <v>149</v>
      </c>
      <c r="L315">
        <v>93</v>
      </c>
      <c r="M315" s="2">
        <v>609.5</v>
      </c>
      <c r="N315">
        <v>8</v>
      </c>
      <c r="O315">
        <v>0</v>
      </c>
      <c r="P315" t="s">
        <v>33</v>
      </c>
      <c r="Q315" t="s">
        <v>34</v>
      </c>
      <c r="R315" t="s">
        <v>26</v>
      </c>
      <c r="S315" s="2">
        <f t="shared" si="4"/>
        <v>90815.5</v>
      </c>
    </row>
    <row r="316" spans="1:19" x14ac:dyDescent="0.3">
      <c r="A316" t="s">
        <v>377</v>
      </c>
      <c r="B316" s="1">
        <v>46342</v>
      </c>
      <c r="C316" t="s">
        <v>62</v>
      </c>
      <c r="D316" t="s">
        <v>29</v>
      </c>
      <c r="E316" t="s">
        <v>30</v>
      </c>
      <c r="F316" t="s">
        <v>22</v>
      </c>
      <c r="G316" t="s">
        <v>23</v>
      </c>
      <c r="H316">
        <v>71</v>
      </c>
      <c r="I316">
        <v>66</v>
      </c>
      <c r="J316">
        <v>106</v>
      </c>
      <c r="K316">
        <v>31</v>
      </c>
      <c r="L316">
        <v>86</v>
      </c>
      <c r="M316" s="2">
        <v>740.9</v>
      </c>
      <c r="N316">
        <v>5</v>
      </c>
      <c r="O316">
        <v>5</v>
      </c>
      <c r="P316" t="s">
        <v>33</v>
      </c>
      <c r="Q316" t="s">
        <v>25</v>
      </c>
      <c r="R316" t="s">
        <v>59</v>
      </c>
      <c r="S316" s="2">
        <f t="shared" si="4"/>
        <v>22967.899999999998</v>
      </c>
    </row>
    <row r="317" spans="1:19" x14ac:dyDescent="0.3">
      <c r="A317" t="s">
        <v>378</v>
      </c>
      <c r="B317" s="1">
        <v>46374</v>
      </c>
      <c r="C317" t="s">
        <v>19</v>
      </c>
      <c r="D317" t="s">
        <v>20</v>
      </c>
      <c r="E317" t="s">
        <v>75</v>
      </c>
      <c r="F317" t="s">
        <v>31</v>
      </c>
      <c r="G317" t="s">
        <v>32</v>
      </c>
      <c r="H317">
        <v>52</v>
      </c>
      <c r="I317">
        <v>108</v>
      </c>
      <c r="J317">
        <v>29</v>
      </c>
      <c r="K317">
        <v>131</v>
      </c>
      <c r="L317">
        <v>71</v>
      </c>
      <c r="M317" s="2">
        <v>1779.95</v>
      </c>
      <c r="N317">
        <v>6</v>
      </c>
      <c r="O317">
        <v>0</v>
      </c>
      <c r="P317" t="s">
        <v>24</v>
      </c>
      <c r="Q317" t="s">
        <v>34</v>
      </c>
      <c r="R317" t="s">
        <v>26</v>
      </c>
      <c r="S317" s="2">
        <f t="shared" si="4"/>
        <v>233173.45</v>
      </c>
    </row>
    <row r="318" spans="1:19" x14ac:dyDescent="0.3">
      <c r="A318" t="s">
        <v>379</v>
      </c>
      <c r="B318" s="1">
        <v>46284</v>
      </c>
      <c r="C318" t="s">
        <v>89</v>
      </c>
      <c r="D318" t="s">
        <v>20</v>
      </c>
      <c r="E318" t="s">
        <v>58</v>
      </c>
      <c r="F318" t="s">
        <v>31</v>
      </c>
      <c r="G318" t="s">
        <v>32</v>
      </c>
      <c r="H318">
        <v>209</v>
      </c>
      <c r="I318">
        <v>86</v>
      </c>
      <c r="J318">
        <v>49</v>
      </c>
      <c r="K318">
        <v>246</v>
      </c>
      <c r="L318">
        <v>84</v>
      </c>
      <c r="M318" s="2">
        <v>1225.3499999999999</v>
      </c>
      <c r="N318">
        <v>3</v>
      </c>
      <c r="O318">
        <v>0</v>
      </c>
      <c r="P318" t="s">
        <v>33</v>
      </c>
      <c r="Q318" t="s">
        <v>47</v>
      </c>
      <c r="R318" t="s">
        <v>43</v>
      </c>
      <c r="S318" s="2">
        <f t="shared" si="4"/>
        <v>301436.09999999998</v>
      </c>
    </row>
    <row r="319" spans="1:19" x14ac:dyDescent="0.3">
      <c r="A319" t="s">
        <v>380</v>
      </c>
      <c r="B319" s="1">
        <v>46206</v>
      </c>
      <c r="C319" t="s">
        <v>77</v>
      </c>
      <c r="D319" t="s">
        <v>53</v>
      </c>
      <c r="E319" t="s">
        <v>21</v>
      </c>
      <c r="F319" t="s">
        <v>31</v>
      </c>
      <c r="G319" t="s">
        <v>32</v>
      </c>
      <c r="H319">
        <v>67</v>
      </c>
      <c r="I319">
        <v>83</v>
      </c>
      <c r="J319">
        <v>40</v>
      </c>
      <c r="K319">
        <v>110</v>
      </c>
      <c r="L319">
        <v>83</v>
      </c>
      <c r="M319" s="2">
        <v>469.97</v>
      </c>
      <c r="N319">
        <v>4</v>
      </c>
      <c r="O319">
        <v>0</v>
      </c>
      <c r="P319" t="s">
        <v>33</v>
      </c>
      <c r="Q319" t="s">
        <v>34</v>
      </c>
      <c r="R319" t="s">
        <v>81</v>
      </c>
      <c r="S319" s="2">
        <f t="shared" si="4"/>
        <v>51696.700000000004</v>
      </c>
    </row>
    <row r="320" spans="1:19" x14ac:dyDescent="0.3">
      <c r="A320" t="s">
        <v>381</v>
      </c>
      <c r="B320" s="1">
        <v>46068</v>
      </c>
      <c r="C320" t="s">
        <v>49</v>
      </c>
      <c r="D320" t="s">
        <v>50</v>
      </c>
      <c r="E320" t="s">
        <v>42</v>
      </c>
      <c r="F320" t="s">
        <v>31</v>
      </c>
      <c r="G320" t="s">
        <v>32</v>
      </c>
      <c r="H320">
        <v>180</v>
      </c>
      <c r="I320">
        <v>83</v>
      </c>
      <c r="J320">
        <v>41</v>
      </c>
      <c r="K320">
        <v>222</v>
      </c>
      <c r="L320">
        <v>89</v>
      </c>
      <c r="M320" s="2">
        <v>1412.61</v>
      </c>
      <c r="N320">
        <v>4</v>
      </c>
      <c r="O320">
        <v>0</v>
      </c>
      <c r="P320" t="s">
        <v>33</v>
      </c>
      <c r="Q320" t="s">
        <v>47</v>
      </c>
      <c r="R320" t="s">
        <v>26</v>
      </c>
      <c r="S320" s="2">
        <f t="shared" si="4"/>
        <v>313599.42</v>
      </c>
    </row>
    <row r="321" spans="1:19" x14ac:dyDescent="0.3">
      <c r="A321" t="s">
        <v>382</v>
      </c>
      <c r="B321" s="1">
        <v>46174</v>
      </c>
      <c r="C321" t="s">
        <v>40</v>
      </c>
      <c r="D321" t="s">
        <v>20</v>
      </c>
      <c r="E321" t="s">
        <v>42</v>
      </c>
      <c r="F321" t="s">
        <v>31</v>
      </c>
      <c r="G321" t="s">
        <v>32</v>
      </c>
      <c r="H321">
        <v>170</v>
      </c>
      <c r="I321">
        <v>29</v>
      </c>
      <c r="J321">
        <v>107</v>
      </c>
      <c r="K321">
        <v>92</v>
      </c>
      <c r="L321">
        <v>91</v>
      </c>
      <c r="M321" s="2">
        <v>828.23</v>
      </c>
      <c r="N321">
        <v>4</v>
      </c>
      <c r="O321">
        <v>0</v>
      </c>
      <c r="P321" t="s">
        <v>33</v>
      </c>
      <c r="Q321" t="s">
        <v>34</v>
      </c>
      <c r="R321" t="s">
        <v>26</v>
      </c>
      <c r="S321" s="2">
        <f t="shared" si="4"/>
        <v>76197.16</v>
      </c>
    </row>
    <row r="322" spans="1:19" x14ac:dyDescent="0.3">
      <c r="A322" t="s">
        <v>383</v>
      </c>
      <c r="B322" s="1">
        <v>46046</v>
      </c>
      <c r="C322" t="s">
        <v>146</v>
      </c>
      <c r="D322" t="s">
        <v>46</v>
      </c>
      <c r="E322" t="s">
        <v>75</v>
      </c>
      <c r="F322" t="s">
        <v>31</v>
      </c>
      <c r="G322" t="s">
        <v>32</v>
      </c>
      <c r="H322">
        <v>84</v>
      </c>
      <c r="I322">
        <v>25</v>
      </c>
      <c r="J322">
        <v>52</v>
      </c>
      <c r="K322">
        <v>57</v>
      </c>
      <c r="L322">
        <v>68</v>
      </c>
      <c r="M322" s="2">
        <v>1590.48</v>
      </c>
      <c r="N322">
        <v>4</v>
      </c>
      <c r="O322">
        <v>2</v>
      </c>
      <c r="P322" t="s">
        <v>33</v>
      </c>
      <c r="Q322" t="s">
        <v>34</v>
      </c>
      <c r="R322" t="s">
        <v>26</v>
      </c>
      <c r="S322" s="2">
        <f t="shared" ref="S322:S385" si="5">K322*M322</f>
        <v>90657.36</v>
      </c>
    </row>
    <row r="323" spans="1:19" x14ac:dyDescent="0.3">
      <c r="A323" t="s">
        <v>384</v>
      </c>
      <c r="B323" s="1">
        <v>46081</v>
      </c>
      <c r="C323" t="s">
        <v>98</v>
      </c>
      <c r="D323" t="s">
        <v>20</v>
      </c>
      <c r="E323" t="s">
        <v>42</v>
      </c>
      <c r="F323" t="s">
        <v>37</v>
      </c>
      <c r="G323" t="s">
        <v>38</v>
      </c>
      <c r="H323">
        <v>131</v>
      </c>
      <c r="I323">
        <v>76</v>
      </c>
      <c r="J323">
        <v>94</v>
      </c>
      <c r="K323">
        <v>113</v>
      </c>
      <c r="L323">
        <v>62</v>
      </c>
      <c r="M323" s="2">
        <v>1505.97</v>
      </c>
      <c r="N323">
        <v>2</v>
      </c>
      <c r="O323">
        <v>0</v>
      </c>
      <c r="P323" t="s">
        <v>33</v>
      </c>
      <c r="Q323" t="s">
        <v>34</v>
      </c>
      <c r="R323" t="s">
        <v>26</v>
      </c>
      <c r="S323" s="2">
        <f t="shared" si="5"/>
        <v>170174.61000000002</v>
      </c>
    </row>
    <row r="324" spans="1:19" x14ac:dyDescent="0.3">
      <c r="A324" t="s">
        <v>385</v>
      </c>
      <c r="B324" s="1">
        <v>46053</v>
      </c>
      <c r="C324" t="s">
        <v>55</v>
      </c>
      <c r="D324" t="s">
        <v>50</v>
      </c>
      <c r="E324" t="s">
        <v>58</v>
      </c>
      <c r="F324" t="s">
        <v>37</v>
      </c>
      <c r="G324" t="s">
        <v>38</v>
      </c>
      <c r="H324">
        <v>138</v>
      </c>
      <c r="I324">
        <v>108</v>
      </c>
      <c r="J324">
        <v>76</v>
      </c>
      <c r="K324">
        <v>170</v>
      </c>
      <c r="L324">
        <v>96</v>
      </c>
      <c r="M324" s="2">
        <v>984.35</v>
      </c>
      <c r="N324">
        <v>8</v>
      </c>
      <c r="O324">
        <v>0</v>
      </c>
      <c r="P324" t="s">
        <v>24</v>
      </c>
      <c r="Q324" t="s">
        <v>34</v>
      </c>
      <c r="R324" t="s">
        <v>26</v>
      </c>
      <c r="S324" s="2">
        <f t="shared" si="5"/>
        <v>167339.5</v>
      </c>
    </row>
    <row r="325" spans="1:19" x14ac:dyDescent="0.3">
      <c r="A325" t="s">
        <v>386</v>
      </c>
      <c r="B325" s="1">
        <v>46373</v>
      </c>
      <c r="C325" t="s">
        <v>62</v>
      </c>
      <c r="D325" t="s">
        <v>29</v>
      </c>
      <c r="E325" t="s">
        <v>58</v>
      </c>
      <c r="F325" t="s">
        <v>1582</v>
      </c>
      <c r="G325" t="s">
        <v>1583</v>
      </c>
      <c r="H325">
        <v>185</v>
      </c>
      <c r="I325">
        <v>106</v>
      </c>
      <c r="J325">
        <v>71</v>
      </c>
      <c r="K325">
        <v>220</v>
      </c>
      <c r="L325">
        <v>56</v>
      </c>
      <c r="M325" s="2">
        <v>715.59</v>
      </c>
      <c r="N325">
        <v>8</v>
      </c>
      <c r="O325">
        <v>0</v>
      </c>
      <c r="P325" t="s">
        <v>33</v>
      </c>
      <c r="Q325" t="s">
        <v>47</v>
      </c>
      <c r="R325" t="s">
        <v>26</v>
      </c>
      <c r="S325" s="2">
        <f t="shared" si="5"/>
        <v>157429.80000000002</v>
      </c>
    </row>
    <row r="326" spans="1:19" x14ac:dyDescent="0.3">
      <c r="A326" t="s">
        <v>387</v>
      </c>
      <c r="B326" s="1">
        <v>46318</v>
      </c>
      <c r="C326" t="s">
        <v>36</v>
      </c>
      <c r="D326" t="s">
        <v>29</v>
      </c>
      <c r="E326" t="s">
        <v>58</v>
      </c>
      <c r="F326" t="s">
        <v>31</v>
      </c>
      <c r="G326" t="s">
        <v>32</v>
      </c>
      <c r="H326">
        <v>145</v>
      </c>
      <c r="I326">
        <v>76</v>
      </c>
      <c r="J326">
        <v>20</v>
      </c>
      <c r="K326">
        <v>201</v>
      </c>
      <c r="L326">
        <v>49</v>
      </c>
      <c r="M326" s="2">
        <v>2285.5700000000002</v>
      </c>
      <c r="N326">
        <v>6</v>
      </c>
      <c r="O326">
        <v>0</v>
      </c>
      <c r="P326" t="s">
        <v>33</v>
      </c>
      <c r="Q326" t="s">
        <v>47</v>
      </c>
      <c r="R326" t="s">
        <v>59</v>
      </c>
      <c r="S326" s="2">
        <f t="shared" si="5"/>
        <v>459399.57</v>
      </c>
    </row>
    <row r="327" spans="1:19" x14ac:dyDescent="0.3">
      <c r="A327" t="s">
        <v>388</v>
      </c>
      <c r="B327" s="1">
        <v>46308</v>
      </c>
      <c r="C327" t="s">
        <v>87</v>
      </c>
      <c r="D327" t="s">
        <v>53</v>
      </c>
      <c r="E327" t="s">
        <v>21</v>
      </c>
      <c r="F327" t="s">
        <v>31</v>
      </c>
      <c r="G327" t="s">
        <v>32</v>
      </c>
      <c r="H327">
        <v>150</v>
      </c>
      <c r="I327">
        <v>104</v>
      </c>
      <c r="J327">
        <v>108</v>
      </c>
      <c r="K327">
        <v>146</v>
      </c>
      <c r="L327">
        <v>60</v>
      </c>
      <c r="M327" s="2">
        <v>448.37</v>
      </c>
      <c r="N327">
        <v>7</v>
      </c>
      <c r="O327">
        <v>0</v>
      </c>
      <c r="P327" t="s">
        <v>33</v>
      </c>
      <c r="Q327" t="s">
        <v>47</v>
      </c>
      <c r="R327" t="s">
        <v>26</v>
      </c>
      <c r="S327" s="2">
        <f t="shared" si="5"/>
        <v>65462.020000000004</v>
      </c>
    </row>
    <row r="328" spans="1:19" x14ac:dyDescent="0.3">
      <c r="A328" t="s">
        <v>389</v>
      </c>
      <c r="B328" s="1">
        <v>46146</v>
      </c>
      <c r="C328" t="s">
        <v>77</v>
      </c>
      <c r="D328" t="s">
        <v>53</v>
      </c>
      <c r="E328" t="s">
        <v>75</v>
      </c>
      <c r="F328" t="s">
        <v>22</v>
      </c>
      <c r="G328" t="s">
        <v>23</v>
      </c>
      <c r="H328">
        <v>169</v>
      </c>
      <c r="I328">
        <v>128</v>
      </c>
      <c r="J328">
        <v>75</v>
      </c>
      <c r="K328">
        <v>222</v>
      </c>
      <c r="L328">
        <v>99</v>
      </c>
      <c r="M328" s="2">
        <v>499.58</v>
      </c>
      <c r="N328">
        <v>3</v>
      </c>
      <c r="O328">
        <v>0</v>
      </c>
      <c r="P328" t="s">
        <v>24</v>
      </c>
      <c r="Q328" t="s">
        <v>47</v>
      </c>
      <c r="R328" t="s">
        <v>26</v>
      </c>
      <c r="S328" s="2">
        <f t="shared" si="5"/>
        <v>110906.76</v>
      </c>
    </row>
    <row r="329" spans="1:19" x14ac:dyDescent="0.3">
      <c r="A329" t="s">
        <v>390</v>
      </c>
      <c r="B329" s="1">
        <v>46252</v>
      </c>
      <c r="C329" t="s">
        <v>45</v>
      </c>
      <c r="D329" t="s">
        <v>46</v>
      </c>
      <c r="E329" t="s">
        <v>75</v>
      </c>
      <c r="F329" t="s">
        <v>22</v>
      </c>
      <c r="G329" t="s">
        <v>23</v>
      </c>
      <c r="H329">
        <v>180</v>
      </c>
      <c r="I329">
        <v>102</v>
      </c>
      <c r="J329">
        <v>63</v>
      </c>
      <c r="K329">
        <v>219</v>
      </c>
      <c r="L329">
        <v>70</v>
      </c>
      <c r="M329" s="2">
        <v>850.74</v>
      </c>
      <c r="N329">
        <v>2</v>
      </c>
      <c r="O329">
        <v>0</v>
      </c>
      <c r="P329" t="s">
        <v>33</v>
      </c>
      <c r="Q329" t="s">
        <v>47</v>
      </c>
      <c r="R329" t="s">
        <v>43</v>
      </c>
      <c r="S329" s="2">
        <f t="shared" si="5"/>
        <v>186312.06</v>
      </c>
    </row>
    <row r="330" spans="1:19" x14ac:dyDescent="0.3">
      <c r="A330" t="s">
        <v>391</v>
      </c>
      <c r="B330" s="1">
        <v>46332</v>
      </c>
      <c r="C330" t="s">
        <v>40</v>
      </c>
      <c r="D330" t="s">
        <v>20</v>
      </c>
      <c r="E330" t="s">
        <v>58</v>
      </c>
      <c r="F330" t="s">
        <v>37</v>
      </c>
      <c r="G330" t="s">
        <v>38</v>
      </c>
      <c r="H330">
        <v>70</v>
      </c>
      <c r="I330">
        <v>83</v>
      </c>
      <c r="J330">
        <v>110</v>
      </c>
      <c r="K330">
        <v>43</v>
      </c>
      <c r="L330">
        <v>86</v>
      </c>
      <c r="M330" s="2">
        <v>813.2</v>
      </c>
      <c r="N330">
        <v>5</v>
      </c>
      <c r="O330">
        <v>1</v>
      </c>
      <c r="P330" t="s">
        <v>33</v>
      </c>
      <c r="Q330" t="s">
        <v>25</v>
      </c>
      <c r="R330" t="s">
        <v>43</v>
      </c>
      <c r="S330" s="2">
        <f t="shared" si="5"/>
        <v>34967.599999999999</v>
      </c>
    </row>
    <row r="331" spans="1:19" x14ac:dyDescent="0.3">
      <c r="A331" t="s">
        <v>392</v>
      </c>
      <c r="B331" s="1">
        <v>46192</v>
      </c>
      <c r="C331" t="s">
        <v>52</v>
      </c>
      <c r="D331" t="s">
        <v>53</v>
      </c>
      <c r="E331" t="s">
        <v>30</v>
      </c>
      <c r="F331" t="s">
        <v>22</v>
      </c>
      <c r="G331" t="s">
        <v>23</v>
      </c>
      <c r="H331">
        <v>207</v>
      </c>
      <c r="I331">
        <v>105</v>
      </c>
      <c r="J331">
        <v>73</v>
      </c>
      <c r="K331">
        <v>239</v>
      </c>
      <c r="L331">
        <v>66</v>
      </c>
      <c r="M331" s="2">
        <v>632.23</v>
      </c>
      <c r="N331">
        <v>2</v>
      </c>
      <c r="O331">
        <v>0</v>
      </c>
      <c r="P331" t="s">
        <v>33</v>
      </c>
      <c r="Q331" t="s">
        <v>47</v>
      </c>
      <c r="R331" t="s">
        <v>43</v>
      </c>
      <c r="S331" s="2">
        <f t="shared" si="5"/>
        <v>151102.97</v>
      </c>
    </row>
    <row r="332" spans="1:19" x14ac:dyDescent="0.3">
      <c r="A332" t="s">
        <v>393</v>
      </c>
      <c r="B332" s="1">
        <v>46214</v>
      </c>
      <c r="C332" t="s">
        <v>68</v>
      </c>
      <c r="D332" t="s">
        <v>53</v>
      </c>
      <c r="E332" t="s">
        <v>21</v>
      </c>
      <c r="F332" t="s">
        <v>1582</v>
      </c>
      <c r="G332" t="s">
        <v>1583</v>
      </c>
      <c r="H332">
        <v>69</v>
      </c>
      <c r="I332">
        <v>32</v>
      </c>
      <c r="J332">
        <v>99</v>
      </c>
      <c r="K332">
        <v>2</v>
      </c>
      <c r="L332">
        <v>59</v>
      </c>
      <c r="M332" s="2">
        <v>540.26</v>
      </c>
      <c r="N332">
        <v>4</v>
      </c>
      <c r="O332">
        <v>5</v>
      </c>
      <c r="P332" t="s">
        <v>33</v>
      </c>
      <c r="Q332" t="s">
        <v>25</v>
      </c>
      <c r="R332" t="s">
        <v>26</v>
      </c>
      <c r="S332" s="2">
        <f t="shared" si="5"/>
        <v>1080.52</v>
      </c>
    </row>
    <row r="333" spans="1:19" x14ac:dyDescent="0.3">
      <c r="A333" t="s">
        <v>394</v>
      </c>
      <c r="B333" s="1">
        <v>46084</v>
      </c>
      <c r="C333" t="s">
        <v>19</v>
      </c>
      <c r="D333" t="s">
        <v>20</v>
      </c>
      <c r="E333" t="s">
        <v>42</v>
      </c>
      <c r="F333" t="s">
        <v>1582</v>
      </c>
      <c r="G333" t="s">
        <v>1583</v>
      </c>
      <c r="H333">
        <v>75</v>
      </c>
      <c r="I333">
        <v>125</v>
      </c>
      <c r="J333">
        <v>106</v>
      </c>
      <c r="K333">
        <v>94</v>
      </c>
      <c r="L333">
        <v>92</v>
      </c>
      <c r="M333" s="2">
        <v>1879.76</v>
      </c>
      <c r="N333">
        <v>2</v>
      </c>
      <c r="O333">
        <v>0</v>
      </c>
      <c r="P333" t="s">
        <v>33</v>
      </c>
      <c r="Q333" t="s">
        <v>34</v>
      </c>
      <c r="R333" t="s">
        <v>26</v>
      </c>
      <c r="S333" s="2">
        <f t="shared" si="5"/>
        <v>176697.44</v>
      </c>
    </row>
    <row r="334" spans="1:19" x14ac:dyDescent="0.3">
      <c r="A334" t="s">
        <v>395</v>
      </c>
      <c r="B334" s="1">
        <v>46253</v>
      </c>
      <c r="C334" t="s">
        <v>72</v>
      </c>
      <c r="D334" t="s">
        <v>50</v>
      </c>
      <c r="E334" t="s">
        <v>58</v>
      </c>
      <c r="F334" t="s">
        <v>22</v>
      </c>
      <c r="G334" t="s">
        <v>23</v>
      </c>
      <c r="H334">
        <v>126</v>
      </c>
      <c r="I334">
        <v>33</v>
      </c>
      <c r="J334">
        <v>68</v>
      </c>
      <c r="K334">
        <v>91</v>
      </c>
      <c r="L334">
        <v>47</v>
      </c>
      <c r="M334" s="2">
        <v>2387.7199999999998</v>
      </c>
      <c r="N334">
        <v>8</v>
      </c>
      <c r="O334">
        <v>0</v>
      </c>
      <c r="P334" t="s">
        <v>33</v>
      </c>
      <c r="Q334" t="s">
        <v>34</v>
      </c>
      <c r="R334" t="s">
        <v>26</v>
      </c>
      <c r="S334" s="2">
        <f t="shared" si="5"/>
        <v>217282.52</v>
      </c>
    </row>
    <row r="335" spans="1:19" x14ac:dyDescent="0.3">
      <c r="A335" t="s">
        <v>396</v>
      </c>
      <c r="B335" s="1">
        <v>46113</v>
      </c>
      <c r="C335" t="s">
        <v>72</v>
      </c>
      <c r="D335" t="s">
        <v>50</v>
      </c>
      <c r="E335" t="s">
        <v>58</v>
      </c>
      <c r="F335" t="s">
        <v>31</v>
      </c>
      <c r="G335" t="s">
        <v>32</v>
      </c>
      <c r="H335">
        <v>175</v>
      </c>
      <c r="I335">
        <v>114</v>
      </c>
      <c r="J335">
        <v>21</v>
      </c>
      <c r="K335">
        <v>268</v>
      </c>
      <c r="L335">
        <v>80</v>
      </c>
      <c r="M335" s="2">
        <v>2391.54</v>
      </c>
      <c r="N335">
        <v>8</v>
      </c>
      <c r="O335">
        <v>0</v>
      </c>
      <c r="P335" t="s">
        <v>33</v>
      </c>
      <c r="Q335" t="s">
        <v>47</v>
      </c>
      <c r="R335" t="s">
        <v>81</v>
      </c>
      <c r="S335" s="2">
        <f t="shared" si="5"/>
        <v>640932.72</v>
      </c>
    </row>
    <row r="336" spans="1:19" x14ac:dyDescent="0.3">
      <c r="A336" t="s">
        <v>397</v>
      </c>
      <c r="B336" s="1">
        <v>46334</v>
      </c>
      <c r="C336" t="s">
        <v>87</v>
      </c>
      <c r="D336" t="s">
        <v>53</v>
      </c>
      <c r="E336" t="s">
        <v>42</v>
      </c>
      <c r="F336" t="s">
        <v>31</v>
      </c>
      <c r="G336" t="s">
        <v>32</v>
      </c>
      <c r="H336">
        <v>139</v>
      </c>
      <c r="I336">
        <v>104</v>
      </c>
      <c r="J336">
        <v>91</v>
      </c>
      <c r="K336">
        <v>152</v>
      </c>
      <c r="L336">
        <v>83</v>
      </c>
      <c r="M336" s="2">
        <v>484.44</v>
      </c>
      <c r="N336">
        <v>6</v>
      </c>
      <c r="O336">
        <v>0</v>
      </c>
      <c r="P336" t="s">
        <v>33</v>
      </c>
      <c r="Q336" t="s">
        <v>34</v>
      </c>
      <c r="R336" t="s">
        <v>26</v>
      </c>
      <c r="S336" s="2">
        <f t="shared" si="5"/>
        <v>73634.880000000005</v>
      </c>
    </row>
    <row r="337" spans="1:19" x14ac:dyDescent="0.3">
      <c r="A337" t="s">
        <v>398</v>
      </c>
      <c r="B337" s="1">
        <v>46382</v>
      </c>
      <c r="C337" t="s">
        <v>83</v>
      </c>
      <c r="D337" t="s">
        <v>29</v>
      </c>
      <c r="E337" t="s">
        <v>58</v>
      </c>
      <c r="F337" t="s">
        <v>37</v>
      </c>
      <c r="G337" t="s">
        <v>38</v>
      </c>
      <c r="H337">
        <v>115</v>
      </c>
      <c r="I337">
        <v>77</v>
      </c>
      <c r="J337">
        <v>32</v>
      </c>
      <c r="K337">
        <v>160</v>
      </c>
      <c r="L337">
        <v>53</v>
      </c>
      <c r="M337" s="2">
        <v>1572.08</v>
      </c>
      <c r="N337">
        <v>7</v>
      </c>
      <c r="O337">
        <v>0</v>
      </c>
      <c r="P337" t="s">
        <v>33</v>
      </c>
      <c r="Q337" t="s">
        <v>47</v>
      </c>
      <c r="R337" t="s">
        <v>26</v>
      </c>
      <c r="S337" s="2">
        <f t="shared" si="5"/>
        <v>251532.79999999999</v>
      </c>
    </row>
    <row r="338" spans="1:19" x14ac:dyDescent="0.3">
      <c r="A338" t="s">
        <v>399</v>
      </c>
      <c r="B338" s="1">
        <v>46355</v>
      </c>
      <c r="C338" t="s">
        <v>52</v>
      </c>
      <c r="D338" t="s">
        <v>53</v>
      </c>
      <c r="E338" t="s">
        <v>30</v>
      </c>
      <c r="F338" t="s">
        <v>22</v>
      </c>
      <c r="G338" t="s">
        <v>23</v>
      </c>
      <c r="H338">
        <v>91</v>
      </c>
      <c r="I338">
        <v>46</v>
      </c>
      <c r="J338">
        <v>94</v>
      </c>
      <c r="K338">
        <v>43</v>
      </c>
      <c r="L338">
        <v>90</v>
      </c>
      <c r="M338" s="2">
        <v>622.78</v>
      </c>
      <c r="N338">
        <v>4</v>
      </c>
      <c r="O338">
        <v>3</v>
      </c>
      <c r="P338" t="s">
        <v>33</v>
      </c>
      <c r="Q338" t="s">
        <v>25</v>
      </c>
      <c r="R338" t="s">
        <v>81</v>
      </c>
      <c r="S338" s="2">
        <f t="shared" si="5"/>
        <v>26779.539999999997</v>
      </c>
    </row>
    <row r="339" spans="1:19" x14ac:dyDescent="0.3">
      <c r="A339" t="s">
        <v>400</v>
      </c>
      <c r="B339" s="1">
        <v>46296</v>
      </c>
      <c r="C339" t="s">
        <v>83</v>
      </c>
      <c r="D339" t="s">
        <v>29</v>
      </c>
      <c r="E339" t="s">
        <v>75</v>
      </c>
      <c r="F339" t="s">
        <v>37</v>
      </c>
      <c r="G339" t="s">
        <v>38</v>
      </c>
      <c r="H339">
        <v>183</v>
      </c>
      <c r="I339">
        <v>81</v>
      </c>
      <c r="J339">
        <v>89</v>
      </c>
      <c r="K339">
        <v>175</v>
      </c>
      <c r="L339">
        <v>81</v>
      </c>
      <c r="M339" s="2">
        <v>1741.66</v>
      </c>
      <c r="N339">
        <v>7</v>
      </c>
      <c r="O339">
        <v>0</v>
      </c>
      <c r="P339" t="s">
        <v>33</v>
      </c>
      <c r="Q339" t="s">
        <v>34</v>
      </c>
      <c r="R339" t="s">
        <v>59</v>
      </c>
      <c r="S339" s="2">
        <f t="shared" si="5"/>
        <v>304790.5</v>
      </c>
    </row>
    <row r="340" spans="1:19" x14ac:dyDescent="0.3">
      <c r="A340" t="s">
        <v>401</v>
      </c>
      <c r="B340" s="1">
        <v>46169</v>
      </c>
      <c r="C340" t="s">
        <v>146</v>
      </c>
      <c r="D340" t="s">
        <v>46</v>
      </c>
      <c r="E340" t="s">
        <v>75</v>
      </c>
      <c r="F340" t="s">
        <v>31</v>
      </c>
      <c r="G340" t="s">
        <v>32</v>
      </c>
      <c r="H340">
        <v>46</v>
      </c>
      <c r="I340">
        <v>68</v>
      </c>
      <c r="J340">
        <v>33</v>
      </c>
      <c r="K340">
        <v>81</v>
      </c>
      <c r="L340">
        <v>48</v>
      </c>
      <c r="M340" s="2">
        <v>1551.08</v>
      </c>
      <c r="N340">
        <v>3</v>
      </c>
      <c r="O340">
        <v>0</v>
      </c>
      <c r="P340" t="s">
        <v>33</v>
      </c>
      <c r="Q340" t="s">
        <v>34</v>
      </c>
      <c r="R340" t="s">
        <v>59</v>
      </c>
      <c r="S340" s="2">
        <f t="shared" si="5"/>
        <v>125637.48</v>
      </c>
    </row>
    <row r="341" spans="1:19" x14ac:dyDescent="0.3">
      <c r="A341" t="s">
        <v>402</v>
      </c>
      <c r="B341" s="1">
        <v>46310</v>
      </c>
      <c r="C341" t="s">
        <v>80</v>
      </c>
      <c r="D341" t="s">
        <v>46</v>
      </c>
      <c r="E341" t="s">
        <v>75</v>
      </c>
      <c r="F341" t="s">
        <v>37</v>
      </c>
      <c r="G341" t="s">
        <v>38</v>
      </c>
      <c r="H341">
        <v>92</v>
      </c>
      <c r="I341">
        <v>116</v>
      </c>
      <c r="J341">
        <v>84</v>
      </c>
      <c r="K341">
        <v>124</v>
      </c>
      <c r="L341">
        <v>47</v>
      </c>
      <c r="M341" s="2">
        <v>1068.9100000000001</v>
      </c>
      <c r="N341">
        <v>5</v>
      </c>
      <c r="O341">
        <v>0</v>
      </c>
      <c r="P341" t="s">
        <v>24</v>
      </c>
      <c r="Q341" t="s">
        <v>47</v>
      </c>
      <c r="R341" t="s">
        <v>43</v>
      </c>
      <c r="S341" s="2">
        <f t="shared" si="5"/>
        <v>132544.84</v>
      </c>
    </row>
    <row r="342" spans="1:19" x14ac:dyDescent="0.3">
      <c r="A342" t="s">
        <v>403</v>
      </c>
      <c r="B342" s="1">
        <v>46305</v>
      </c>
      <c r="C342" t="s">
        <v>36</v>
      </c>
      <c r="D342" t="s">
        <v>29</v>
      </c>
      <c r="E342" t="s">
        <v>42</v>
      </c>
      <c r="F342" t="s">
        <v>37</v>
      </c>
      <c r="G342" t="s">
        <v>38</v>
      </c>
      <c r="H342">
        <v>217</v>
      </c>
      <c r="I342">
        <v>105</v>
      </c>
      <c r="J342">
        <v>21</v>
      </c>
      <c r="K342">
        <v>301</v>
      </c>
      <c r="L342">
        <v>69</v>
      </c>
      <c r="M342" s="2">
        <v>2346.0300000000002</v>
      </c>
      <c r="N342">
        <v>8</v>
      </c>
      <c r="O342">
        <v>0</v>
      </c>
      <c r="P342" t="s">
        <v>33</v>
      </c>
      <c r="Q342" t="s">
        <v>47</v>
      </c>
      <c r="R342" t="s">
        <v>26</v>
      </c>
      <c r="S342" s="2">
        <f t="shared" si="5"/>
        <v>706155.03</v>
      </c>
    </row>
    <row r="343" spans="1:19" x14ac:dyDescent="0.3">
      <c r="A343" t="s">
        <v>404</v>
      </c>
      <c r="B343" s="1">
        <v>46324</v>
      </c>
      <c r="C343" t="s">
        <v>19</v>
      </c>
      <c r="D343" t="s">
        <v>20</v>
      </c>
      <c r="E343" t="s">
        <v>21</v>
      </c>
      <c r="F343" t="s">
        <v>22</v>
      </c>
      <c r="G343" t="s">
        <v>23</v>
      </c>
      <c r="H343">
        <v>198</v>
      </c>
      <c r="I343">
        <v>119</v>
      </c>
      <c r="J343">
        <v>71</v>
      </c>
      <c r="K343">
        <v>246</v>
      </c>
      <c r="L343">
        <v>98</v>
      </c>
      <c r="M343" s="2">
        <v>1701.2</v>
      </c>
      <c r="N343">
        <v>7</v>
      </c>
      <c r="O343">
        <v>0</v>
      </c>
      <c r="P343" t="s">
        <v>33</v>
      </c>
      <c r="Q343" t="s">
        <v>47</v>
      </c>
      <c r="R343" t="s">
        <v>26</v>
      </c>
      <c r="S343" s="2">
        <f t="shared" si="5"/>
        <v>418495.2</v>
      </c>
    </row>
    <row r="344" spans="1:19" x14ac:dyDescent="0.3">
      <c r="A344" t="s">
        <v>405</v>
      </c>
      <c r="B344" s="1">
        <v>46043</v>
      </c>
      <c r="C344" t="s">
        <v>87</v>
      </c>
      <c r="D344" t="s">
        <v>53</v>
      </c>
      <c r="E344" t="s">
        <v>42</v>
      </c>
      <c r="F344" t="s">
        <v>37</v>
      </c>
      <c r="G344" t="s">
        <v>38</v>
      </c>
      <c r="H344">
        <v>154</v>
      </c>
      <c r="I344">
        <v>42</v>
      </c>
      <c r="J344">
        <v>102</v>
      </c>
      <c r="K344">
        <v>94</v>
      </c>
      <c r="L344">
        <v>49</v>
      </c>
      <c r="M344" s="2">
        <v>421.83</v>
      </c>
      <c r="N344">
        <v>3</v>
      </c>
      <c r="O344">
        <v>0</v>
      </c>
      <c r="P344" t="s">
        <v>33</v>
      </c>
      <c r="Q344" t="s">
        <v>34</v>
      </c>
      <c r="R344" t="s">
        <v>26</v>
      </c>
      <c r="S344" s="2">
        <f t="shared" si="5"/>
        <v>39652.019999999997</v>
      </c>
    </row>
    <row r="345" spans="1:19" x14ac:dyDescent="0.3">
      <c r="A345" t="s">
        <v>406</v>
      </c>
      <c r="B345" s="1">
        <v>46188</v>
      </c>
      <c r="C345" t="s">
        <v>49</v>
      </c>
      <c r="D345" t="s">
        <v>50</v>
      </c>
      <c r="E345" t="s">
        <v>30</v>
      </c>
      <c r="F345" t="s">
        <v>37</v>
      </c>
      <c r="G345" t="s">
        <v>38</v>
      </c>
      <c r="H345">
        <v>73</v>
      </c>
      <c r="I345">
        <v>40</v>
      </c>
      <c r="J345">
        <v>89</v>
      </c>
      <c r="K345">
        <v>24</v>
      </c>
      <c r="L345">
        <v>99</v>
      </c>
      <c r="M345" s="2">
        <v>1236.3</v>
      </c>
      <c r="N345">
        <v>4</v>
      </c>
      <c r="O345">
        <v>3</v>
      </c>
      <c r="P345" t="s">
        <v>33</v>
      </c>
      <c r="Q345" t="s">
        <v>25</v>
      </c>
      <c r="R345" t="s">
        <v>26</v>
      </c>
      <c r="S345" s="2">
        <f t="shared" si="5"/>
        <v>29671.199999999997</v>
      </c>
    </row>
    <row r="346" spans="1:19" x14ac:dyDescent="0.3">
      <c r="A346" t="s">
        <v>407</v>
      </c>
      <c r="B346" s="1">
        <v>46117</v>
      </c>
      <c r="C346" t="s">
        <v>77</v>
      </c>
      <c r="D346" t="s">
        <v>53</v>
      </c>
      <c r="E346" t="s">
        <v>30</v>
      </c>
      <c r="F346" t="s">
        <v>37</v>
      </c>
      <c r="G346" t="s">
        <v>38</v>
      </c>
      <c r="H346">
        <v>165</v>
      </c>
      <c r="I346">
        <v>121</v>
      </c>
      <c r="J346">
        <v>88</v>
      </c>
      <c r="K346">
        <v>198</v>
      </c>
      <c r="L346">
        <v>80</v>
      </c>
      <c r="M346" s="2">
        <v>485.81</v>
      </c>
      <c r="N346">
        <v>8</v>
      </c>
      <c r="O346">
        <v>0</v>
      </c>
      <c r="P346" t="s">
        <v>33</v>
      </c>
      <c r="Q346" t="s">
        <v>47</v>
      </c>
      <c r="R346" t="s">
        <v>26</v>
      </c>
      <c r="S346" s="2">
        <f t="shared" si="5"/>
        <v>96190.38</v>
      </c>
    </row>
    <row r="347" spans="1:19" x14ac:dyDescent="0.3">
      <c r="A347" t="s">
        <v>408</v>
      </c>
      <c r="B347" s="1">
        <v>46192</v>
      </c>
      <c r="C347" t="s">
        <v>77</v>
      </c>
      <c r="D347" t="s">
        <v>53</v>
      </c>
      <c r="E347" t="s">
        <v>30</v>
      </c>
      <c r="F347" t="s">
        <v>22</v>
      </c>
      <c r="G347" t="s">
        <v>23</v>
      </c>
      <c r="H347">
        <v>146</v>
      </c>
      <c r="I347">
        <v>89</v>
      </c>
      <c r="J347">
        <v>83</v>
      </c>
      <c r="K347">
        <v>152</v>
      </c>
      <c r="L347">
        <v>70</v>
      </c>
      <c r="M347" s="2">
        <v>459.19</v>
      </c>
      <c r="N347">
        <v>3</v>
      </c>
      <c r="O347">
        <v>0</v>
      </c>
      <c r="P347" t="s">
        <v>33</v>
      </c>
      <c r="Q347" t="s">
        <v>34</v>
      </c>
      <c r="R347" t="s">
        <v>26</v>
      </c>
      <c r="S347" s="2">
        <f t="shared" si="5"/>
        <v>69796.88</v>
      </c>
    </row>
    <row r="348" spans="1:19" x14ac:dyDescent="0.3">
      <c r="A348" t="s">
        <v>409</v>
      </c>
      <c r="B348" s="1">
        <v>46337</v>
      </c>
      <c r="C348" t="s">
        <v>45</v>
      </c>
      <c r="D348" t="s">
        <v>46</v>
      </c>
      <c r="E348" t="s">
        <v>42</v>
      </c>
      <c r="F348" t="s">
        <v>1582</v>
      </c>
      <c r="G348" t="s">
        <v>1583</v>
      </c>
      <c r="H348">
        <v>183</v>
      </c>
      <c r="I348">
        <v>125</v>
      </c>
      <c r="J348">
        <v>98</v>
      </c>
      <c r="K348">
        <v>210</v>
      </c>
      <c r="L348">
        <v>45</v>
      </c>
      <c r="M348" s="2">
        <v>738.36</v>
      </c>
      <c r="N348">
        <v>4</v>
      </c>
      <c r="O348">
        <v>0</v>
      </c>
      <c r="P348" t="s">
        <v>33</v>
      </c>
      <c r="Q348" t="s">
        <v>47</v>
      </c>
      <c r="R348" t="s">
        <v>43</v>
      </c>
      <c r="S348" s="2">
        <f t="shared" si="5"/>
        <v>155055.6</v>
      </c>
    </row>
    <row r="349" spans="1:19" x14ac:dyDescent="0.3">
      <c r="A349" t="s">
        <v>410</v>
      </c>
      <c r="B349" s="1">
        <v>46214</v>
      </c>
      <c r="C349" t="s">
        <v>87</v>
      </c>
      <c r="D349" t="s">
        <v>53</v>
      </c>
      <c r="E349" t="s">
        <v>75</v>
      </c>
      <c r="F349" t="s">
        <v>37</v>
      </c>
      <c r="G349" t="s">
        <v>38</v>
      </c>
      <c r="H349">
        <v>137</v>
      </c>
      <c r="I349">
        <v>121</v>
      </c>
      <c r="J349">
        <v>29</v>
      </c>
      <c r="K349">
        <v>229</v>
      </c>
      <c r="L349">
        <v>69</v>
      </c>
      <c r="M349" s="2">
        <v>428.09</v>
      </c>
      <c r="N349">
        <v>7</v>
      </c>
      <c r="O349">
        <v>0</v>
      </c>
      <c r="P349" t="s">
        <v>33</v>
      </c>
      <c r="Q349" t="s">
        <v>47</v>
      </c>
      <c r="R349" t="s">
        <v>43</v>
      </c>
      <c r="S349" s="2">
        <f t="shared" si="5"/>
        <v>98032.61</v>
      </c>
    </row>
    <row r="350" spans="1:19" x14ac:dyDescent="0.3">
      <c r="A350" t="s">
        <v>411</v>
      </c>
      <c r="B350" s="1">
        <v>46298</v>
      </c>
      <c r="C350" t="s">
        <v>68</v>
      </c>
      <c r="D350" t="s">
        <v>53</v>
      </c>
      <c r="E350" t="s">
        <v>58</v>
      </c>
      <c r="F350" t="s">
        <v>31</v>
      </c>
      <c r="G350" t="s">
        <v>32</v>
      </c>
      <c r="H350">
        <v>115</v>
      </c>
      <c r="I350">
        <v>103</v>
      </c>
      <c r="J350">
        <v>39</v>
      </c>
      <c r="K350">
        <v>179</v>
      </c>
      <c r="L350">
        <v>65</v>
      </c>
      <c r="M350" s="2">
        <v>601.66999999999996</v>
      </c>
      <c r="N350">
        <v>2</v>
      </c>
      <c r="O350">
        <v>0</v>
      </c>
      <c r="P350" t="s">
        <v>24</v>
      </c>
      <c r="Q350" t="s">
        <v>47</v>
      </c>
      <c r="R350" t="s">
        <v>81</v>
      </c>
      <c r="S350" s="2">
        <f t="shared" si="5"/>
        <v>107698.93</v>
      </c>
    </row>
    <row r="351" spans="1:19" x14ac:dyDescent="0.3">
      <c r="A351" t="s">
        <v>412</v>
      </c>
      <c r="B351" s="1">
        <v>46382</v>
      </c>
      <c r="C351" t="s">
        <v>77</v>
      </c>
      <c r="D351" t="s">
        <v>53</v>
      </c>
      <c r="E351" t="s">
        <v>75</v>
      </c>
      <c r="F351" t="s">
        <v>22</v>
      </c>
      <c r="G351" t="s">
        <v>23</v>
      </c>
      <c r="H351">
        <v>211</v>
      </c>
      <c r="I351">
        <v>100</v>
      </c>
      <c r="J351">
        <v>42</v>
      </c>
      <c r="K351">
        <v>269</v>
      </c>
      <c r="L351">
        <v>100</v>
      </c>
      <c r="M351" s="2">
        <v>518.54</v>
      </c>
      <c r="N351">
        <v>8</v>
      </c>
      <c r="O351">
        <v>0</v>
      </c>
      <c r="P351" t="s">
        <v>24</v>
      </c>
      <c r="Q351" t="s">
        <v>47</v>
      </c>
      <c r="R351" t="s">
        <v>26</v>
      </c>
      <c r="S351" s="2">
        <f t="shared" si="5"/>
        <v>139487.25999999998</v>
      </c>
    </row>
    <row r="352" spans="1:19" x14ac:dyDescent="0.3">
      <c r="A352" t="s">
        <v>413</v>
      </c>
      <c r="B352" s="1">
        <v>46059</v>
      </c>
      <c r="C352" t="s">
        <v>57</v>
      </c>
      <c r="D352" t="s">
        <v>50</v>
      </c>
      <c r="E352" t="s">
        <v>42</v>
      </c>
      <c r="F352" t="s">
        <v>31</v>
      </c>
      <c r="G352" t="s">
        <v>32</v>
      </c>
      <c r="H352">
        <v>157</v>
      </c>
      <c r="I352">
        <v>111</v>
      </c>
      <c r="J352">
        <v>57</v>
      </c>
      <c r="K352">
        <v>211</v>
      </c>
      <c r="L352">
        <v>47</v>
      </c>
      <c r="M352" s="2">
        <v>2569.0100000000002</v>
      </c>
      <c r="N352">
        <v>2</v>
      </c>
      <c r="O352">
        <v>0</v>
      </c>
      <c r="P352" t="s">
        <v>33</v>
      </c>
      <c r="Q352" t="s">
        <v>47</v>
      </c>
      <c r="R352" t="s">
        <v>26</v>
      </c>
      <c r="S352" s="2">
        <f t="shared" si="5"/>
        <v>542061.1100000001</v>
      </c>
    </row>
    <row r="353" spans="1:19" x14ac:dyDescent="0.3">
      <c r="A353" t="s">
        <v>414</v>
      </c>
      <c r="B353" s="1">
        <v>46026</v>
      </c>
      <c r="C353" t="s">
        <v>87</v>
      </c>
      <c r="D353" t="s">
        <v>53</v>
      </c>
      <c r="E353" t="s">
        <v>21</v>
      </c>
      <c r="F353" t="s">
        <v>1582</v>
      </c>
      <c r="G353" t="s">
        <v>1583</v>
      </c>
      <c r="H353">
        <v>139</v>
      </c>
      <c r="I353">
        <v>77</v>
      </c>
      <c r="J353">
        <v>95</v>
      </c>
      <c r="K353">
        <v>121</v>
      </c>
      <c r="L353">
        <v>70</v>
      </c>
      <c r="M353" s="2">
        <v>443.97</v>
      </c>
      <c r="N353">
        <v>2</v>
      </c>
      <c r="O353">
        <v>0</v>
      </c>
      <c r="P353" t="s">
        <v>33</v>
      </c>
      <c r="Q353" t="s">
        <v>34</v>
      </c>
      <c r="R353" t="s">
        <v>26</v>
      </c>
      <c r="S353" s="2">
        <f t="shared" si="5"/>
        <v>53720.37</v>
      </c>
    </row>
    <row r="354" spans="1:19" x14ac:dyDescent="0.3">
      <c r="A354" t="s">
        <v>415</v>
      </c>
      <c r="B354" s="1">
        <v>46333</v>
      </c>
      <c r="C354" t="s">
        <v>77</v>
      </c>
      <c r="D354" t="s">
        <v>53</v>
      </c>
      <c r="E354" t="s">
        <v>30</v>
      </c>
      <c r="F354" t="s">
        <v>31</v>
      </c>
      <c r="G354" t="s">
        <v>32</v>
      </c>
      <c r="H354">
        <v>219</v>
      </c>
      <c r="I354">
        <v>128</v>
      </c>
      <c r="J354">
        <v>24</v>
      </c>
      <c r="K354">
        <v>323</v>
      </c>
      <c r="L354">
        <v>67</v>
      </c>
      <c r="M354" s="2">
        <v>542.79999999999995</v>
      </c>
      <c r="N354">
        <v>2</v>
      </c>
      <c r="O354">
        <v>0</v>
      </c>
      <c r="P354" t="s">
        <v>33</v>
      </c>
      <c r="Q354" t="s">
        <v>47</v>
      </c>
      <c r="R354" t="s">
        <v>59</v>
      </c>
      <c r="S354" s="2">
        <f t="shared" si="5"/>
        <v>175324.4</v>
      </c>
    </row>
    <row r="355" spans="1:19" x14ac:dyDescent="0.3">
      <c r="A355" t="s">
        <v>416</v>
      </c>
      <c r="B355" s="1">
        <v>46302</v>
      </c>
      <c r="C355" t="s">
        <v>89</v>
      </c>
      <c r="D355" t="s">
        <v>20</v>
      </c>
      <c r="E355" t="s">
        <v>58</v>
      </c>
      <c r="F355" t="s">
        <v>1582</v>
      </c>
      <c r="G355" t="s">
        <v>1583</v>
      </c>
      <c r="H355">
        <v>141</v>
      </c>
      <c r="I355">
        <v>125</v>
      </c>
      <c r="J355">
        <v>99</v>
      </c>
      <c r="K355">
        <v>167</v>
      </c>
      <c r="L355">
        <v>46</v>
      </c>
      <c r="M355" s="2">
        <v>1193.76</v>
      </c>
      <c r="N355">
        <v>6</v>
      </c>
      <c r="O355">
        <v>0</v>
      </c>
      <c r="P355" t="s">
        <v>33</v>
      </c>
      <c r="Q355" t="s">
        <v>47</v>
      </c>
      <c r="R355" t="s">
        <v>59</v>
      </c>
      <c r="S355" s="2">
        <f t="shared" si="5"/>
        <v>199357.92</v>
      </c>
    </row>
    <row r="356" spans="1:19" x14ac:dyDescent="0.3">
      <c r="A356" t="s">
        <v>417</v>
      </c>
      <c r="B356" s="1">
        <v>46066</v>
      </c>
      <c r="C356" t="s">
        <v>80</v>
      </c>
      <c r="D356" t="s">
        <v>46</v>
      </c>
      <c r="E356" t="s">
        <v>21</v>
      </c>
      <c r="F356" t="s">
        <v>37</v>
      </c>
      <c r="G356" t="s">
        <v>38</v>
      </c>
      <c r="H356">
        <v>42</v>
      </c>
      <c r="I356">
        <v>90</v>
      </c>
      <c r="J356">
        <v>86</v>
      </c>
      <c r="K356">
        <v>46</v>
      </c>
      <c r="L356">
        <v>54</v>
      </c>
      <c r="M356" s="2">
        <v>1017.11</v>
      </c>
      <c r="N356">
        <v>2</v>
      </c>
      <c r="O356">
        <v>7</v>
      </c>
      <c r="P356" t="s">
        <v>33</v>
      </c>
      <c r="Q356" t="s">
        <v>34</v>
      </c>
      <c r="R356" t="s">
        <v>26</v>
      </c>
      <c r="S356" s="2">
        <f t="shared" si="5"/>
        <v>46787.06</v>
      </c>
    </row>
    <row r="357" spans="1:19" x14ac:dyDescent="0.3">
      <c r="A357" t="s">
        <v>418</v>
      </c>
      <c r="B357" s="1">
        <v>46081</v>
      </c>
      <c r="C357" t="s">
        <v>80</v>
      </c>
      <c r="D357" t="s">
        <v>46</v>
      </c>
      <c r="E357" t="s">
        <v>21</v>
      </c>
      <c r="F357" t="s">
        <v>22</v>
      </c>
      <c r="G357" t="s">
        <v>23</v>
      </c>
      <c r="H357">
        <v>145</v>
      </c>
      <c r="I357">
        <v>102</v>
      </c>
      <c r="J357">
        <v>80</v>
      </c>
      <c r="K357">
        <v>167</v>
      </c>
      <c r="L357">
        <v>54</v>
      </c>
      <c r="M357" s="2">
        <v>1025.4100000000001</v>
      </c>
      <c r="N357">
        <v>3</v>
      </c>
      <c r="O357">
        <v>0</v>
      </c>
      <c r="P357" t="s">
        <v>33</v>
      </c>
      <c r="Q357" t="s">
        <v>47</v>
      </c>
      <c r="R357" t="s">
        <v>26</v>
      </c>
      <c r="S357" s="2">
        <f t="shared" si="5"/>
        <v>171243.47</v>
      </c>
    </row>
    <row r="358" spans="1:19" x14ac:dyDescent="0.3">
      <c r="A358" t="s">
        <v>419</v>
      </c>
      <c r="B358" s="1">
        <v>46272</v>
      </c>
      <c r="C358" t="s">
        <v>62</v>
      </c>
      <c r="D358" t="s">
        <v>29</v>
      </c>
      <c r="E358" t="s">
        <v>30</v>
      </c>
      <c r="F358" t="s">
        <v>1582</v>
      </c>
      <c r="G358" t="s">
        <v>1583</v>
      </c>
      <c r="H358">
        <v>205</v>
      </c>
      <c r="I358">
        <v>90</v>
      </c>
      <c r="J358">
        <v>24</v>
      </c>
      <c r="K358">
        <v>271</v>
      </c>
      <c r="L358">
        <v>63</v>
      </c>
      <c r="M358" s="2">
        <v>724.04</v>
      </c>
      <c r="N358">
        <v>4</v>
      </c>
      <c r="O358">
        <v>0</v>
      </c>
      <c r="P358" t="s">
        <v>24</v>
      </c>
      <c r="Q358" t="s">
        <v>47</v>
      </c>
      <c r="R358" t="s">
        <v>59</v>
      </c>
      <c r="S358" s="2">
        <f t="shared" si="5"/>
        <v>196214.84</v>
      </c>
    </row>
    <row r="359" spans="1:19" x14ac:dyDescent="0.3">
      <c r="A359" t="s">
        <v>420</v>
      </c>
      <c r="B359" s="1">
        <v>46179</v>
      </c>
      <c r="C359" t="s">
        <v>45</v>
      </c>
      <c r="D359" t="s">
        <v>46</v>
      </c>
      <c r="E359" t="s">
        <v>42</v>
      </c>
      <c r="F359" t="s">
        <v>22</v>
      </c>
      <c r="G359" t="s">
        <v>23</v>
      </c>
      <c r="H359">
        <v>65</v>
      </c>
      <c r="I359">
        <v>56</v>
      </c>
      <c r="J359">
        <v>94</v>
      </c>
      <c r="K359">
        <v>27</v>
      </c>
      <c r="L359">
        <v>49</v>
      </c>
      <c r="M359" s="2">
        <v>864.02</v>
      </c>
      <c r="N359">
        <v>4</v>
      </c>
      <c r="O359">
        <v>6</v>
      </c>
      <c r="P359" t="s">
        <v>33</v>
      </c>
      <c r="Q359" t="s">
        <v>25</v>
      </c>
      <c r="R359" t="s">
        <v>26</v>
      </c>
      <c r="S359" s="2">
        <f t="shared" si="5"/>
        <v>23328.54</v>
      </c>
    </row>
    <row r="360" spans="1:19" x14ac:dyDescent="0.3">
      <c r="A360" t="s">
        <v>421</v>
      </c>
      <c r="B360" s="1">
        <v>46246</v>
      </c>
      <c r="C360" t="s">
        <v>87</v>
      </c>
      <c r="D360" t="s">
        <v>53</v>
      </c>
      <c r="E360" t="s">
        <v>30</v>
      </c>
      <c r="F360" t="s">
        <v>37</v>
      </c>
      <c r="G360" t="s">
        <v>38</v>
      </c>
      <c r="H360">
        <v>120</v>
      </c>
      <c r="I360">
        <v>74</v>
      </c>
      <c r="J360">
        <v>36</v>
      </c>
      <c r="K360">
        <v>158</v>
      </c>
      <c r="L360">
        <v>45</v>
      </c>
      <c r="M360" s="2">
        <v>433.19</v>
      </c>
      <c r="N360">
        <v>8</v>
      </c>
      <c r="O360">
        <v>0</v>
      </c>
      <c r="P360" t="s">
        <v>33</v>
      </c>
      <c r="Q360" t="s">
        <v>47</v>
      </c>
      <c r="R360" t="s">
        <v>59</v>
      </c>
      <c r="S360" s="2">
        <f t="shared" si="5"/>
        <v>68444.02</v>
      </c>
    </row>
    <row r="361" spans="1:19" x14ac:dyDescent="0.3">
      <c r="A361" t="s">
        <v>422</v>
      </c>
      <c r="B361" s="1">
        <v>46333</v>
      </c>
      <c r="C361" t="s">
        <v>45</v>
      </c>
      <c r="D361" t="s">
        <v>46</v>
      </c>
      <c r="E361" t="s">
        <v>42</v>
      </c>
      <c r="F361" t="s">
        <v>37</v>
      </c>
      <c r="G361" t="s">
        <v>38</v>
      </c>
      <c r="H361">
        <v>162</v>
      </c>
      <c r="I361">
        <v>79</v>
      </c>
      <c r="J361">
        <v>72</v>
      </c>
      <c r="K361">
        <v>169</v>
      </c>
      <c r="L361">
        <v>67</v>
      </c>
      <c r="M361" s="2">
        <v>843.96</v>
      </c>
      <c r="N361">
        <v>5</v>
      </c>
      <c r="O361">
        <v>0</v>
      </c>
      <c r="P361" t="s">
        <v>33</v>
      </c>
      <c r="Q361" t="s">
        <v>47</v>
      </c>
      <c r="R361" t="s">
        <v>26</v>
      </c>
      <c r="S361" s="2">
        <f t="shared" si="5"/>
        <v>142629.24000000002</v>
      </c>
    </row>
    <row r="362" spans="1:19" x14ac:dyDescent="0.3">
      <c r="A362" t="s">
        <v>423</v>
      </c>
      <c r="B362" s="1">
        <v>46320</v>
      </c>
      <c r="C362" t="s">
        <v>89</v>
      </c>
      <c r="D362" t="s">
        <v>20</v>
      </c>
      <c r="E362" t="s">
        <v>42</v>
      </c>
      <c r="F362" t="s">
        <v>22</v>
      </c>
      <c r="G362" t="s">
        <v>23</v>
      </c>
      <c r="H362">
        <v>107</v>
      </c>
      <c r="I362">
        <v>113</v>
      </c>
      <c r="J362">
        <v>95</v>
      </c>
      <c r="K362">
        <v>125</v>
      </c>
      <c r="L362">
        <v>49</v>
      </c>
      <c r="M362" s="2">
        <v>1254.58</v>
      </c>
      <c r="N362">
        <v>2</v>
      </c>
      <c r="O362">
        <v>0</v>
      </c>
      <c r="P362" t="s">
        <v>33</v>
      </c>
      <c r="Q362" t="s">
        <v>47</v>
      </c>
      <c r="R362" t="s">
        <v>26</v>
      </c>
      <c r="S362" s="2">
        <f t="shared" si="5"/>
        <v>156822.5</v>
      </c>
    </row>
    <row r="363" spans="1:19" x14ac:dyDescent="0.3">
      <c r="A363" t="s">
        <v>424</v>
      </c>
      <c r="B363" s="1">
        <v>46210</v>
      </c>
      <c r="C363" t="s">
        <v>68</v>
      </c>
      <c r="D363" t="s">
        <v>53</v>
      </c>
      <c r="E363" t="s">
        <v>30</v>
      </c>
      <c r="F363" t="s">
        <v>22</v>
      </c>
      <c r="G363" t="s">
        <v>23</v>
      </c>
      <c r="H363">
        <v>49</v>
      </c>
      <c r="I363">
        <v>90</v>
      </c>
      <c r="J363">
        <v>48</v>
      </c>
      <c r="K363">
        <v>91</v>
      </c>
      <c r="L363">
        <v>79</v>
      </c>
      <c r="M363" s="2">
        <v>647.28</v>
      </c>
      <c r="N363">
        <v>6</v>
      </c>
      <c r="O363">
        <v>0</v>
      </c>
      <c r="P363" t="s">
        <v>33</v>
      </c>
      <c r="Q363" t="s">
        <v>34</v>
      </c>
      <c r="R363" t="s">
        <v>59</v>
      </c>
      <c r="S363" s="2">
        <f t="shared" si="5"/>
        <v>58902.479999999996</v>
      </c>
    </row>
    <row r="364" spans="1:19" x14ac:dyDescent="0.3">
      <c r="A364" t="s">
        <v>425</v>
      </c>
      <c r="B364" s="1">
        <v>46337</v>
      </c>
      <c r="C364" t="s">
        <v>72</v>
      </c>
      <c r="D364" t="s">
        <v>50</v>
      </c>
      <c r="E364" t="s">
        <v>30</v>
      </c>
      <c r="F364" t="s">
        <v>37</v>
      </c>
      <c r="G364" t="s">
        <v>38</v>
      </c>
      <c r="H364">
        <v>74</v>
      </c>
      <c r="I364">
        <v>79</v>
      </c>
      <c r="J364">
        <v>79</v>
      </c>
      <c r="K364">
        <v>74</v>
      </c>
      <c r="L364">
        <v>77</v>
      </c>
      <c r="M364" s="2">
        <v>2019.84</v>
      </c>
      <c r="N364">
        <v>4</v>
      </c>
      <c r="O364">
        <v>4</v>
      </c>
      <c r="P364" t="s">
        <v>33</v>
      </c>
      <c r="Q364" t="s">
        <v>34</v>
      </c>
      <c r="R364" t="s">
        <v>43</v>
      </c>
      <c r="S364" s="2">
        <f t="shared" si="5"/>
        <v>149468.16</v>
      </c>
    </row>
    <row r="365" spans="1:19" x14ac:dyDescent="0.3">
      <c r="A365" t="s">
        <v>426</v>
      </c>
      <c r="B365" s="1">
        <v>46206</v>
      </c>
      <c r="C365" t="s">
        <v>28</v>
      </c>
      <c r="D365" t="s">
        <v>29</v>
      </c>
      <c r="E365" t="s">
        <v>58</v>
      </c>
      <c r="F365" t="s">
        <v>22</v>
      </c>
      <c r="G365" t="s">
        <v>23</v>
      </c>
      <c r="H365">
        <v>85</v>
      </c>
      <c r="I365">
        <v>92</v>
      </c>
      <c r="J365">
        <v>87</v>
      </c>
      <c r="K365">
        <v>90</v>
      </c>
      <c r="L365">
        <v>87</v>
      </c>
      <c r="M365" s="2">
        <v>1396.77</v>
      </c>
      <c r="N365">
        <v>3</v>
      </c>
      <c r="O365">
        <v>0</v>
      </c>
      <c r="P365" t="s">
        <v>33</v>
      </c>
      <c r="Q365" t="s">
        <v>34</v>
      </c>
      <c r="R365" t="s">
        <v>26</v>
      </c>
      <c r="S365" s="2">
        <f t="shared" si="5"/>
        <v>125709.3</v>
      </c>
    </row>
    <row r="366" spans="1:19" x14ac:dyDescent="0.3">
      <c r="A366" t="s">
        <v>427</v>
      </c>
      <c r="B366" s="1">
        <v>46255</v>
      </c>
      <c r="C366" t="s">
        <v>98</v>
      </c>
      <c r="D366" t="s">
        <v>20</v>
      </c>
      <c r="E366" t="s">
        <v>58</v>
      </c>
      <c r="F366" t="s">
        <v>22</v>
      </c>
      <c r="G366" t="s">
        <v>23</v>
      </c>
      <c r="H366">
        <v>56</v>
      </c>
      <c r="I366">
        <v>53</v>
      </c>
      <c r="J366">
        <v>62</v>
      </c>
      <c r="K366">
        <v>47</v>
      </c>
      <c r="L366">
        <v>59</v>
      </c>
      <c r="M366" s="2">
        <v>1271.99</v>
      </c>
      <c r="N366">
        <v>3</v>
      </c>
      <c r="O366">
        <v>6</v>
      </c>
      <c r="P366" t="s">
        <v>33</v>
      </c>
      <c r="Q366" t="s">
        <v>34</v>
      </c>
      <c r="R366" t="s">
        <v>26</v>
      </c>
      <c r="S366" s="2">
        <f t="shared" si="5"/>
        <v>59783.53</v>
      </c>
    </row>
    <row r="367" spans="1:19" x14ac:dyDescent="0.3">
      <c r="A367" t="s">
        <v>428</v>
      </c>
      <c r="B367" s="1">
        <v>46112</v>
      </c>
      <c r="C367" t="s">
        <v>19</v>
      </c>
      <c r="D367" t="s">
        <v>20</v>
      </c>
      <c r="E367" t="s">
        <v>21</v>
      </c>
      <c r="F367" t="s">
        <v>31</v>
      </c>
      <c r="G367" t="s">
        <v>32</v>
      </c>
      <c r="H367">
        <v>220</v>
      </c>
      <c r="I367">
        <v>86</v>
      </c>
      <c r="J367">
        <v>96</v>
      </c>
      <c r="K367">
        <v>210</v>
      </c>
      <c r="L367">
        <v>98</v>
      </c>
      <c r="M367" s="2">
        <v>1718.46</v>
      </c>
      <c r="N367">
        <v>7</v>
      </c>
      <c r="O367">
        <v>0</v>
      </c>
      <c r="P367" t="s">
        <v>33</v>
      </c>
      <c r="Q367" t="s">
        <v>34</v>
      </c>
      <c r="R367" t="s">
        <v>26</v>
      </c>
      <c r="S367" s="2">
        <f t="shared" si="5"/>
        <v>360876.60000000003</v>
      </c>
    </row>
    <row r="368" spans="1:19" x14ac:dyDescent="0.3">
      <c r="A368" t="s">
        <v>429</v>
      </c>
      <c r="B368" s="1">
        <v>46269</v>
      </c>
      <c r="C368" t="s">
        <v>55</v>
      </c>
      <c r="D368" t="s">
        <v>50</v>
      </c>
      <c r="E368" t="s">
        <v>21</v>
      </c>
      <c r="F368" t="s">
        <v>31</v>
      </c>
      <c r="G368" t="s">
        <v>32</v>
      </c>
      <c r="H368">
        <v>172</v>
      </c>
      <c r="I368">
        <v>52</v>
      </c>
      <c r="J368">
        <v>63</v>
      </c>
      <c r="K368">
        <v>161</v>
      </c>
      <c r="L368">
        <v>59</v>
      </c>
      <c r="M368" s="2">
        <v>1003.27</v>
      </c>
      <c r="N368">
        <v>4</v>
      </c>
      <c r="O368">
        <v>0</v>
      </c>
      <c r="P368" t="s">
        <v>33</v>
      </c>
      <c r="Q368" t="s">
        <v>47</v>
      </c>
      <c r="R368" t="s">
        <v>26</v>
      </c>
      <c r="S368" s="2">
        <f t="shared" si="5"/>
        <v>161526.47</v>
      </c>
    </row>
    <row r="369" spans="1:19" x14ac:dyDescent="0.3">
      <c r="A369" t="s">
        <v>430</v>
      </c>
      <c r="B369" s="1">
        <v>46208</v>
      </c>
      <c r="C369" t="s">
        <v>77</v>
      </c>
      <c r="D369" t="s">
        <v>53</v>
      </c>
      <c r="E369" t="s">
        <v>30</v>
      </c>
      <c r="F369" t="s">
        <v>22</v>
      </c>
      <c r="G369" t="s">
        <v>23</v>
      </c>
      <c r="H369">
        <v>152</v>
      </c>
      <c r="I369">
        <v>41</v>
      </c>
      <c r="J369">
        <v>44</v>
      </c>
      <c r="K369">
        <v>149</v>
      </c>
      <c r="L369">
        <v>49</v>
      </c>
      <c r="M369" s="2">
        <v>501.45</v>
      </c>
      <c r="N369">
        <v>4</v>
      </c>
      <c r="O369">
        <v>0</v>
      </c>
      <c r="P369" t="s">
        <v>33</v>
      </c>
      <c r="Q369" t="s">
        <v>47</v>
      </c>
      <c r="R369" t="s">
        <v>26</v>
      </c>
      <c r="S369" s="2">
        <f t="shared" si="5"/>
        <v>74716.05</v>
      </c>
    </row>
    <row r="370" spans="1:19" x14ac:dyDescent="0.3">
      <c r="A370" t="s">
        <v>431</v>
      </c>
      <c r="B370" s="1">
        <v>46233</v>
      </c>
      <c r="C370" t="s">
        <v>77</v>
      </c>
      <c r="D370" t="s">
        <v>53</v>
      </c>
      <c r="E370" t="s">
        <v>42</v>
      </c>
      <c r="F370" t="s">
        <v>1582</v>
      </c>
      <c r="G370" t="s">
        <v>1583</v>
      </c>
      <c r="H370">
        <v>124</v>
      </c>
      <c r="I370">
        <v>112</v>
      </c>
      <c r="J370">
        <v>29</v>
      </c>
      <c r="K370">
        <v>207</v>
      </c>
      <c r="L370">
        <v>75</v>
      </c>
      <c r="M370" s="2">
        <v>517.52</v>
      </c>
      <c r="N370">
        <v>5</v>
      </c>
      <c r="O370">
        <v>0</v>
      </c>
      <c r="P370" t="s">
        <v>33</v>
      </c>
      <c r="Q370" t="s">
        <v>47</v>
      </c>
      <c r="R370" t="s">
        <v>26</v>
      </c>
      <c r="S370" s="2">
        <f t="shared" si="5"/>
        <v>107126.64</v>
      </c>
    </row>
    <row r="371" spans="1:19" x14ac:dyDescent="0.3">
      <c r="A371" t="s">
        <v>432</v>
      </c>
      <c r="B371" s="1">
        <v>46108</v>
      </c>
      <c r="C371" t="s">
        <v>98</v>
      </c>
      <c r="D371" t="s">
        <v>20</v>
      </c>
      <c r="E371" t="s">
        <v>75</v>
      </c>
      <c r="F371" t="s">
        <v>22</v>
      </c>
      <c r="G371" t="s">
        <v>23</v>
      </c>
      <c r="H371">
        <v>186</v>
      </c>
      <c r="I371">
        <v>95</v>
      </c>
      <c r="J371">
        <v>35</v>
      </c>
      <c r="K371">
        <v>246</v>
      </c>
      <c r="L371">
        <v>53</v>
      </c>
      <c r="M371" s="2">
        <v>1436.27</v>
      </c>
      <c r="N371">
        <v>2</v>
      </c>
      <c r="O371">
        <v>0</v>
      </c>
      <c r="P371" t="s">
        <v>33</v>
      </c>
      <c r="Q371" t="s">
        <v>47</v>
      </c>
      <c r="R371" t="s">
        <v>26</v>
      </c>
      <c r="S371" s="2">
        <f t="shared" si="5"/>
        <v>353322.42</v>
      </c>
    </row>
    <row r="372" spans="1:19" x14ac:dyDescent="0.3">
      <c r="A372" t="s">
        <v>433</v>
      </c>
      <c r="B372" s="1">
        <v>46066</v>
      </c>
      <c r="C372" t="s">
        <v>80</v>
      </c>
      <c r="D372" t="s">
        <v>46</v>
      </c>
      <c r="E372" t="s">
        <v>30</v>
      </c>
      <c r="F372" t="s">
        <v>1582</v>
      </c>
      <c r="G372" t="s">
        <v>1583</v>
      </c>
      <c r="H372">
        <v>193</v>
      </c>
      <c r="I372">
        <v>92</v>
      </c>
      <c r="J372">
        <v>96</v>
      </c>
      <c r="K372">
        <v>189</v>
      </c>
      <c r="L372">
        <v>46</v>
      </c>
      <c r="M372" s="2">
        <v>1183.27</v>
      </c>
      <c r="N372">
        <v>7</v>
      </c>
      <c r="O372">
        <v>0</v>
      </c>
      <c r="P372" t="s">
        <v>33</v>
      </c>
      <c r="Q372" t="s">
        <v>47</v>
      </c>
      <c r="R372" t="s">
        <v>26</v>
      </c>
      <c r="S372" s="2">
        <f t="shared" si="5"/>
        <v>223638.03</v>
      </c>
    </row>
    <row r="373" spans="1:19" x14ac:dyDescent="0.3">
      <c r="A373" t="s">
        <v>434</v>
      </c>
      <c r="B373" s="1">
        <v>46116</v>
      </c>
      <c r="C373" t="s">
        <v>36</v>
      </c>
      <c r="D373" t="s">
        <v>29</v>
      </c>
      <c r="E373" t="s">
        <v>30</v>
      </c>
      <c r="F373" t="s">
        <v>1582</v>
      </c>
      <c r="G373" t="s">
        <v>1583</v>
      </c>
      <c r="H373">
        <v>163</v>
      </c>
      <c r="I373">
        <v>41</v>
      </c>
      <c r="J373">
        <v>43</v>
      </c>
      <c r="K373">
        <v>161</v>
      </c>
      <c r="L373">
        <v>98</v>
      </c>
      <c r="M373" s="2">
        <v>2357.17</v>
      </c>
      <c r="N373">
        <v>3</v>
      </c>
      <c r="O373">
        <v>0</v>
      </c>
      <c r="P373" t="s">
        <v>33</v>
      </c>
      <c r="Q373" t="s">
        <v>34</v>
      </c>
      <c r="R373" t="s">
        <v>43</v>
      </c>
      <c r="S373" s="2">
        <f t="shared" si="5"/>
        <v>379504.37</v>
      </c>
    </row>
    <row r="374" spans="1:19" x14ac:dyDescent="0.3">
      <c r="A374" t="s">
        <v>435</v>
      </c>
      <c r="B374" s="1">
        <v>46290</v>
      </c>
      <c r="C374" t="s">
        <v>52</v>
      </c>
      <c r="D374" t="s">
        <v>53</v>
      </c>
      <c r="E374" t="s">
        <v>42</v>
      </c>
      <c r="F374" t="s">
        <v>37</v>
      </c>
      <c r="G374" t="s">
        <v>38</v>
      </c>
      <c r="H374">
        <v>156</v>
      </c>
      <c r="I374">
        <v>96</v>
      </c>
      <c r="J374">
        <v>90</v>
      </c>
      <c r="K374">
        <v>162</v>
      </c>
      <c r="L374">
        <v>49</v>
      </c>
      <c r="M374" s="2">
        <v>614.88</v>
      </c>
      <c r="N374">
        <v>5</v>
      </c>
      <c r="O374">
        <v>0</v>
      </c>
      <c r="P374" t="s">
        <v>24</v>
      </c>
      <c r="Q374" t="s">
        <v>47</v>
      </c>
      <c r="R374" t="s">
        <v>26</v>
      </c>
      <c r="S374" s="2">
        <f t="shared" si="5"/>
        <v>99610.559999999998</v>
      </c>
    </row>
    <row r="375" spans="1:19" x14ac:dyDescent="0.3">
      <c r="A375" t="s">
        <v>436</v>
      </c>
      <c r="B375" s="1">
        <v>46360</v>
      </c>
      <c r="C375" t="s">
        <v>68</v>
      </c>
      <c r="D375" t="s">
        <v>53</v>
      </c>
      <c r="E375" t="s">
        <v>42</v>
      </c>
      <c r="F375" t="s">
        <v>31</v>
      </c>
      <c r="G375" t="s">
        <v>32</v>
      </c>
      <c r="H375">
        <v>85</v>
      </c>
      <c r="I375">
        <v>80</v>
      </c>
      <c r="J375">
        <v>93</v>
      </c>
      <c r="K375">
        <v>72</v>
      </c>
      <c r="L375">
        <v>83</v>
      </c>
      <c r="M375" s="2">
        <v>544.67999999999995</v>
      </c>
      <c r="N375">
        <v>8</v>
      </c>
      <c r="O375">
        <v>2</v>
      </c>
      <c r="P375" t="s">
        <v>33</v>
      </c>
      <c r="Q375" t="s">
        <v>34</v>
      </c>
      <c r="R375" t="s">
        <v>26</v>
      </c>
      <c r="S375" s="2">
        <f t="shared" si="5"/>
        <v>39216.959999999999</v>
      </c>
    </row>
    <row r="376" spans="1:19" x14ac:dyDescent="0.3">
      <c r="A376" t="s">
        <v>437</v>
      </c>
      <c r="B376" s="1">
        <v>46379</v>
      </c>
      <c r="C376" t="s">
        <v>62</v>
      </c>
      <c r="D376" t="s">
        <v>29</v>
      </c>
      <c r="E376" t="s">
        <v>58</v>
      </c>
      <c r="F376" t="s">
        <v>1582</v>
      </c>
      <c r="G376" t="s">
        <v>1583</v>
      </c>
      <c r="H376">
        <v>134</v>
      </c>
      <c r="I376">
        <v>25</v>
      </c>
      <c r="J376">
        <v>104</v>
      </c>
      <c r="K376">
        <v>55</v>
      </c>
      <c r="L376">
        <v>78</v>
      </c>
      <c r="M376" s="2">
        <v>690.05</v>
      </c>
      <c r="N376">
        <v>8</v>
      </c>
      <c r="O376">
        <v>7</v>
      </c>
      <c r="P376" t="s">
        <v>33</v>
      </c>
      <c r="Q376" t="s">
        <v>34</v>
      </c>
      <c r="R376" t="s">
        <v>26</v>
      </c>
      <c r="S376" s="2">
        <f t="shared" si="5"/>
        <v>37952.75</v>
      </c>
    </row>
    <row r="377" spans="1:19" x14ac:dyDescent="0.3">
      <c r="A377" t="s">
        <v>438</v>
      </c>
      <c r="B377" s="1">
        <v>46119</v>
      </c>
      <c r="C377" t="s">
        <v>77</v>
      </c>
      <c r="D377" t="s">
        <v>53</v>
      </c>
      <c r="E377" t="s">
        <v>58</v>
      </c>
      <c r="F377" t="s">
        <v>22</v>
      </c>
      <c r="G377" t="s">
        <v>23</v>
      </c>
      <c r="H377">
        <v>105</v>
      </c>
      <c r="I377">
        <v>81</v>
      </c>
      <c r="J377">
        <v>44</v>
      </c>
      <c r="K377">
        <v>142</v>
      </c>
      <c r="L377">
        <v>99</v>
      </c>
      <c r="M377" s="2">
        <v>458.38</v>
      </c>
      <c r="N377">
        <v>6</v>
      </c>
      <c r="O377">
        <v>0</v>
      </c>
      <c r="P377" t="s">
        <v>33</v>
      </c>
      <c r="Q377" t="s">
        <v>34</v>
      </c>
      <c r="R377" t="s">
        <v>26</v>
      </c>
      <c r="S377" s="2">
        <f t="shared" si="5"/>
        <v>65089.96</v>
      </c>
    </row>
    <row r="378" spans="1:19" x14ac:dyDescent="0.3">
      <c r="A378" t="s">
        <v>439</v>
      </c>
      <c r="B378" s="1">
        <v>46102</v>
      </c>
      <c r="C378" t="s">
        <v>19</v>
      </c>
      <c r="D378" t="s">
        <v>20</v>
      </c>
      <c r="E378" t="s">
        <v>30</v>
      </c>
      <c r="F378" t="s">
        <v>31</v>
      </c>
      <c r="G378" t="s">
        <v>32</v>
      </c>
      <c r="H378">
        <v>173</v>
      </c>
      <c r="I378">
        <v>20</v>
      </c>
      <c r="J378">
        <v>63</v>
      </c>
      <c r="K378">
        <v>130</v>
      </c>
      <c r="L378">
        <v>86</v>
      </c>
      <c r="M378" s="2">
        <v>1693.95</v>
      </c>
      <c r="N378">
        <v>8</v>
      </c>
      <c r="O378">
        <v>0</v>
      </c>
      <c r="P378" t="s">
        <v>33</v>
      </c>
      <c r="Q378" t="s">
        <v>34</v>
      </c>
      <c r="R378" t="s">
        <v>26</v>
      </c>
      <c r="S378" s="2">
        <f t="shared" si="5"/>
        <v>220213.5</v>
      </c>
    </row>
    <row r="379" spans="1:19" x14ac:dyDescent="0.3">
      <c r="A379" t="s">
        <v>440</v>
      </c>
      <c r="B379" s="1">
        <v>46308</v>
      </c>
      <c r="C379" t="s">
        <v>49</v>
      </c>
      <c r="D379" t="s">
        <v>50</v>
      </c>
      <c r="E379" t="s">
        <v>21</v>
      </c>
      <c r="F379" t="s">
        <v>1582</v>
      </c>
      <c r="G379" t="s">
        <v>1583</v>
      </c>
      <c r="H379">
        <v>184</v>
      </c>
      <c r="I379">
        <v>66</v>
      </c>
      <c r="J379">
        <v>93</v>
      </c>
      <c r="K379">
        <v>157</v>
      </c>
      <c r="L379">
        <v>62</v>
      </c>
      <c r="M379" s="2">
        <v>1427.87</v>
      </c>
      <c r="N379">
        <v>5</v>
      </c>
      <c r="O379">
        <v>0</v>
      </c>
      <c r="P379" t="s">
        <v>33</v>
      </c>
      <c r="Q379" t="s">
        <v>47</v>
      </c>
      <c r="R379" t="s">
        <v>26</v>
      </c>
      <c r="S379" s="2">
        <f t="shared" si="5"/>
        <v>224175.59</v>
      </c>
    </row>
    <row r="380" spans="1:19" x14ac:dyDescent="0.3">
      <c r="A380" t="s">
        <v>441</v>
      </c>
      <c r="B380" s="1">
        <v>46360</v>
      </c>
      <c r="C380" t="s">
        <v>72</v>
      </c>
      <c r="D380" t="s">
        <v>50</v>
      </c>
      <c r="E380" t="s">
        <v>21</v>
      </c>
      <c r="F380" t="s">
        <v>1582</v>
      </c>
      <c r="G380" t="s">
        <v>1583</v>
      </c>
      <c r="H380">
        <v>104</v>
      </c>
      <c r="I380">
        <v>59</v>
      </c>
      <c r="J380">
        <v>88</v>
      </c>
      <c r="K380">
        <v>75</v>
      </c>
      <c r="L380">
        <v>67</v>
      </c>
      <c r="M380" s="2">
        <v>2320.65</v>
      </c>
      <c r="N380">
        <v>5</v>
      </c>
      <c r="O380">
        <v>0</v>
      </c>
      <c r="P380" t="s">
        <v>33</v>
      </c>
      <c r="Q380" t="s">
        <v>34</v>
      </c>
      <c r="R380" t="s">
        <v>43</v>
      </c>
      <c r="S380" s="2">
        <f t="shared" si="5"/>
        <v>174048.75</v>
      </c>
    </row>
    <row r="381" spans="1:19" x14ac:dyDescent="0.3">
      <c r="A381" t="s">
        <v>442</v>
      </c>
      <c r="B381" s="1">
        <v>46348</v>
      </c>
      <c r="C381" t="s">
        <v>98</v>
      </c>
      <c r="D381" t="s">
        <v>20</v>
      </c>
      <c r="E381" t="s">
        <v>58</v>
      </c>
      <c r="F381" t="s">
        <v>22</v>
      </c>
      <c r="G381" t="s">
        <v>23</v>
      </c>
      <c r="H381">
        <v>65</v>
      </c>
      <c r="I381">
        <v>47</v>
      </c>
      <c r="J381">
        <v>80</v>
      </c>
      <c r="K381">
        <v>32</v>
      </c>
      <c r="L381">
        <v>70</v>
      </c>
      <c r="M381" s="2">
        <v>1480.1</v>
      </c>
      <c r="N381">
        <v>8</v>
      </c>
      <c r="O381">
        <v>1</v>
      </c>
      <c r="P381" t="s">
        <v>33</v>
      </c>
      <c r="Q381" t="s">
        <v>25</v>
      </c>
      <c r="R381" t="s">
        <v>26</v>
      </c>
      <c r="S381" s="2">
        <f t="shared" si="5"/>
        <v>47363.199999999997</v>
      </c>
    </row>
    <row r="382" spans="1:19" x14ac:dyDescent="0.3">
      <c r="A382" t="s">
        <v>443</v>
      </c>
      <c r="B382" s="1">
        <v>46219</v>
      </c>
      <c r="C382" t="s">
        <v>19</v>
      </c>
      <c r="D382" t="s">
        <v>20</v>
      </c>
      <c r="E382" t="s">
        <v>42</v>
      </c>
      <c r="F382" t="s">
        <v>1582</v>
      </c>
      <c r="G382" t="s">
        <v>1583</v>
      </c>
      <c r="H382">
        <v>193</v>
      </c>
      <c r="I382">
        <v>75</v>
      </c>
      <c r="J382">
        <v>26</v>
      </c>
      <c r="K382">
        <v>242</v>
      </c>
      <c r="L382">
        <v>49</v>
      </c>
      <c r="M382" s="2">
        <v>1714.71</v>
      </c>
      <c r="N382">
        <v>4</v>
      </c>
      <c r="O382">
        <v>0</v>
      </c>
      <c r="P382" t="s">
        <v>24</v>
      </c>
      <c r="Q382" t="s">
        <v>47</v>
      </c>
      <c r="R382" t="s">
        <v>26</v>
      </c>
      <c r="S382" s="2">
        <f t="shared" si="5"/>
        <v>414959.82</v>
      </c>
    </row>
    <row r="383" spans="1:19" x14ac:dyDescent="0.3">
      <c r="A383" t="s">
        <v>444</v>
      </c>
      <c r="B383" s="1">
        <v>46169</v>
      </c>
      <c r="C383" t="s">
        <v>49</v>
      </c>
      <c r="D383" t="s">
        <v>50</v>
      </c>
      <c r="E383" t="s">
        <v>30</v>
      </c>
      <c r="F383" t="s">
        <v>31</v>
      </c>
      <c r="G383" t="s">
        <v>32</v>
      </c>
      <c r="H383">
        <v>84</v>
      </c>
      <c r="I383">
        <v>101</v>
      </c>
      <c r="J383">
        <v>78</v>
      </c>
      <c r="K383">
        <v>107</v>
      </c>
      <c r="L383">
        <v>73</v>
      </c>
      <c r="M383" s="2">
        <v>1172.78</v>
      </c>
      <c r="N383">
        <v>8</v>
      </c>
      <c r="O383">
        <v>0</v>
      </c>
      <c r="P383" t="s">
        <v>33</v>
      </c>
      <c r="Q383" t="s">
        <v>34</v>
      </c>
      <c r="R383" t="s">
        <v>43</v>
      </c>
      <c r="S383" s="2">
        <f t="shared" si="5"/>
        <v>125487.45999999999</v>
      </c>
    </row>
    <row r="384" spans="1:19" x14ac:dyDescent="0.3">
      <c r="A384" t="s">
        <v>445</v>
      </c>
      <c r="B384" s="1">
        <v>46164</v>
      </c>
      <c r="C384" t="s">
        <v>62</v>
      </c>
      <c r="D384" t="s">
        <v>29</v>
      </c>
      <c r="E384" t="s">
        <v>30</v>
      </c>
      <c r="F384" t="s">
        <v>22</v>
      </c>
      <c r="G384" t="s">
        <v>23</v>
      </c>
      <c r="H384">
        <v>197</v>
      </c>
      <c r="I384">
        <v>41</v>
      </c>
      <c r="J384">
        <v>101</v>
      </c>
      <c r="K384">
        <v>137</v>
      </c>
      <c r="L384">
        <v>47</v>
      </c>
      <c r="M384" s="2">
        <v>680.36</v>
      </c>
      <c r="N384">
        <v>7</v>
      </c>
      <c r="O384">
        <v>0</v>
      </c>
      <c r="P384" t="s">
        <v>24</v>
      </c>
      <c r="Q384" t="s">
        <v>47</v>
      </c>
      <c r="R384" t="s">
        <v>26</v>
      </c>
      <c r="S384" s="2">
        <f t="shared" si="5"/>
        <v>93209.32</v>
      </c>
    </row>
    <row r="385" spans="1:19" x14ac:dyDescent="0.3">
      <c r="A385" t="s">
        <v>446</v>
      </c>
      <c r="B385" s="1">
        <v>46309</v>
      </c>
      <c r="C385" t="s">
        <v>49</v>
      </c>
      <c r="D385" t="s">
        <v>50</v>
      </c>
      <c r="E385" t="s">
        <v>58</v>
      </c>
      <c r="F385" t="s">
        <v>1582</v>
      </c>
      <c r="G385" t="s">
        <v>1583</v>
      </c>
      <c r="H385">
        <v>190</v>
      </c>
      <c r="I385">
        <v>45</v>
      </c>
      <c r="J385">
        <v>81</v>
      </c>
      <c r="K385">
        <v>154</v>
      </c>
      <c r="L385">
        <v>45</v>
      </c>
      <c r="M385" s="2">
        <v>1361.6</v>
      </c>
      <c r="N385">
        <v>2</v>
      </c>
      <c r="O385">
        <v>0</v>
      </c>
      <c r="P385" t="s">
        <v>33</v>
      </c>
      <c r="Q385" t="s">
        <v>47</v>
      </c>
      <c r="R385" t="s">
        <v>26</v>
      </c>
      <c r="S385" s="2">
        <f t="shared" si="5"/>
        <v>209686.39999999999</v>
      </c>
    </row>
    <row r="386" spans="1:19" x14ac:dyDescent="0.3">
      <c r="A386" t="s">
        <v>447</v>
      </c>
      <c r="B386" s="1">
        <v>46282</v>
      </c>
      <c r="C386" t="s">
        <v>52</v>
      </c>
      <c r="D386" t="s">
        <v>53</v>
      </c>
      <c r="E386" t="s">
        <v>21</v>
      </c>
      <c r="F386" t="s">
        <v>37</v>
      </c>
      <c r="G386" t="s">
        <v>38</v>
      </c>
      <c r="H386">
        <v>97</v>
      </c>
      <c r="I386">
        <v>97</v>
      </c>
      <c r="J386">
        <v>39</v>
      </c>
      <c r="K386">
        <v>155</v>
      </c>
      <c r="L386">
        <v>74</v>
      </c>
      <c r="M386" s="2">
        <v>705.86</v>
      </c>
      <c r="N386">
        <v>6</v>
      </c>
      <c r="O386">
        <v>0</v>
      </c>
      <c r="P386" t="s">
        <v>24</v>
      </c>
      <c r="Q386" t="s">
        <v>34</v>
      </c>
      <c r="R386" t="s">
        <v>26</v>
      </c>
      <c r="S386" s="2">
        <f t="shared" ref="S386:S449" si="6">K386*M386</f>
        <v>109408.3</v>
      </c>
    </row>
    <row r="387" spans="1:19" x14ac:dyDescent="0.3">
      <c r="A387" t="s">
        <v>448</v>
      </c>
      <c r="B387" s="1">
        <v>46249</v>
      </c>
      <c r="C387" t="s">
        <v>19</v>
      </c>
      <c r="D387" t="s">
        <v>20</v>
      </c>
      <c r="E387" t="s">
        <v>30</v>
      </c>
      <c r="F387" t="s">
        <v>37</v>
      </c>
      <c r="G387" t="s">
        <v>38</v>
      </c>
      <c r="H387">
        <v>127</v>
      </c>
      <c r="I387">
        <v>34</v>
      </c>
      <c r="J387">
        <v>80</v>
      </c>
      <c r="K387">
        <v>81</v>
      </c>
      <c r="L387">
        <v>61</v>
      </c>
      <c r="M387" s="2">
        <v>1935.4</v>
      </c>
      <c r="N387">
        <v>8</v>
      </c>
      <c r="O387">
        <v>0</v>
      </c>
      <c r="P387" t="s">
        <v>33</v>
      </c>
      <c r="Q387" t="s">
        <v>34</v>
      </c>
      <c r="R387" t="s">
        <v>26</v>
      </c>
      <c r="S387" s="2">
        <f t="shared" si="6"/>
        <v>156767.4</v>
      </c>
    </row>
    <row r="388" spans="1:19" x14ac:dyDescent="0.3">
      <c r="A388" t="s">
        <v>449</v>
      </c>
      <c r="B388" s="1">
        <v>46347</v>
      </c>
      <c r="C388" t="s">
        <v>55</v>
      </c>
      <c r="D388" t="s">
        <v>50</v>
      </c>
      <c r="E388" t="s">
        <v>42</v>
      </c>
      <c r="F388" t="s">
        <v>37</v>
      </c>
      <c r="G388" t="s">
        <v>38</v>
      </c>
      <c r="H388">
        <v>157</v>
      </c>
      <c r="I388">
        <v>107</v>
      </c>
      <c r="J388">
        <v>73</v>
      </c>
      <c r="K388">
        <v>191</v>
      </c>
      <c r="L388">
        <v>82</v>
      </c>
      <c r="M388" s="2">
        <v>1072.4000000000001</v>
      </c>
      <c r="N388">
        <v>5</v>
      </c>
      <c r="O388">
        <v>0</v>
      </c>
      <c r="P388" t="s">
        <v>24</v>
      </c>
      <c r="Q388" t="s">
        <v>47</v>
      </c>
      <c r="R388" t="s">
        <v>26</v>
      </c>
      <c r="S388" s="2">
        <f t="shared" si="6"/>
        <v>204828.40000000002</v>
      </c>
    </row>
    <row r="389" spans="1:19" x14ac:dyDescent="0.3">
      <c r="A389" t="s">
        <v>450</v>
      </c>
      <c r="B389" s="1">
        <v>46198</v>
      </c>
      <c r="C389" t="s">
        <v>28</v>
      </c>
      <c r="D389" t="s">
        <v>29</v>
      </c>
      <c r="E389" t="s">
        <v>21</v>
      </c>
      <c r="F389" t="s">
        <v>1582</v>
      </c>
      <c r="G389" t="s">
        <v>1583</v>
      </c>
      <c r="H389">
        <v>130</v>
      </c>
      <c r="I389">
        <v>86</v>
      </c>
      <c r="J389">
        <v>83</v>
      </c>
      <c r="K389">
        <v>133</v>
      </c>
      <c r="L389">
        <v>45</v>
      </c>
      <c r="M389" s="2">
        <v>1352.21</v>
      </c>
      <c r="N389">
        <v>6</v>
      </c>
      <c r="O389">
        <v>0</v>
      </c>
      <c r="P389" t="s">
        <v>24</v>
      </c>
      <c r="Q389" t="s">
        <v>47</v>
      </c>
      <c r="R389" t="s">
        <v>59</v>
      </c>
      <c r="S389" s="2">
        <f t="shared" si="6"/>
        <v>179843.93</v>
      </c>
    </row>
    <row r="390" spans="1:19" x14ac:dyDescent="0.3">
      <c r="A390" t="s">
        <v>451</v>
      </c>
      <c r="B390" s="1">
        <v>46278</v>
      </c>
      <c r="C390" t="s">
        <v>98</v>
      </c>
      <c r="D390" t="s">
        <v>20</v>
      </c>
      <c r="E390" t="s">
        <v>58</v>
      </c>
      <c r="F390" t="s">
        <v>37</v>
      </c>
      <c r="G390" t="s">
        <v>38</v>
      </c>
      <c r="H390">
        <v>130</v>
      </c>
      <c r="I390">
        <v>47</v>
      </c>
      <c r="J390">
        <v>88</v>
      </c>
      <c r="K390">
        <v>89</v>
      </c>
      <c r="L390">
        <v>62</v>
      </c>
      <c r="M390" s="2">
        <v>1311.18</v>
      </c>
      <c r="N390">
        <v>7</v>
      </c>
      <c r="O390">
        <v>0</v>
      </c>
      <c r="P390" t="s">
        <v>33</v>
      </c>
      <c r="Q390" t="s">
        <v>34</v>
      </c>
      <c r="R390" t="s">
        <v>43</v>
      </c>
      <c r="S390" s="2">
        <f t="shared" si="6"/>
        <v>116695.02</v>
      </c>
    </row>
    <row r="391" spans="1:19" x14ac:dyDescent="0.3">
      <c r="A391" t="s">
        <v>452</v>
      </c>
      <c r="B391" s="1">
        <v>46084</v>
      </c>
      <c r="C391" t="s">
        <v>28</v>
      </c>
      <c r="D391" t="s">
        <v>29</v>
      </c>
      <c r="E391" t="s">
        <v>42</v>
      </c>
      <c r="F391" t="s">
        <v>37</v>
      </c>
      <c r="G391" t="s">
        <v>38</v>
      </c>
      <c r="H391">
        <v>92</v>
      </c>
      <c r="I391">
        <v>49</v>
      </c>
      <c r="J391">
        <v>40</v>
      </c>
      <c r="K391">
        <v>101</v>
      </c>
      <c r="L391">
        <v>98</v>
      </c>
      <c r="M391" s="2">
        <v>1234.92</v>
      </c>
      <c r="N391">
        <v>6</v>
      </c>
      <c r="O391">
        <v>0</v>
      </c>
      <c r="P391" t="s">
        <v>33</v>
      </c>
      <c r="Q391" t="s">
        <v>34</v>
      </c>
      <c r="R391" t="s">
        <v>59</v>
      </c>
      <c r="S391" s="2">
        <f t="shared" si="6"/>
        <v>124726.92000000001</v>
      </c>
    </row>
    <row r="392" spans="1:19" x14ac:dyDescent="0.3">
      <c r="A392" t="s">
        <v>453</v>
      </c>
      <c r="B392" s="1">
        <v>46317</v>
      </c>
      <c r="C392" t="s">
        <v>40</v>
      </c>
      <c r="D392" t="s">
        <v>20</v>
      </c>
      <c r="E392" t="s">
        <v>30</v>
      </c>
      <c r="F392" t="s">
        <v>31</v>
      </c>
      <c r="G392" t="s">
        <v>32</v>
      </c>
      <c r="H392">
        <v>178</v>
      </c>
      <c r="I392">
        <v>25</v>
      </c>
      <c r="J392">
        <v>76</v>
      </c>
      <c r="K392">
        <v>127</v>
      </c>
      <c r="L392">
        <v>68</v>
      </c>
      <c r="M392" s="2">
        <v>921.72</v>
      </c>
      <c r="N392">
        <v>5</v>
      </c>
      <c r="O392">
        <v>0</v>
      </c>
      <c r="P392" t="s">
        <v>33</v>
      </c>
      <c r="Q392" t="s">
        <v>34</v>
      </c>
      <c r="R392" t="s">
        <v>43</v>
      </c>
      <c r="S392" s="2">
        <f t="shared" si="6"/>
        <v>117058.44</v>
      </c>
    </row>
    <row r="393" spans="1:19" x14ac:dyDescent="0.3">
      <c r="A393" t="s">
        <v>454</v>
      </c>
      <c r="B393" s="1">
        <v>46039</v>
      </c>
      <c r="C393" t="s">
        <v>146</v>
      </c>
      <c r="D393" t="s">
        <v>46</v>
      </c>
      <c r="E393" t="s">
        <v>42</v>
      </c>
      <c r="F393" t="s">
        <v>37</v>
      </c>
      <c r="G393" t="s">
        <v>38</v>
      </c>
      <c r="H393">
        <v>141</v>
      </c>
      <c r="I393">
        <v>48</v>
      </c>
      <c r="J393">
        <v>88</v>
      </c>
      <c r="K393">
        <v>101</v>
      </c>
      <c r="L393">
        <v>53</v>
      </c>
      <c r="M393" s="2">
        <v>1366.24</v>
      </c>
      <c r="N393">
        <v>8</v>
      </c>
      <c r="O393">
        <v>0</v>
      </c>
      <c r="P393" t="s">
        <v>33</v>
      </c>
      <c r="Q393" t="s">
        <v>34</v>
      </c>
      <c r="R393" t="s">
        <v>81</v>
      </c>
      <c r="S393" s="2">
        <f t="shared" si="6"/>
        <v>137990.24</v>
      </c>
    </row>
    <row r="394" spans="1:19" x14ac:dyDescent="0.3">
      <c r="A394" t="s">
        <v>455</v>
      </c>
      <c r="B394" s="1">
        <v>46217</v>
      </c>
      <c r="C394" t="s">
        <v>52</v>
      </c>
      <c r="D394" t="s">
        <v>53</v>
      </c>
      <c r="E394" t="s">
        <v>58</v>
      </c>
      <c r="F394" t="s">
        <v>22</v>
      </c>
      <c r="G394" t="s">
        <v>23</v>
      </c>
      <c r="H394">
        <v>157</v>
      </c>
      <c r="I394">
        <v>35</v>
      </c>
      <c r="J394">
        <v>104</v>
      </c>
      <c r="K394">
        <v>88</v>
      </c>
      <c r="L394">
        <v>78</v>
      </c>
      <c r="M394" s="2">
        <v>644.80999999999995</v>
      </c>
      <c r="N394">
        <v>7</v>
      </c>
      <c r="O394">
        <v>0</v>
      </c>
      <c r="P394" t="s">
        <v>24</v>
      </c>
      <c r="Q394" t="s">
        <v>34</v>
      </c>
      <c r="R394" t="s">
        <v>26</v>
      </c>
      <c r="S394" s="2">
        <f t="shared" si="6"/>
        <v>56743.28</v>
      </c>
    </row>
    <row r="395" spans="1:19" x14ac:dyDescent="0.3">
      <c r="A395" t="s">
        <v>456</v>
      </c>
      <c r="B395" s="1">
        <v>46198</v>
      </c>
      <c r="C395" t="s">
        <v>77</v>
      </c>
      <c r="D395" t="s">
        <v>53</v>
      </c>
      <c r="E395" t="s">
        <v>21</v>
      </c>
      <c r="F395" t="s">
        <v>37</v>
      </c>
      <c r="G395" t="s">
        <v>38</v>
      </c>
      <c r="H395">
        <v>196</v>
      </c>
      <c r="I395">
        <v>130</v>
      </c>
      <c r="J395">
        <v>48</v>
      </c>
      <c r="K395">
        <v>278</v>
      </c>
      <c r="L395">
        <v>56</v>
      </c>
      <c r="M395" s="2">
        <v>504.86</v>
      </c>
      <c r="N395">
        <v>3</v>
      </c>
      <c r="O395">
        <v>0</v>
      </c>
      <c r="P395" t="s">
        <v>33</v>
      </c>
      <c r="Q395" t="s">
        <v>47</v>
      </c>
      <c r="R395" t="s">
        <v>81</v>
      </c>
      <c r="S395" s="2">
        <f t="shared" si="6"/>
        <v>140351.08000000002</v>
      </c>
    </row>
    <row r="396" spans="1:19" x14ac:dyDescent="0.3">
      <c r="A396" t="s">
        <v>457</v>
      </c>
      <c r="B396" s="1">
        <v>46090</v>
      </c>
      <c r="C396" t="s">
        <v>80</v>
      </c>
      <c r="D396" t="s">
        <v>46</v>
      </c>
      <c r="E396" t="s">
        <v>58</v>
      </c>
      <c r="F396" t="s">
        <v>1582</v>
      </c>
      <c r="G396" t="s">
        <v>1583</v>
      </c>
      <c r="H396">
        <v>93</v>
      </c>
      <c r="I396">
        <v>73</v>
      </c>
      <c r="J396">
        <v>104</v>
      </c>
      <c r="K396">
        <v>62</v>
      </c>
      <c r="L396">
        <v>93</v>
      </c>
      <c r="M396" s="2">
        <v>1071.9100000000001</v>
      </c>
      <c r="N396">
        <v>8</v>
      </c>
      <c r="O396">
        <v>8</v>
      </c>
      <c r="P396" t="s">
        <v>33</v>
      </c>
      <c r="Q396" t="s">
        <v>34</v>
      </c>
      <c r="R396" t="s">
        <v>26</v>
      </c>
      <c r="S396" s="2">
        <f t="shared" si="6"/>
        <v>66458.42</v>
      </c>
    </row>
    <row r="397" spans="1:19" x14ac:dyDescent="0.3">
      <c r="A397" t="s">
        <v>458</v>
      </c>
      <c r="B397" s="1">
        <v>46265</v>
      </c>
      <c r="C397" t="s">
        <v>87</v>
      </c>
      <c r="D397" t="s">
        <v>53</v>
      </c>
      <c r="E397" t="s">
        <v>75</v>
      </c>
      <c r="F397" t="s">
        <v>37</v>
      </c>
      <c r="G397" t="s">
        <v>38</v>
      </c>
      <c r="H397">
        <v>100</v>
      </c>
      <c r="I397">
        <v>91</v>
      </c>
      <c r="J397">
        <v>70</v>
      </c>
      <c r="K397">
        <v>121</v>
      </c>
      <c r="L397">
        <v>99</v>
      </c>
      <c r="M397" s="2">
        <v>439.28</v>
      </c>
      <c r="N397">
        <v>3</v>
      </c>
      <c r="O397">
        <v>0</v>
      </c>
      <c r="P397" t="s">
        <v>33</v>
      </c>
      <c r="Q397" t="s">
        <v>34</v>
      </c>
      <c r="R397" t="s">
        <v>59</v>
      </c>
      <c r="S397" s="2">
        <f t="shared" si="6"/>
        <v>53152.88</v>
      </c>
    </row>
    <row r="398" spans="1:19" x14ac:dyDescent="0.3">
      <c r="A398" t="s">
        <v>459</v>
      </c>
      <c r="B398" s="1">
        <v>46310</v>
      </c>
      <c r="C398" t="s">
        <v>98</v>
      </c>
      <c r="D398" t="s">
        <v>20</v>
      </c>
      <c r="E398" t="s">
        <v>58</v>
      </c>
      <c r="F398" t="s">
        <v>1582</v>
      </c>
      <c r="G398" t="s">
        <v>1583</v>
      </c>
      <c r="H398">
        <v>74</v>
      </c>
      <c r="I398">
        <v>128</v>
      </c>
      <c r="J398">
        <v>95</v>
      </c>
      <c r="K398">
        <v>107</v>
      </c>
      <c r="L398">
        <v>78</v>
      </c>
      <c r="M398" s="2">
        <v>1409.52</v>
      </c>
      <c r="N398">
        <v>4</v>
      </c>
      <c r="O398">
        <v>0</v>
      </c>
      <c r="P398" t="s">
        <v>33</v>
      </c>
      <c r="Q398" t="s">
        <v>34</v>
      </c>
      <c r="R398" t="s">
        <v>26</v>
      </c>
      <c r="S398" s="2">
        <f t="shared" si="6"/>
        <v>150818.63999999998</v>
      </c>
    </row>
    <row r="399" spans="1:19" x14ac:dyDescent="0.3">
      <c r="A399" t="s">
        <v>460</v>
      </c>
      <c r="B399" s="1">
        <v>46194</v>
      </c>
      <c r="C399" t="s">
        <v>77</v>
      </c>
      <c r="D399" t="s">
        <v>53</v>
      </c>
      <c r="E399" t="s">
        <v>58</v>
      </c>
      <c r="F399" t="s">
        <v>31</v>
      </c>
      <c r="G399" t="s">
        <v>32</v>
      </c>
      <c r="H399">
        <v>216</v>
      </c>
      <c r="I399">
        <v>40</v>
      </c>
      <c r="J399">
        <v>22</v>
      </c>
      <c r="K399">
        <v>234</v>
      </c>
      <c r="L399">
        <v>58</v>
      </c>
      <c r="M399" s="2">
        <v>531.38</v>
      </c>
      <c r="N399">
        <v>5</v>
      </c>
      <c r="O399">
        <v>0</v>
      </c>
      <c r="P399" t="s">
        <v>33</v>
      </c>
      <c r="Q399" t="s">
        <v>47</v>
      </c>
      <c r="R399" t="s">
        <v>26</v>
      </c>
      <c r="S399" s="2">
        <f t="shared" si="6"/>
        <v>124342.92</v>
      </c>
    </row>
    <row r="400" spans="1:19" x14ac:dyDescent="0.3">
      <c r="A400" t="s">
        <v>461</v>
      </c>
      <c r="B400" s="1">
        <v>46317</v>
      </c>
      <c r="C400" t="s">
        <v>45</v>
      </c>
      <c r="D400" t="s">
        <v>46</v>
      </c>
      <c r="E400" t="s">
        <v>21</v>
      </c>
      <c r="F400" t="s">
        <v>37</v>
      </c>
      <c r="G400" t="s">
        <v>38</v>
      </c>
      <c r="H400">
        <v>128</v>
      </c>
      <c r="I400">
        <v>22</v>
      </c>
      <c r="J400">
        <v>67</v>
      </c>
      <c r="K400">
        <v>83</v>
      </c>
      <c r="L400">
        <v>52</v>
      </c>
      <c r="M400" s="2">
        <v>776.17</v>
      </c>
      <c r="N400">
        <v>7</v>
      </c>
      <c r="O400">
        <v>0</v>
      </c>
      <c r="P400" t="s">
        <v>33</v>
      </c>
      <c r="Q400" t="s">
        <v>34</v>
      </c>
      <c r="R400" t="s">
        <v>26</v>
      </c>
      <c r="S400" s="2">
        <f t="shared" si="6"/>
        <v>64422.109999999993</v>
      </c>
    </row>
    <row r="401" spans="1:19" x14ac:dyDescent="0.3">
      <c r="A401" t="s">
        <v>462</v>
      </c>
      <c r="B401" s="1">
        <v>46169</v>
      </c>
      <c r="C401" t="s">
        <v>87</v>
      </c>
      <c r="D401" t="s">
        <v>53</v>
      </c>
      <c r="E401" t="s">
        <v>21</v>
      </c>
      <c r="F401" t="s">
        <v>37</v>
      </c>
      <c r="G401" t="s">
        <v>38</v>
      </c>
      <c r="H401">
        <v>123</v>
      </c>
      <c r="I401">
        <v>106</v>
      </c>
      <c r="J401">
        <v>80</v>
      </c>
      <c r="K401">
        <v>149</v>
      </c>
      <c r="L401">
        <v>76</v>
      </c>
      <c r="M401" s="2">
        <v>474.73</v>
      </c>
      <c r="N401">
        <v>5</v>
      </c>
      <c r="O401">
        <v>0</v>
      </c>
      <c r="P401" t="s">
        <v>33</v>
      </c>
      <c r="Q401" t="s">
        <v>34</v>
      </c>
      <c r="R401" t="s">
        <v>26</v>
      </c>
      <c r="S401" s="2">
        <f t="shared" si="6"/>
        <v>70734.77</v>
      </c>
    </row>
    <row r="402" spans="1:19" x14ac:dyDescent="0.3">
      <c r="A402" t="s">
        <v>463</v>
      </c>
      <c r="B402" s="1">
        <v>46386</v>
      </c>
      <c r="C402" t="s">
        <v>72</v>
      </c>
      <c r="D402" t="s">
        <v>50</v>
      </c>
      <c r="E402" t="s">
        <v>42</v>
      </c>
      <c r="F402" t="s">
        <v>37</v>
      </c>
      <c r="G402" t="s">
        <v>38</v>
      </c>
      <c r="H402">
        <v>147</v>
      </c>
      <c r="I402">
        <v>100</v>
      </c>
      <c r="J402">
        <v>93</v>
      </c>
      <c r="K402">
        <v>154</v>
      </c>
      <c r="L402">
        <v>81</v>
      </c>
      <c r="M402" s="2">
        <v>2158.1</v>
      </c>
      <c r="N402">
        <v>4</v>
      </c>
      <c r="O402">
        <v>2</v>
      </c>
      <c r="P402" t="s">
        <v>24</v>
      </c>
      <c r="Q402" t="s">
        <v>34</v>
      </c>
      <c r="R402" t="s">
        <v>26</v>
      </c>
      <c r="S402" s="2">
        <f t="shared" si="6"/>
        <v>332347.39999999997</v>
      </c>
    </row>
    <row r="403" spans="1:19" x14ac:dyDescent="0.3">
      <c r="A403" t="s">
        <v>464</v>
      </c>
      <c r="B403" s="1">
        <v>46087</v>
      </c>
      <c r="C403" t="s">
        <v>146</v>
      </c>
      <c r="D403" t="s">
        <v>46</v>
      </c>
      <c r="E403" t="s">
        <v>21</v>
      </c>
      <c r="F403" t="s">
        <v>1582</v>
      </c>
      <c r="G403" t="s">
        <v>1583</v>
      </c>
      <c r="H403">
        <v>132</v>
      </c>
      <c r="I403">
        <v>115</v>
      </c>
      <c r="J403">
        <v>90</v>
      </c>
      <c r="K403">
        <v>157</v>
      </c>
      <c r="L403">
        <v>78</v>
      </c>
      <c r="M403" s="2">
        <v>1639.66</v>
      </c>
      <c r="N403">
        <v>5</v>
      </c>
      <c r="O403">
        <v>0</v>
      </c>
      <c r="P403" t="s">
        <v>24</v>
      </c>
      <c r="Q403" t="s">
        <v>34</v>
      </c>
      <c r="R403" t="s">
        <v>43</v>
      </c>
      <c r="S403" s="2">
        <f t="shared" si="6"/>
        <v>257426.62000000002</v>
      </c>
    </row>
    <row r="404" spans="1:19" x14ac:dyDescent="0.3">
      <c r="A404" t="s">
        <v>465</v>
      </c>
      <c r="B404" s="1">
        <v>46226</v>
      </c>
      <c r="C404" t="s">
        <v>83</v>
      </c>
      <c r="D404" t="s">
        <v>29</v>
      </c>
      <c r="E404" t="s">
        <v>75</v>
      </c>
      <c r="F404" t="s">
        <v>22</v>
      </c>
      <c r="G404" t="s">
        <v>23</v>
      </c>
      <c r="H404">
        <v>82</v>
      </c>
      <c r="I404">
        <v>70</v>
      </c>
      <c r="J404">
        <v>28</v>
      </c>
      <c r="K404">
        <v>124</v>
      </c>
      <c r="L404">
        <v>51</v>
      </c>
      <c r="M404" s="2">
        <v>1460.41</v>
      </c>
      <c r="N404">
        <v>5</v>
      </c>
      <c r="O404">
        <v>0</v>
      </c>
      <c r="P404" t="s">
        <v>33</v>
      </c>
      <c r="Q404" t="s">
        <v>47</v>
      </c>
      <c r="R404" t="s">
        <v>26</v>
      </c>
      <c r="S404" s="2">
        <f t="shared" si="6"/>
        <v>181090.84</v>
      </c>
    </row>
    <row r="405" spans="1:19" x14ac:dyDescent="0.3">
      <c r="A405" t="s">
        <v>466</v>
      </c>
      <c r="B405" s="1">
        <v>46168</v>
      </c>
      <c r="C405" t="s">
        <v>77</v>
      </c>
      <c r="D405" t="s">
        <v>53</v>
      </c>
      <c r="E405" t="s">
        <v>75</v>
      </c>
      <c r="F405" t="s">
        <v>37</v>
      </c>
      <c r="G405" t="s">
        <v>38</v>
      </c>
      <c r="H405">
        <v>198</v>
      </c>
      <c r="I405">
        <v>39</v>
      </c>
      <c r="J405">
        <v>25</v>
      </c>
      <c r="K405">
        <v>212</v>
      </c>
      <c r="L405">
        <v>86</v>
      </c>
      <c r="M405" s="2">
        <v>543.16</v>
      </c>
      <c r="N405">
        <v>5</v>
      </c>
      <c r="O405">
        <v>0</v>
      </c>
      <c r="P405" t="s">
        <v>33</v>
      </c>
      <c r="Q405" t="s">
        <v>47</v>
      </c>
      <c r="R405" t="s">
        <v>26</v>
      </c>
      <c r="S405" s="2">
        <f t="shared" si="6"/>
        <v>115149.92</v>
      </c>
    </row>
    <row r="406" spans="1:19" x14ac:dyDescent="0.3">
      <c r="A406" t="s">
        <v>467</v>
      </c>
      <c r="B406" s="1">
        <v>46380</v>
      </c>
      <c r="C406" t="s">
        <v>72</v>
      </c>
      <c r="D406" t="s">
        <v>50</v>
      </c>
      <c r="E406" t="s">
        <v>42</v>
      </c>
      <c r="F406" t="s">
        <v>22</v>
      </c>
      <c r="G406" t="s">
        <v>23</v>
      </c>
      <c r="H406">
        <v>47</v>
      </c>
      <c r="I406">
        <v>24</v>
      </c>
      <c r="J406">
        <v>99</v>
      </c>
      <c r="K406">
        <v>0</v>
      </c>
      <c r="L406">
        <v>67</v>
      </c>
      <c r="M406" s="2">
        <v>2358.56</v>
      </c>
      <c r="N406">
        <v>7</v>
      </c>
      <c r="O406">
        <v>9</v>
      </c>
      <c r="P406" t="s">
        <v>24</v>
      </c>
      <c r="Q406" t="s">
        <v>25</v>
      </c>
      <c r="R406" t="s">
        <v>26</v>
      </c>
      <c r="S406" s="2">
        <f t="shared" si="6"/>
        <v>0</v>
      </c>
    </row>
    <row r="407" spans="1:19" x14ac:dyDescent="0.3">
      <c r="A407" t="s">
        <v>468</v>
      </c>
      <c r="B407" s="1">
        <v>46200</v>
      </c>
      <c r="C407" t="s">
        <v>87</v>
      </c>
      <c r="D407" t="s">
        <v>53</v>
      </c>
      <c r="E407" t="s">
        <v>30</v>
      </c>
      <c r="F407" t="s">
        <v>1582</v>
      </c>
      <c r="G407" t="s">
        <v>1583</v>
      </c>
      <c r="H407">
        <v>201</v>
      </c>
      <c r="I407">
        <v>115</v>
      </c>
      <c r="J407">
        <v>96</v>
      </c>
      <c r="K407">
        <v>220</v>
      </c>
      <c r="L407">
        <v>81</v>
      </c>
      <c r="M407" s="2">
        <v>444.15</v>
      </c>
      <c r="N407">
        <v>7</v>
      </c>
      <c r="O407">
        <v>0</v>
      </c>
      <c r="P407" t="s">
        <v>33</v>
      </c>
      <c r="Q407" t="s">
        <v>47</v>
      </c>
      <c r="R407" t="s">
        <v>26</v>
      </c>
      <c r="S407" s="2">
        <f t="shared" si="6"/>
        <v>97713</v>
      </c>
    </row>
    <row r="408" spans="1:19" x14ac:dyDescent="0.3">
      <c r="A408" t="s">
        <v>469</v>
      </c>
      <c r="B408" s="1">
        <v>46092</v>
      </c>
      <c r="C408" t="s">
        <v>72</v>
      </c>
      <c r="D408" t="s">
        <v>50</v>
      </c>
      <c r="E408" t="s">
        <v>75</v>
      </c>
      <c r="F408" t="s">
        <v>1582</v>
      </c>
      <c r="G408" t="s">
        <v>1583</v>
      </c>
      <c r="H408">
        <v>118</v>
      </c>
      <c r="I408">
        <v>66</v>
      </c>
      <c r="J408">
        <v>67</v>
      </c>
      <c r="K408">
        <v>117</v>
      </c>
      <c r="L408">
        <v>61</v>
      </c>
      <c r="M408" s="2">
        <v>2048.52</v>
      </c>
      <c r="N408">
        <v>2</v>
      </c>
      <c r="O408">
        <v>0</v>
      </c>
      <c r="P408" t="s">
        <v>24</v>
      </c>
      <c r="Q408" t="s">
        <v>34</v>
      </c>
      <c r="R408" t="s">
        <v>43</v>
      </c>
      <c r="S408" s="2">
        <f t="shared" si="6"/>
        <v>239676.84</v>
      </c>
    </row>
    <row r="409" spans="1:19" x14ac:dyDescent="0.3">
      <c r="A409" t="s">
        <v>470</v>
      </c>
      <c r="B409" s="1">
        <v>46026</v>
      </c>
      <c r="C409" t="s">
        <v>45</v>
      </c>
      <c r="D409" t="s">
        <v>46</v>
      </c>
      <c r="E409" t="s">
        <v>58</v>
      </c>
      <c r="F409" t="s">
        <v>31</v>
      </c>
      <c r="G409" t="s">
        <v>32</v>
      </c>
      <c r="H409">
        <v>216</v>
      </c>
      <c r="I409">
        <v>82</v>
      </c>
      <c r="J409">
        <v>76</v>
      </c>
      <c r="K409">
        <v>222</v>
      </c>
      <c r="L409">
        <v>64</v>
      </c>
      <c r="M409" s="2">
        <v>721.46</v>
      </c>
      <c r="N409">
        <v>5</v>
      </c>
      <c r="O409">
        <v>0</v>
      </c>
      <c r="P409" t="s">
        <v>33</v>
      </c>
      <c r="Q409" t="s">
        <v>47</v>
      </c>
      <c r="R409" t="s">
        <v>26</v>
      </c>
      <c r="S409" s="2">
        <f t="shared" si="6"/>
        <v>160164.12</v>
      </c>
    </row>
    <row r="410" spans="1:19" x14ac:dyDescent="0.3">
      <c r="A410" t="s">
        <v>471</v>
      </c>
      <c r="B410" s="1">
        <v>46135</v>
      </c>
      <c r="C410" t="s">
        <v>52</v>
      </c>
      <c r="D410" t="s">
        <v>53</v>
      </c>
      <c r="E410" t="s">
        <v>42</v>
      </c>
      <c r="F410" t="s">
        <v>1582</v>
      </c>
      <c r="G410" t="s">
        <v>1583</v>
      </c>
      <c r="H410">
        <v>183</v>
      </c>
      <c r="I410">
        <v>75</v>
      </c>
      <c r="J410">
        <v>65</v>
      </c>
      <c r="K410">
        <v>193</v>
      </c>
      <c r="L410">
        <v>60</v>
      </c>
      <c r="M410" s="2">
        <v>606.23</v>
      </c>
      <c r="N410">
        <v>7</v>
      </c>
      <c r="O410">
        <v>0</v>
      </c>
      <c r="P410" t="s">
        <v>33</v>
      </c>
      <c r="Q410" t="s">
        <v>47</v>
      </c>
      <c r="R410" t="s">
        <v>43</v>
      </c>
      <c r="S410" s="2">
        <f t="shared" si="6"/>
        <v>117002.39</v>
      </c>
    </row>
    <row r="411" spans="1:19" x14ac:dyDescent="0.3">
      <c r="A411" t="s">
        <v>472</v>
      </c>
      <c r="B411" s="1">
        <v>46119</v>
      </c>
      <c r="C411" t="s">
        <v>109</v>
      </c>
      <c r="D411" t="s">
        <v>46</v>
      </c>
      <c r="E411" t="s">
        <v>58</v>
      </c>
      <c r="F411" t="s">
        <v>22</v>
      </c>
      <c r="G411" t="s">
        <v>23</v>
      </c>
      <c r="H411">
        <v>172</v>
      </c>
      <c r="I411">
        <v>117</v>
      </c>
      <c r="J411">
        <v>93</v>
      </c>
      <c r="K411">
        <v>196</v>
      </c>
      <c r="L411">
        <v>96</v>
      </c>
      <c r="M411" s="2">
        <v>3324.11</v>
      </c>
      <c r="N411">
        <v>7</v>
      </c>
      <c r="O411">
        <v>0</v>
      </c>
      <c r="P411" t="s">
        <v>33</v>
      </c>
      <c r="Q411" t="s">
        <v>34</v>
      </c>
      <c r="R411" t="s">
        <v>26</v>
      </c>
      <c r="S411" s="2">
        <f t="shared" si="6"/>
        <v>651525.56000000006</v>
      </c>
    </row>
    <row r="412" spans="1:19" x14ac:dyDescent="0.3">
      <c r="A412" t="s">
        <v>473</v>
      </c>
      <c r="B412" s="1">
        <v>46032</v>
      </c>
      <c r="C412" t="s">
        <v>98</v>
      </c>
      <c r="D412" t="s">
        <v>20</v>
      </c>
      <c r="E412" t="s">
        <v>42</v>
      </c>
      <c r="F412" t="s">
        <v>37</v>
      </c>
      <c r="G412" t="s">
        <v>38</v>
      </c>
      <c r="H412">
        <v>68</v>
      </c>
      <c r="I412">
        <v>101</v>
      </c>
      <c r="J412">
        <v>73</v>
      </c>
      <c r="K412">
        <v>96</v>
      </c>
      <c r="L412">
        <v>84</v>
      </c>
      <c r="M412" s="2">
        <v>1386.77</v>
      </c>
      <c r="N412">
        <v>7</v>
      </c>
      <c r="O412">
        <v>0</v>
      </c>
      <c r="P412" t="s">
        <v>33</v>
      </c>
      <c r="Q412" t="s">
        <v>34</v>
      </c>
      <c r="R412" t="s">
        <v>26</v>
      </c>
      <c r="S412" s="2">
        <f t="shared" si="6"/>
        <v>133129.91999999998</v>
      </c>
    </row>
    <row r="413" spans="1:19" x14ac:dyDescent="0.3">
      <c r="A413" t="s">
        <v>474</v>
      </c>
      <c r="B413" s="1">
        <v>46100</v>
      </c>
      <c r="C413" t="s">
        <v>62</v>
      </c>
      <c r="D413" t="s">
        <v>29</v>
      </c>
      <c r="E413" t="s">
        <v>30</v>
      </c>
      <c r="F413" t="s">
        <v>31</v>
      </c>
      <c r="G413" t="s">
        <v>32</v>
      </c>
      <c r="H413">
        <v>87</v>
      </c>
      <c r="I413">
        <v>33</v>
      </c>
      <c r="J413">
        <v>51</v>
      </c>
      <c r="K413">
        <v>69</v>
      </c>
      <c r="L413">
        <v>62</v>
      </c>
      <c r="M413" s="2">
        <v>647.51</v>
      </c>
      <c r="N413">
        <v>5</v>
      </c>
      <c r="O413">
        <v>0</v>
      </c>
      <c r="P413" t="s">
        <v>33</v>
      </c>
      <c r="Q413" t="s">
        <v>34</v>
      </c>
      <c r="R413" t="s">
        <v>26</v>
      </c>
      <c r="S413" s="2">
        <f t="shared" si="6"/>
        <v>44678.19</v>
      </c>
    </row>
    <row r="414" spans="1:19" x14ac:dyDescent="0.3">
      <c r="A414" t="s">
        <v>475</v>
      </c>
      <c r="B414" s="1">
        <v>46097</v>
      </c>
      <c r="C414" t="s">
        <v>40</v>
      </c>
      <c r="D414" t="s">
        <v>20</v>
      </c>
      <c r="E414" t="s">
        <v>42</v>
      </c>
      <c r="F414" t="s">
        <v>37</v>
      </c>
      <c r="G414" t="s">
        <v>38</v>
      </c>
      <c r="H414">
        <v>147</v>
      </c>
      <c r="I414">
        <v>59</v>
      </c>
      <c r="J414">
        <v>78</v>
      </c>
      <c r="K414">
        <v>128</v>
      </c>
      <c r="L414">
        <v>68</v>
      </c>
      <c r="M414" s="2">
        <v>893.46</v>
      </c>
      <c r="N414">
        <v>8</v>
      </c>
      <c r="O414">
        <v>0</v>
      </c>
      <c r="P414" t="s">
        <v>24</v>
      </c>
      <c r="Q414" t="s">
        <v>34</v>
      </c>
      <c r="R414" t="s">
        <v>26</v>
      </c>
      <c r="S414" s="2">
        <f t="shared" si="6"/>
        <v>114362.88</v>
      </c>
    </row>
    <row r="415" spans="1:19" x14ac:dyDescent="0.3">
      <c r="A415" t="s">
        <v>476</v>
      </c>
      <c r="B415" s="1">
        <v>46085</v>
      </c>
      <c r="C415" t="s">
        <v>89</v>
      </c>
      <c r="D415" t="s">
        <v>20</v>
      </c>
      <c r="E415" t="s">
        <v>58</v>
      </c>
      <c r="F415" t="s">
        <v>31</v>
      </c>
      <c r="G415" t="s">
        <v>32</v>
      </c>
      <c r="H415">
        <v>179</v>
      </c>
      <c r="I415">
        <v>80</v>
      </c>
      <c r="J415">
        <v>38</v>
      </c>
      <c r="K415">
        <v>221</v>
      </c>
      <c r="L415">
        <v>57</v>
      </c>
      <c r="M415" s="2">
        <v>1294.97</v>
      </c>
      <c r="N415">
        <v>4</v>
      </c>
      <c r="O415">
        <v>0</v>
      </c>
      <c r="P415" t="s">
        <v>33</v>
      </c>
      <c r="Q415" t="s">
        <v>47</v>
      </c>
      <c r="R415" t="s">
        <v>43</v>
      </c>
      <c r="S415" s="2">
        <f t="shared" si="6"/>
        <v>286188.37</v>
      </c>
    </row>
    <row r="416" spans="1:19" x14ac:dyDescent="0.3">
      <c r="A416" t="s">
        <v>477</v>
      </c>
      <c r="B416" s="1">
        <v>46182</v>
      </c>
      <c r="C416" t="s">
        <v>36</v>
      </c>
      <c r="D416" t="s">
        <v>29</v>
      </c>
      <c r="E416" t="s">
        <v>58</v>
      </c>
      <c r="F416" t="s">
        <v>22</v>
      </c>
      <c r="G416" t="s">
        <v>23</v>
      </c>
      <c r="H416">
        <v>48</v>
      </c>
      <c r="I416">
        <v>45</v>
      </c>
      <c r="J416">
        <v>73</v>
      </c>
      <c r="K416">
        <v>20</v>
      </c>
      <c r="L416">
        <v>92</v>
      </c>
      <c r="M416" s="2">
        <v>2530.08</v>
      </c>
      <c r="N416">
        <v>10</v>
      </c>
      <c r="O416">
        <v>12</v>
      </c>
      <c r="P416" t="s">
        <v>33</v>
      </c>
      <c r="Q416" t="s">
        <v>25</v>
      </c>
      <c r="R416" t="s">
        <v>59</v>
      </c>
      <c r="S416" s="2">
        <f t="shared" si="6"/>
        <v>50601.599999999999</v>
      </c>
    </row>
    <row r="417" spans="1:19" x14ac:dyDescent="0.3">
      <c r="A417" t="s">
        <v>478</v>
      </c>
      <c r="B417" s="1">
        <v>46080</v>
      </c>
      <c r="C417" t="s">
        <v>80</v>
      </c>
      <c r="D417" t="s">
        <v>46</v>
      </c>
      <c r="E417" t="s">
        <v>75</v>
      </c>
      <c r="F417" t="s">
        <v>31</v>
      </c>
      <c r="G417" t="s">
        <v>32</v>
      </c>
      <c r="H417">
        <v>104</v>
      </c>
      <c r="I417">
        <v>81</v>
      </c>
      <c r="J417">
        <v>96</v>
      </c>
      <c r="K417">
        <v>89</v>
      </c>
      <c r="L417">
        <v>64</v>
      </c>
      <c r="M417" s="2">
        <v>1033.72</v>
      </c>
      <c r="N417">
        <v>2</v>
      </c>
      <c r="O417">
        <v>0</v>
      </c>
      <c r="P417" t="s">
        <v>33</v>
      </c>
      <c r="Q417" t="s">
        <v>34</v>
      </c>
      <c r="R417" t="s">
        <v>26</v>
      </c>
      <c r="S417" s="2">
        <f t="shared" si="6"/>
        <v>92001.08</v>
      </c>
    </row>
    <row r="418" spans="1:19" x14ac:dyDescent="0.3">
      <c r="A418" t="s">
        <v>479</v>
      </c>
      <c r="B418" s="1">
        <v>46320</v>
      </c>
      <c r="C418" t="s">
        <v>36</v>
      </c>
      <c r="D418" t="s">
        <v>29</v>
      </c>
      <c r="E418" t="s">
        <v>21</v>
      </c>
      <c r="F418" t="s">
        <v>31</v>
      </c>
      <c r="G418" t="s">
        <v>32</v>
      </c>
      <c r="H418">
        <v>82</v>
      </c>
      <c r="I418">
        <v>121</v>
      </c>
      <c r="J418">
        <v>50</v>
      </c>
      <c r="K418">
        <v>153</v>
      </c>
      <c r="L418">
        <v>82</v>
      </c>
      <c r="M418" s="2">
        <v>2217.4299999999998</v>
      </c>
      <c r="N418">
        <v>8</v>
      </c>
      <c r="O418">
        <v>0</v>
      </c>
      <c r="P418" t="s">
        <v>33</v>
      </c>
      <c r="Q418" t="s">
        <v>34</v>
      </c>
      <c r="R418" t="s">
        <v>81</v>
      </c>
      <c r="S418" s="2">
        <f t="shared" si="6"/>
        <v>339266.79</v>
      </c>
    </row>
    <row r="419" spans="1:19" x14ac:dyDescent="0.3">
      <c r="A419" t="s">
        <v>480</v>
      </c>
      <c r="B419" s="1">
        <v>46343</v>
      </c>
      <c r="C419" t="s">
        <v>72</v>
      </c>
      <c r="D419" t="s">
        <v>50</v>
      </c>
      <c r="E419" t="s">
        <v>21</v>
      </c>
      <c r="F419" t="s">
        <v>31</v>
      </c>
      <c r="G419" t="s">
        <v>32</v>
      </c>
      <c r="H419">
        <v>103</v>
      </c>
      <c r="I419">
        <v>40</v>
      </c>
      <c r="J419">
        <v>78</v>
      </c>
      <c r="K419">
        <v>65</v>
      </c>
      <c r="L419">
        <v>50</v>
      </c>
      <c r="M419" s="2">
        <v>2281.8200000000002</v>
      </c>
      <c r="N419">
        <v>4</v>
      </c>
      <c r="O419">
        <v>0</v>
      </c>
      <c r="P419" t="s">
        <v>33</v>
      </c>
      <c r="Q419" t="s">
        <v>34</v>
      </c>
      <c r="R419" t="s">
        <v>81</v>
      </c>
      <c r="S419" s="2">
        <f t="shared" si="6"/>
        <v>148318.30000000002</v>
      </c>
    </row>
    <row r="420" spans="1:19" x14ac:dyDescent="0.3">
      <c r="A420" t="s">
        <v>481</v>
      </c>
      <c r="B420" s="1">
        <v>46200</v>
      </c>
      <c r="C420" t="s">
        <v>19</v>
      </c>
      <c r="D420" t="s">
        <v>20</v>
      </c>
      <c r="E420" t="s">
        <v>21</v>
      </c>
      <c r="F420" t="s">
        <v>22</v>
      </c>
      <c r="G420" t="s">
        <v>23</v>
      </c>
      <c r="H420">
        <v>219</v>
      </c>
      <c r="I420">
        <v>88</v>
      </c>
      <c r="J420">
        <v>28</v>
      </c>
      <c r="K420">
        <v>279</v>
      </c>
      <c r="L420">
        <v>53</v>
      </c>
      <c r="M420" s="2">
        <v>1795.62</v>
      </c>
      <c r="N420">
        <v>4</v>
      </c>
      <c r="O420">
        <v>0</v>
      </c>
      <c r="P420" t="s">
        <v>33</v>
      </c>
      <c r="Q420" t="s">
        <v>47</v>
      </c>
      <c r="R420" t="s">
        <v>59</v>
      </c>
      <c r="S420" s="2">
        <f t="shared" si="6"/>
        <v>500977.98</v>
      </c>
    </row>
    <row r="421" spans="1:19" x14ac:dyDescent="0.3">
      <c r="A421" t="s">
        <v>482</v>
      </c>
      <c r="B421" s="1">
        <v>46300</v>
      </c>
      <c r="C421" t="s">
        <v>72</v>
      </c>
      <c r="D421" t="s">
        <v>50</v>
      </c>
      <c r="E421" t="s">
        <v>75</v>
      </c>
      <c r="F421" t="s">
        <v>1582</v>
      </c>
      <c r="G421" t="s">
        <v>1583</v>
      </c>
      <c r="H421">
        <v>131</v>
      </c>
      <c r="I421">
        <v>112</v>
      </c>
      <c r="J421">
        <v>32</v>
      </c>
      <c r="K421">
        <v>211</v>
      </c>
      <c r="L421">
        <v>61</v>
      </c>
      <c r="M421" s="2">
        <v>2375.41</v>
      </c>
      <c r="N421">
        <v>5</v>
      </c>
      <c r="O421">
        <v>0</v>
      </c>
      <c r="P421" t="s">
        <v>33</v>
      </c>
      <c r="Q421" t="s">
        <v>47</v>
      </c>
      <c r="R421" t="s">
        <v>26</v>
      </c>
      <c r="S421" s="2">
        <f t="shared" si="6"/>
        <v>501211.50999999995</v>
      </c>
    </row>
    <row r="422" spans="1:19" x14ac:dyDescent="0.3">
      <c r="A422" t="s">
        <v>483</v>
      </c>
      <c r="B422" s="1">
        <v>46306</v>
      </c>
      <c r="C422" t="s">
        <v>72</v>
      </c>
      <c r="D422" t="s">
        <v>50</v>
      </c>
      <c r="E422" t="s">
        <v>30</v>
      </c>
      <c r="F422" t="s">
        <v>22</v>
      </c>
      <c r="G422" t="s">
        <v>23</v>
      </c>
      <c r="H422">
        <v>179</v>
      </c>
      <c r="I422">
        <v>64</v>
      </c>
      <c r="J422">
        <v>56</v>
      </c>
      <c r="K422">
        <v>187</v>
      </c>
      <c r="L422">
        <v>91</v>
      </c>
      <c r="M422" s="2">
        <v>2186.09</v>
      </c>
      <c r="N422">
        <v>8</v>
      </c>
      <c r="O422">
        <v>0</v>
      </c>
      <c r="P422" t="s">
        <v>33</v>
      </c>
      <c r="Q422" t="s">
        <v>34</v>
      </c>
      <c r="R422" t="s">
        <v>43</v>
      </c>
      <c r="S422" s="2">
        <f t="shared" si="6"/>
        <v>408798.83</v>
      </c>
    </row>
    <row r="423" spans="1:19" x14ac:dyDescent="0.3">
      <c r="A423" t="s">
        <v>484</v>
      </c>
      <c r="B423" s="1">
        <v>46117</v>
      </c>
      <c r="C423" t="s">
        <v>62</v>
      </c>
      <c r="D423" t="s">
        <v>29</v>
      </c>
      <c r="E423" t="s">
        <v>30</v>
      </c>
      <c r="F423" t="s">
        <v>22</v>
      </c>
      <c r="G423" t="s">
        <v>23</v>
      </c>
      <c r="H423">
        <v>155</v>
      </c>
      <c r="I423">
        <v>57</v>
      </c>
      <c r="J423">
        <v>48</v>
      </c>
      <c r="K423">
        <v>164</v>
      </c>
      <c r="L423">
        <v>79</v>
      </c>
      <c r="M423" s="2">
        <v>681.4</v>
      </c>
      <c r="N423">
        <v>2</v>
      </c>
      <c r="O423">
        <v>0</v>
      </c>
      <c r="P423" t="s">
        <v>33</v>
      </c>
      <c r="Q423" t="s">
        <v>34</v>
      </c>
      <c r="R423" t="s">
        <v>26</v>
      </c>
      <c r="S423" s="2">
        <f t="shared" si="6"/>
        <v>111749.59999999999</v>
      </c>
    </row>
    <row r="424" spans="1:19" x14ac:dyDescent="0.3">
      <c r="A424" t="s">
        <v>485</v>
      </c>
      <c r="B424" s="1">
        <v>46277</v>
      </c>
      <c r="C424" t="s">
        <v>89</v>
      </c>
      <c r="D424" t="s">
        <v>20</v>
      </c>
      <c r="E424" t="s">
        <v>30</v>
      </c>
      <c r="F424" t="s">
        <v>22</v>
      </c>
      <c r="G424" t="s">
        <v>23</v>
      </c>
      <c r="H424">
        <v>122</v>
      </c>
      <c r="I424">
        <v>112</v>
      </c>
      <c r="J424">
        <v>23</v>
      </c>
      <c r="K424">
        <v>211</v>
      </c>
      <c r="L424">
        <v>87</v>
      </c>
      <c r="M424" s="2">
        <v>1312.12</v>
      </c>
      <c r="N424">
        <v>8</v>
      </c>
      <c r="O424">
        <v>0</v>
      </c>
      <c r="P424" t="s">
        <v>33</v>
      </c>
      <c r="Q424" t="s">
        <v>47</v>
      </c>
      <c r="R424" t="s">
        <v>26</v>
      </c>
      <c r="S424" s="2">
        <f t="shared" si="6"/>
        <v>276857.31999999995</v>
      </c>
    </row>
    <row r="425" spans="1:19" x14ac:dyDescent="0.3">
      <c r="A425" t="s">
        <v>486</v>
      </c>
      <c r="B425" s="1">
        <v>46089</v>
      </c>
      <c r="C425" t="s">
        <v>87</v>
      </c>
      <c r="D425" t="s">
        <v>53</v>
      </c>
      <c r="E425" t="s">
        <v>30</v>
      </c>
      <c r="F425" t="s">
        <v>37</v>
      </c>
      <c r="G425" t="s">
        <v>38</v>
      </c>
      <c r="H425">
        <v>122</v>
      </c>
      <c r="I425">
        <v>72</v>
      </c>
      <c r="J425">
        <v>97</v>
      </c>
      <c r="K425">
        <v>97</v>
      </c>
      <c r="L425">
        <v>65</v>
      </c>
      <c r="M425" s="2">
        <v>414.94</v>
      </c>
      <c r="N425">
        <v>6</v>
      </c>
      <c r="O425">
        <v>0</v>
      </c>
      <c r="P425" t="s">
        <v>33</v>
      </c>
      <c r="Q425" t="s">
        <v>34</v>
      </c>
      <c r="R425" t="s">
        <v>26</v>
      </c>
      <c r="S425" s="2">
        <f t="shared" si="6"/>
        <v>40249.18</v>
      </c>
    </row>
    <row r="426" spans="1:19" x14ac:dyDescent="0.3">
      <c r="A426" t="s">
        <v>487</v>
      </c>
      <c r="B426" s="1">
        <v>46342</v>
      </c>
      <c r="C426" t="s">
        <v>62</v>
      </c>
      <c r="D426" t="s">
        <v>29</v>
      </c>
      <c r="E426" t="s">
        <v>42</v>
      </c>
      <c r="F426" t="s">
        <v>31</v>
      </c>
      <c r="G426" t="s">
        <v>32</v>
      </c>
      <c r="H426">
        <v>164</v>
      </c>
      <c r="I426">
        <v>44</v>
      </c>
      <c r="J426">
        <v>27</v>
      </c>
      <c r="K426">
        <v>181</v>
      </c>
      <c r="L426">
        <v>47</v>
      </c>
      <c r="M426" s="2">
        <v>709.94</v>
      </c>
      <c r="N426">
        <v>8</v>
      </c>
      <c r="O426">
        <v>0</v>
      </c>
      <c r="P426" t="s">
        <v>33</v>
      </c>
      <c r="Q426" t="s">
        <v>47</v>
      </c>
      <c r="R426" t="s">
        <v>26</v>
      </c>
      <c r="S426" s="2">
        <f t="shared" si="6"/>
        <v>128499.14000000001</v>
      </c>
    </row>
    <row r="427" spans="1:19" x14ac:dyDescent="0.3">
      <c r="A427" t="s">
        <v>488</v>
      </c>
      <c r="B427" s="1">
        <v>46063</v>
      </c>
      <c r="C427" t="s">
        <v>52</v>
      </c>
      <c r="D427" t="s">
        <v>53</v>
      </c>
      <c r="E427" t="s">
        <v>75</v>
      </c>
      <c r="F427" t="s">
        <v>37</v>
      </c>
      <c r="G427" t="s">
        <v>38</v>
      </c>
      <c r="H427">
        <v>96</v>
      </c>
      <c r="I427">
        <v>97</v>
      </c>
      <c r="J427">
        <v>106</v>
      </c>
      <c r="K427">
        <v>87</v>
      </c>
      <c r="L427">
        <v>49</v>
      </c>
      <c r="M427" s="2">
        <v>586.70000000000005</v>
      </c>
      <c r="N427">
        <v>3</v>
      </c>
      <c r="O427">
        <v>0</v>
      </c>
      <c r="P427" t="s">
        <v>33</v>
      </c>
      <c r="Q427" t="s">
        <v>34</v>
      </c>
      <c r="R427" t="s">
        <v>81</v>
      </c>
      <c r="S427" s="2">
        <f t="shared" si="6"/>
        <v>51042.9</v>
      </c>
    </row>
    <row r="428" spans="1:19" x14ac:dyDescent="0.3">
      <c r="A428" t="s">
        <v>489</v>
      </c>
      <c r="B428" s="1">
        <v>46178</v>
      </c>
      <c r="C428" t="s">
        <v>57</v>
      </c>
      <c r="D428" t="s">
        <v>50</v>
      </c>
      <c r="E428" t="s">
        <v>21</v>
      </c>
      <c r="F428" t="s">
        <v>1582</v>
      </c>
      <c r="G428" t="s">
        <v>1583</v>
      </c>
      <c r="H428">
        <v>134</v>
      </c>
      <c r="I428">
        <v>121</v>
      </c>
      <c r="J428">
        <v>105</v>
      </c>
      <c r="K428">
        <v>150</v>
      </c>
      <c r="L428">
        <v>48</v>
      </c>
      <c r="M428" s="2">
        <v>2981.24</v>
      </c>
      <c r="N428">
        <v>4</v>
      </c>
      <c r="O428">
        <v>0</v>
      </c>
      <c r="P428" t="s">
        <v>33</v>
      </c>
      <c r="Q428" t="s">
        <v>47</v>
      </c>
      <c r="R428" t="s">
        <v>59</v>
      </c>
      <c r="S428" s="2">
        <f t="shared" si="6"/>
        <v>447185.99999999994</v>
      </c>
    </row>
    <row r="429" spans="1:19" x14ac:dyDescent="0.3">
      <c r="A429" t="s">
        <v>490</v>
      </c>
      <c r="B429" s="1">
        <v>46343</v>
      </c>
      <c r="C429" t="s">
        <v>98</v>
      </c>
      <c r="D429" t="s">
        <v>20</v>
      </c>
      <c r="E429" t="s">
        <v>30</v>
      </c>
      <c r="F429" t="s">
        <v>31</v>
      </c>
      <c r="G429" t="s">
        <v>32</v>
      </c>
      <c r="H429">
        <v>65</v>
      </c>
      <c r="I429">
        <v>112</v>
      </c>
      <c r="J429">
        <v>44</v>
      </c>
      <c r="K429">
        <v>133</v>
      </c>
      <c r="L429">
        <v>79</v>
      </c>
      <c r="M429" s="2">
        <v>1367.89</v>
      </c>
      <c r="N429">
        <v>3</v>
      </c>
      <c r="O429">
        <v>0</v>
      </c>
      <c r="P429" t="s">
        <v>33</v>
      </c>
      <c r="Q429" t="s">
        <v>34</v>
      </c>
      <c r="R429" t="s">
        <v>26</v>
      </c>
      <c r="S429" s="2">
        <f t="shared" si="6"/>
        <v>181929.37000000002</v>
      </c>
    </row>
    <row r="430" spans="1:19" x14ac:dyDescent="0.3">
      <c r="A430" t="s">
        <v>491</v>
      </c>
      <c r="B430" s="1">
        <v>46228</v>
      </c>
      <c r="C430" t="s">
        <v>36</v>
      </c>
      <c r="D430" t="s">
        <v>29</v>
      </c>
      <c r="E430" t="s">
        <v>75</v>
      </c>
      <c r="F430" t="s">
        <v>37</v>
      </c>
      <c r="G430" t="s">
        <v>38</v>
      </c>
      <c r="H430">
        <v>212</v>
      </c>
      <c r="I430">
        <v>78</v>
      </c>
      <c r="J430">
        <v>104</v>
      </c>
      <c r="K430">
        <v>186</v>
      </c>
      <c r="L430">
        <v>87</v>
      </c>
      <c r="M430" s="2">
        <v>2365</v>
      </c>
      <c r="N430">
        <v>2</v>
      </c>
      <c r="O430">
        <v>0</v>
      </c>
      <c r="P430" t="s">
        <v>24</v>
      </c>
      <c r="Q430" t="s">
        <v>34</v>
      </c>
      <c r="R430" t="s">
        <v>26</v>
      </c>
      <c r="S430" s="2">
        <f t="shared" si="6"/>
        <v>439890</v>
      </c>
    </row>
    <row r="431" spans="1:19" x14ac:dyDescent="0.3">
      <c r="A431" t="s">
        <v>492</v>
      </c>
      <c r="B431" s="1">
        <v>46188</v>
      </c>
      <c r="C431" t="s">
        <v>52</v>
      </c>
      <c r="D431" t="s">
        <v>53</v>
      </c>
      <c r="E431" t="s">
        <v>42</v>
      </c>
      <c r="F431" t="s">
        <v>1582</v>
      </c>
      <c r="G431" t="s">
        <v>1583</v>
      </c>
      <c r="H431">
        <v>130</v>
      </c>
      <c r="I431">
        <v>60</v>
      </c>
      <c r="J431">
        <v>85</v>
      </c>
      <c r="K431">
        <v>105</v>
      </c>
      <c r="L431">
        <v>65</v>
      </c>
      <c r="M431" s="2">
        <v>694.83</v>
      </c>
      <c r="N431">
        <v>5</v>
      </c>
      <c r="O431">
        <v>0</v>
      </c>
      <c r="P431" t="s">
        <v>33</v>
      </c>
      <c r="Q431" t="s">
        <v>34</v>
      </c>
      <c r="R431" t="s">
        <v>26</v>
      </c>
      <c r="S431" s="2">
        <f t="shared" si="6"/>
        <v>72957.150000000009</v>
      </c>
    </row>
    <row r="432" spans="1:19" x14ac:dyDescent="0.3">
      <c r="A432" t="s">
        <v>493</v>
      </c>
      <c r="B432" s="1">
        <v>46040</v>
      </c>
      <c r="C432" t="s">
        <v>87</v>
      </c>
      <c r="D432" t="s">
        <v>53</v>
      </c>
      <c r="E432" t="s">
        <v>30</v>
      </c>
      <c r="F432" t="s">
        <v>22</v>
      </c>
      <c r="G432" t="s">
        <v>23</v>
      </c>
      <c r="H432">
        <v>136</v>
      </c>
      <c r="I432">
        <v>118</v>
      </c>
      <c r="J432">
        <v>85</v>
      </c>
      <c r="K432">
        <v>169</v>
      </c>
      <c r="L432">
        <v>92</v>
      </c>
      <c r="M432" s="2">
        <v>427.87</v>
      </c>
      <c r="N432">
        <v>5</v>
      </c>
      <c r="O432">
        <v>0</v>
      </c>
      <c r="P432" t="s">
        <v>33</v>
      </c>
      <c r="Q432" t="s">
        <v>34</v>
      </c>
      <c r="R432" t="s">
        <v>26</v>
      </c>
      <c r="S432" s="2">
        <f t="shared" si="6"/>
        <v>72310.03</v>
      </c>
    </row>
    <row r="433" spans="1:19" x14ac:dyDescent="0.3">
      <c r="A433" t="s">
        <v>494</v>
      </c>
      <c r="B433" s="1">
        <v>46376</v>
      </c>
      <c r="C433" t="s">
        <v>109</v>
      </c>
      <c r="D433" t="s">
        <v>46</v>
      </c>
      <c r="E433" t="s">
        <v>30</v>
      </c>
      <c r="F433" t="s">
        <v>22</v>
      </c>
      <c r="G433" t="s">
        <v>23</v>
      </c>
      <c r="H433">
        <v>117</v>
      </c>
      <c r="I433">
        <v>20</v>
      </c>
      <c r="J433">
        <v>53</v>
      </c>
      <c r="K433">
        <v>84</v>
      </c>
      <c r="L433">
        <v>59</v>
      </c>
      <c r="M433" s="2">
        <v>3017.49</v>
      </c>
      <c r="N433">
        <v>4</v>
      </c>
      <c r="O433">
        <v>0</v>
      </c>
      <c r="P433" t="s">
        <v>24</v>
      </c>
      <c r="Q433" t="s">
        <v>34</v>
      </c>
      <c r="R433" t="s">
        <v>43</v>
      </c>
      <c r="S433" s="2">
        <f t="shared" si="6"/>
        <v>253469.15999999997</v>
      </c>
    </row>
    <row r="434" spans="1:19" x14ac:dyDescent="0.3">
      <c r="A434" t="s">
        <v>495</v>
      </c>
      <c r="B434" s="1">
        <v>46176</v>
      </c>
      <c r="C434" t="s">
        <v>80</v>
      </c>
      <c r="D434" t="s">
        <v>46</v>
      </c>
      <c r="E434" t="s">
        <v>75</v>
      </c>
      <c r="F434" t="s">
        <v>31</v>
      </c>
      <c r="G434" t="s">
        <v>32</v>
      </c>
      <c r="H434">
        <v>157</v>
      </c>
      <c r="I434">
        <v>65</v>
      </c>
      <c r="J434">
        <v>34</v>
      </c>
      <c r="K434">
        <v>188</v>
      </c>
      <c r="L434">
        <v>53</v>
      </c>
      <c r="M434" s="2">
        <v>1048.3</v>
      </c>
      <c r="N434">
        <v>6</v>
      </c>
      <c r="O434">
        <v>0</v>
      </c>
      <c r="P434" t="s">
        <v>33</v>
      </c>
      <c r="Q434" t="s">
        <v>47</v>
      </c>
      <c r="R434" t="s">
        <v>26</v>
      </c>
      <c r="S434" s="2">
        <f t="shared" si="6"/>
        <v>197080.4</v>
      </c>
    </row>
    <row r="435" spans="1:19" x14ac:dyDescent="0.3">
      <c r="A435" t="s">
        <v>496</v>
      </c>
      <c r="B435" s="1">
        <v>46318</v>
      </c>
      <c r="C435" t="s">
        <v>40</v>
      </c>
      <c r="D435" t="s">
        <v>20</v>
      </c>
      <c r="E435" t="s">
        <v>30</v>
      </c>
      <c r="F435" t="s">
        <v>22</v>
      </c>
      <c r="G435" t="s">
        <v>23</v>
      </c>
      <c r="H435">
        <v>59</v>
      </c>
      <c r="I435">
        <v>112</v>
      </c>
      <c r="J435">
        <v>56</v>
      </c>
      <c r="K435">
        <v>115</v>
      </c>
      <c r="L435">
        <v>95</v>
      </c>
      <c r="M435" s="2">
        <v>896.86</v>
      </c>
      <c r="N435">
        <v>5</v>
      </c>
      <c r="O435">
        <v>0</v>
      </c>
      <c r="P435" t="s">
        <v>33</v>
      </c>
      <c r="Q435" t="s">
        <v>34</v>
      </c>
      <c r="R435" t="s">
        <v>59</v>
      </c>
      <c r="S435" s="2">
        <f t="shared" si="6"/>
        <v>103138.90000000001</v>
      </c>
    </row>
    <row r="436" spans="1:19" x14ac:dyDescent="0.3">
      <c r="A436" t="s">
        <v>497</v>
      </c>
      <c r="B436" s="1">
        <v>46084</v>
      </c>
      <c r="C436" t="s">
        <v>89</v>
      </c>
      <c r="D436" t="s">
        <v>20</v>
      </c>
      <c r="E436" t="s">
        <v>75</v>
      </c>
      <c r="F436" t="s">
        <v>1582</v>
      </c>
      <c r="G436" t="s">
        <v>1583</v>
      </c>
      <c r="H436">
        <v>60</v>
      </c>
      <c r="I436">
        <v>119</v>
      </c>
      <c r="J436">
        <v>22</v>
      </c>
      <c r="K436">
        <v>157</v>
      </c>
      <c r="L436">
        <v>94</v>
      </c>
      <c r="M436" s="2">
        <v>1160.25</v>
      </c>
      <c r="N436">
        <v>8</v>
      </c>
      <c r="O436">
        <v>0</v>
      </c>
      <c r="P436" t="s">
        <v>33</v>
      </c>
      <c r="Q436" t="s">
        <v>34</v>
      </c>
      <c r="R436" t="s">
        <v>81</v>
      </c>
      <c r="S436" s="2">
        <f t="shared" si="6"/>
        <v>182159.25</v>
      </c>
    </row>
    <row r="437" spans="1:19" x14ac:dyDescent="0.3">
      <c r="A437" t="s">
        <v>498</v>
      </c>
      <c r="B437" s="1">
        <v>46101</v>
      </c>
      <c r="C437" t="s">
        <v>62</v>
      </c>
      <c r="D437" t="s">
        <v>29</v>
      </c>
      <c r="E437" t="s">
        <v>58</v>
      </c>
      <c r="F437" t="s">
        <v>31</v>
      </c>
      <c r="G437" t="s">
        <v>32</v>
      </c>
      <c r="H437">
        <v>118</v>
      </c>
      <c r="I437">
        <v>87</v>
      </c>
      <c r="J437">
        <v>20</v>
      </c>
      <c r="K437">
        <v>185</v>
      </c>
      <c r="L437">
        <v>65</v>
      </c>
      <c r="M437" s="2">
        <v>705.59</v>
      </c>
      <c r="N437">
        <v>3</v>
      </c>
      <c r="O437">
        <v>0</v>
      </c>
      <c r="P437" t="s">
        <v>33</v>
      </c>
      <c r="Q437" t="s">
        <v>47</v>
      </c>
      <c r="R437" t="s">
        <v>59</v>
      </c>
      <c r="S437" s="2">
        <f t="shared" si="6"/>
        <v>130534.15000000001</v>
      </c>
    </row>
    <row r="438" spans="1:19" x14ac:dyDescent="0.3">
      <c r="A438" t="s">
        <v>499</v>
      </c>
      <c r="B438" s="1">
        <v>46048</v>
      </c>
      <c r="C438" t="s">
        <v>40</v>
      </c>
      <c r="D438" t="s">
        <v>20</v>
      </c>
      <c r="E438" t="s">
        <v>58</v>
      </c>
      <c r="F438" t="s">
        <v>31</v>
      </c>
      <c r="G438" t="s">
        <v>32</v>
      </c>
      <c r="H438">
        <v>96</v>
      </c>
      <c r="I438">
        <v>75</v>
      </c>
      <c r="J438">
        <v>52</v>
      </c>
      <c r="K438">
        <v>119</v>
      </c>
      <c r="L438">
        <v>95</v>
      </c>
      <c r="M438" s="2">
        <v>880.98</v>
      </c>
      <c r="N438">
        <v>3</v>
      </c>
      <c r="O438">
        <v>0</v>
      </c>
      <c r="P438" t="s">
        <v>33</v>
      </c>
      <c r="Q438" t="s">
        <v>34</v>
      </c>
      <c r="R438" t="s">
        <v>26</v>
      </c>
      <c r="S438" s="2">
        <f t="shared" si="6"/>
        <v>104836.62</v>
      </c>
    </row>
    <row r="439" spans="1:19" x14ac:dyDescent="0.3">
      <c r="A439" t="s">
        <v>500</v>
      </c>
      <c r="B439" s="1">
        <v>46272</v>
      </c>
      <c r="C439" t="s">
        <v>68</v>
      </c>
      <c r="D439" t="s">
        <v>53</v>
      </c>
      <c r="E439" t="s">
        <v>21</v>
      </c>
      <c r="F439" t="s">
        <v>31</v>
      </c>
      <c r="G439" t="s">
        <v>32</v>
      </c>
      <c r="H439">
        <v>142</v>
      </c>
      <c r="I439">
        <v>84</v>
      </c>
      <c r="J439">
        <v>70</v>
      </c>
      <c r="K439">
        <v>156</v>
      </c>
      <c r="L439">
        <v>94</v>
      </c>
      <c r="M439" s="2">
        <v>623.74</v>
      </c>
      <c r="N439">
        <v>8</v>
      </c>
      <c r="O439">
        <v>0</v>
      </c>
      <c r="P439" t="s">
        <v>24</v>
      </c>
      <c r="Q439" t="s">
        <v>34</v>
      </c>
      <c r="R439" t="s">
        <v>26</v>
      </c>
      <c r="S439" s="2">
        <f t="shared" si="6"/>
        <v>97303.44</v>
      </c>
    </row>
    <row r="440" spans="1:19" x14ac:dyDescent="0.3">
      <c r="A440" t="s">
        <v>501</v>
      </c>
      <c r="B440" s="1">
        <v>46234</v>
      </c>
      <c r="C440" t="s">
        <v>72</v>
      </c>
      <c r="D440" t="s">
        <v>50</v>
      </c>
      <c r="E440" t="s">
        <v>30</v>
      </c>
      <c r="F440" t="s">
        <v>22</v>
      </c>
      <c r="G440" t="s">
        <v>23</v>
      </c>
      <c r="H440">
        <v>102</v>
      </c>
      <c r="I440">
        <v>29</v>
      </c>
      <c r="J440">
        <v>49</v>
      </c>
      <c r="K440">
        <v>82</v>
      </c>
      <c r="L440">
        <v>94</v>
      </c>
      <c r="M440" s="2">
        <v>2169.23</v>
      </c>
      <c r="N440">
        <v>7</v>
      </c>
      <c r="O440">
        <v>2</v>
      </c>
      <c r="P440" t="s">
        <v>33</v>
      </c>
      <c r="Q440" t="s">
        <v>34</v>
      </c>
      <c r="R440" t="s">
        <v>26</v>
      </c>
      <c r="S440" s="2">
        <f t="shared" si="6"/>
        <v>177876.86000000002</v>
      </c>
    </row>
    <row r="441" spans="1:19" x14ac:dyDescent="0.3">
      <c r="A441" t="s">
        <v>502</v>
      </c>
      <c r="B441" s="1">
        <v>46249</v>
      </c>
      <c r="C441" t="s">
        <v>49</v>
      </c>
      <c r="D441" t="s">
        <v>50</v>
      </c>
      <c r="E441" t="s">
        <v>21</v>
      </c>
      <c r="F441" t="s">
        <v>22</v>
      </c>
      <c r="G441" t="s">
        <v>23</v>
      </c>
      <c r="H441">
        <v>122</v>
      </c>
      <c r="I441">
        <v>64</v>
      </c>
      <c r="J441">
        <v>91</v>
      </c>
      <c r="K441">
        <v>95</v>
      </c>
      <c r="L441">
        <v>86</v>
      </c>
      <c r="M441" s="2">
        <v>1176.29</v>
      </c>
      <c r="N441">
        <v>4</v>
      </c>
      <c r="O441">
        <v>0</v>
      </c>
      <c r="P441" t="s">
        <v>24</v>
      </c>
      <c r="Q441" t="s">
        <v>34</v>
      </c>
      <c r="R441" t="s">
        <v>26</v>
      </c>
      <c r="S441" s="2">
        <f t="shared" si="6"/>
        <v>111747.55</v>
      </c>
    </row>
    <row r="442" spans="1:19" x14ac:dyDescent="0.3">
      <c r="A442" t="s">
        <v>503</v>
      </c>
      <c r="B442" s="1">
        <v>46147</v>
      </c>
      <c r="C442" t="s">
        <v>87</v>
      </c>
      <c r="D442" t="s">
        <v>53</v>
      </c>
      <c r="E442" t="s">
        <v>58</v>
      </c>
      <c r="F442" t="s">
        <v>31</v>
      </c>
      <c r="G442" t="s">
        <v>32</v>
      </c>
      <c r="H442">
        <v>99</v>
      </c>
      <c r="I442">
        <v>45</v>
      </c>
      <c r="J442">
        <v>102</v>
      </c>
      <c r="K442">
        <v>42</v>
      </c>
      <c r="L442">
        <v>68</v>
      </c>
      <c r="M442" s="2">
        <v>419.04</v>
      </c>
      <c r="N442">
        <v>7</v>
      </c>
      <c r="O442">
        <v>2</v>
      </c>
      <c r="P442" t="s">
        <v>33</v>
      </c>
      <c r="Q442" t="s">
        <v>25</v>
      </c>
      <c r="R442" t="s">
        <v>59</v>
      </c>
      <c r="S442" s="2">
        <f t="shared" si="6"/>
        <v>17599.68</v>
      </c>
    </row>
    <row r="443" spans="1:19" x14ac:dyDescent="0.3">
      <c r="A443" t="s">
        <v>504</v>
      </c>
      <c r="B443" s="1">
        <v>46131</v>
      </c>
      <c r="C443" t="s">
        <v>87</v>
      </c>
      <c r="D443" t="s">
        <v>53</v>
      </c>
      <c r="E443" t="s">
        <v>21</v>
      </c>
      <c r="F443" t="s">
        <v>31</v>
      </c>
      <c r="G443" t="s">
        <v>32</v>
      </c>
      <c r="H443">
        <v>127</v>
      </c>
      <c r="I443">
        <v>108</v>
      </c>
      <c r="J443">
        <v>29</v>
      </c>
      <c r="K443">
        <v>206</v>
      </c>
      <c r="L443">
        <v>64</v>
      </c>
      <c r="M443" s="2">
        <v>445.51</v>
      </c>
      <c r="N443">
        <v>2</v>
      </c>
      <c r="O443">
        <v>0</v>
      </c>
      <c r="P443" t="s">
        <v>33</v>
      </c>
      <c r="Q443" t="s">
        <v>47</v>
      </c>
      <c r="R443" t="s">
        <v>59</v>
      </c>
      <c r="S443" s="2">
        <f t="shared" si="6"/>
        <v>91775.06</v>
      </c>
    </row>
    <row r="444" spans="1:19" x14ac:dyDescent="0.3">
      <c r="A444" t="s">
        <v>505</v>
      </c>
      <c r="B444" s="1">
        <v>46292</v>
      </c>
      <c r="C444" t="s">
        <v>83</v>
      </c>
      <c r="D444" t="s">
        <v>29</v>
      </c>
      <c r="E444" t="s">
        <v>30</v>
      </c>
      <c r="F444" t="s">
        <v>1582</v>
      </c>
      <c r="G444" t="s">
        <v>1583</v>
      </c>
      <c r="H444">
        <v>199</v>
      </c>
      <c r="I444">
        <v>113</v>
      </c>
      <c r="J444">
        <v>33</v>
      </c>
      <c r="K444">
        <v>279</v>
      </c>
      <c r="L444">
        <v>89</v>
      </c>
      <c r="M444" s="2">
        <v>1663.6</v>
      </c>
      <c r="N444">
        <v>2</v>
      </c>
      <c r="O444">
        <v>0</v>
      </c>
      <c r="P444" t="s">
        <v>33</v>
      </c>
      <c r="Q444" t="s">
        <v>47</v>
      </c>
      <c r="R444" t="s">
        <v>43</v>
      </c>
      <c r="S444" s="2">
        <f t="shared" si="6"/>
        <v>464144.39999999997</v>
      </c>
    </row>
    <row r="445" spans="1:19" x14ac:dyDescent="0.3">
      <c r="A445" t="s">
        <v>506</v>
      </c>
      <c r="B445" s="1">
        <v>46361</v>
      </c>
      <c r="C445" t="s">
        <v>89</v>
      </c>
      <c r="D445" t="s">
        <v>20</v>
      </c>
      <c r="E445" t="s">
        <v>42</v>
      </c>
      <c r="F445" t="s">
        <v>31</v>
      </c>
      <c r="G445" t="s">
        <v>32</v>
      </c>
      <c r="H445">
        <v>112</v>
      </c>
      <c r="I445">
        <v>45</v>
      </c>
      <c r="J445">
        <v>104</v>
      </c>
      <c r="K445">
        <v>53</v>
      </c>
      <c r="L445">
        <v>84</v>
      </c>
      <c r="M445" s="2">
        <v>1145.1099999999999</v>
      </c>
      <c r="N445">
        <v>5</v>
      </c>
      <c r="O445">
        <v>1</v>
      </c>
      <c r="P445" t="s">
        <v>33</v>
      </c>
      <c r="Q445" t="s">
        <v>25</v>
      </c>
      <c r="R445" t="s">
        <v>26</v>
      </c>
      <c r="S445" s="2">
        <f t="shared" si="6"/>
        <v>60690.829999999994</v>
      </c>
    </row>
    <row r="446" spans="1:19" x14ac:dyDescent="0.3">
      <c r="A446" t="s">
        <v>507</v>
      </c>
      <c r="B446" s="1">
        <v>46184</v>
      </c>
      <c r="C446" t="s">
        <v>45</v>
      </c>
      <c r="D446" t="s">
        <v>46</v>
      </c>
      <c r="E446" t="s">
        <v>75</v>
      </c>
      <c r="F446" t="s">
        <v>31</v>
      </c>
      <c r="G446" t="s">
        <v>32</v>
      </c>
      <c r="H446">
        <v>114</v>
      </c>
      <c r="I446">
        <v>103</v>
      </c>
      <c r="J446">
        <v>64</v>
      </c>
      <c r="K446">
        <v>153</v>
      </c>
      <c r="L446">
        <v>59</v>
      </c>
      <c r="M446" s="2">
        <v>876.77</v>
      </c>
      <c r="N446">
        <v>6</v>
      </c>
      <c r="O446">
        <v>0</v>
      </c>
      <c r="P446" t="s">
        <v>33</v>
      </c>
      <c r="Q446" t="s">
        <v>47</v>
      </c>
      <c r="R446" t="s">
        <v>26</v>
      </c>
      <c r="S446" s="2">
        <f t="shared" si="6"/>
        <v>134145.81</v>
      </c>
    </row>
    <row r="447" spans="1:19" x14ac:dyDescent="0.3">
      <c r="A447" t="s">
        <v>508</v>
      </c>
      <c r="B447" s="1">
        <v>46273</v>
      </c>
      <c r="C447" t="s">
        <v>57</v>
      </c>
      <c r="D447" t="s">
        <v>50</v>
      </c>
      <c r="E447" t="s">
        <v>42</v>
      </c>
      <c r="F447" t="s">
        <v>22</v>
      </c>
      <c r="G447" t="s">
        <v>23</v>
      </c>
      <c r="H447">
        <v>168</v>
      </c>
      <c r="I447">
        <v>78</v>
      </c>
      <c r="J447">
        <v>86</v>
      </c>
      <c r="K447">
        <v>160</v>
      </c>
      <c r="L447">
        <v>90</v>
      </c>
      <c r="M447" s="2">
        <v>2532.0300000000002</v>
      </c>
      <c r="N447">
        <v>3</v>
      </c>
      <c r="O447">
        <v>0</v>
      </c>
      <c r="P447" t="s">
        <v>33</v>
      </c>
      <c r="Q447" t="s">
        <v>34</v>
      </c>
      <c r="R447" t="s">
        <v>26</v>
      </c>
      <c r="S447" s="2">
        <f t="shared" si="6"/>
        <v>405124.80000000005</v>
      </c>
    </row>
    <row r="448" spans="1:19" x14ac:dyDescent="0.3">
      <c r="A448" t="s">
        <v>509</v>
      </c>
      <c r="B448" s="1">
        <v>46154</v>
      </c>
      <c r="C448" t="s">
        <v>72</v>
      </c>
      <c r="D448" t="s">
        <v>50</v>
      </c>
      <c r="E448" t="s">
        <v>75</v>
      </c>
      <c r="F448" t="s">
        <v>37</v>
      </c>
      <c r="G448" t="s">
        <v>38</v>
      </c>
      <c r="H448">
        <v>215</v>
      </c>
      <c r="I448">
        <v>65</v>
      </c>
      <c r="J448">
        <v>60</v>
      </c>
      <c r="K448">
        <v>220</v>
      </c>
      <c r="L448">
        <v>85</v>
      </c>
      <c r="M448" s="2">
        <v>2113.02</v>
      </c>
      <c r="N448">
        <v>6</v>
      </c>
      <c r="O448">
        <v>0</v>
      </c>
      <c r="P448" t="s">
        <v>33</v>
      </c>
      <c r="Q448" t="s">
        <v>47</v>
      </c>
      <c r="R448" t="s">
        <v>26</v>
      </c>
      <c r="S448" s="2">
        <f t="shared" si="6"/>
        <v>464864.4</v>
      </c>
    </row>
    <row r="449" spans="1:19" x14ac:dyDescent="0.3">
      <c r="A449" t="s">
        <v>510</v>
      </c>
      <c r="B449" s="1">
        <v>46370</v>
      </c>
      <c r="C449" t="s">
        <v>57</v>
      </c>
      <c r="D449" t="s">
        <v>50</v>
      </c>
      <c r="E449" t="s">
        <v>30</v>
      </c>
      <c r="F449" t="s">
        <v>37</v>
      </c>
      <c r="G449" t="s">
        <v>38</v>
      </c>
      <c r="H449">
        <v>97</v>
      </c>
      <c r="I449">
        <v>39</v>
      </c>
      <c r="J449">
        <v>58</v>
      </c>
      <c r="K449">
        <v>78</v>
      </c>
      <c r="L449">
        <v>70</v>
      </c>
      <c r="M449" s="2">
        <v>2887.88</v>
      </c>
      <c r="N449">
        <v>2</v>
      </c>
      <c r="O449">
        <v>0</v>
      </c>
      <c r="P449" t="s">
        <v>33</v>
      </c>
      <c r="Q449" t="s">
        <v>34</v>
      </c>
      <c r="R449" t="s">
        <v>26</v>
      </c>
      <c r="S449" s="2">
        <f t="shared" si="6"/>
        <v>225254.64</v>
      </c>
    </row>
    <row r="450" spans="1:19" x14ac:dyDescent="0.3">
      <c r="A450" t="s">
        <v>511</v>
      </c>
      <c r="B450" s="1">
        <v>46357</v>
      </c>
      <c r="C450" t="s">
        <v>87</v>
      </c>
      <c r="D450" t="s">
        <v>53</v>
      </c>
      <c r="E450" t="s">
        <v>58</v>
      </c>
      <c r="F450" t="s">
        <v>22</v>
      </c>
      <c r="G450" t="s">
        <v>23</v>
      </c>
      <c r="H450">
        <v>186</v>
      </c>
      <c r="I450">
        <v>39</v>
      </c>
      <c r="J450">
        <v>69</v>
      </c>
      <c r="K450">
        <v>156</v>
      </c>
      <c r="L450">
        <v>64</v>
      </c>
      <c r="M450" s="2">
        <v>486.88</v>
      </c>
      <c r="N450">
        <v>4</v>
      </c>
      <c r="O450">
        <v>0</v>
      </c>
      <c r="P450" t="s">
        <v>33</v>
      </c>
      <c r="Q450" t="s">
        <v>47</v>
      </c>
      <c r="R450" t="s">
        <v>26</v>
      </c>
      <c r="S450" s="2">
        <f t="shared" ref="S450:S513" si="7">K450*M450</f>
        <v>75953.279999999999</v>
      </c>
    </row>
    <row r="451" spans="1:19" x14ac:dyDescent="0.3">
      <c r="A451" t="s">
        <v>512</v>
      </c>
      <c r="B451" s="1">
        <v>46103</v>
      </c>
      <c r="C451" t="s">
        <v>28</v>
      </c>
      <c r="D451" t="s">
        <v>29</v>
      </c>
      <c r="E451" t="s">
        <v>42</v>
      </c>
      <c r="F451" t="s">
        <v>37</v>
      </c>
      <c r="G451" t="s">
        <v>38</v>
      </c>
      <c r="H451">
        <v>216</v>
      </c>
      <c r="I451">
        <v>110</v>
      </c>
      <c r="J451">
        <v>82</v>
      </c>
      <c r="K451">
        <v>244</v>
      </c>
      <c r="L451">
        <v>53</v>
      </c>
      <c r="M451" s="2">
        <v>1281.82</v>
      </c>
      <c r="N451">
        <v>8</v>
      </c>
      <c r="O451">
        <v>0</v>
      </c>
      <c r="P451" t="s">
        <v>24</v>
      </c>
      <c r="Q451" t="s">
        <v>47</v>
      </c>
      <c r="R451" t="s">
        <v>81</v>
      </c>
      <c r="S451" s="2">
        <f t="shared" si="7"/>
        <v>312764.07999999996</v>
      </c>
    </row>
    <row r="452" spans="1:19" x14ac:dyDescent="0.3">
      <c r="A452" t="s">
        <v>513</v>
      </c>
      <c r="B452" s="1">
        <v>46233</v>
      </c>
      <c r="C452" t="s">
        <v>109</v>
      </c>
      <c r="D452" t="s">
        <v>46</v>
      </c>
      <c r="E452" t="s">
        <v>30</v>
      </c>
      <c r="F452" t="s">
        <v>31</v>
      </c>
      <c r="G452" t="s">
        <v>32</v>
      </c>
      <c r="H452">
        <v>87</v>
      </c>
      <c r="I452">
        <v>60</v>
      </c>
      <c r="J452">
        <v>33</v>
      </c>
      <c r="K452">
        <v>114</v>
      </c>
      <c r="L452">
        <v>91</v>
      </c>
      <c r="M452" s="2">
        <v>2898.87</v>
      </c>
      <c r="N452">
        <v>4</v>
      </c>
      <c r="O452">
        <v>0</v>
      </c>
      <c r="P452" t="s">
        <v>33</v>
      </c>
      <c r="Q452" t="s">
        <v>34</v>
      </c>
      <c r="R452" t="s">
        <v>26</v>
      </c>
      <c r="S452" s="2">
        <f t="shared" si="7"/>
        <v>330471.18</v>
      </c>
    </row>
    <row r="453" spans="1:19" x14ac:dyDescent="0.3">
      <c r="A453" t="s">
        <v>514</v>
      </c>
      <c r="B453" s="1">
        <v>46336</v>
      </c>
      <c r="C453" t="s">
        <v>146</v>
      </c>
      <c r="D453" t="s">
        <v>46</v>
      </c>
      <c r="E453" t="s">
        <v>21</v>
      </c>
      <c r="F453" t="s">
        <v>22</v>
      </c>
      <c r="G453" t="s">
        <v>23</v>
      </c>
      <c r="H453">
        <v>88</v>
      </c>
      <c r="I453">
        <v>33</v>
      </c>
      <c r="J453">
        <v>31</v>
      </c>
      <c r="K453">
        <v>90</v>
      </c>
      <c r="L453">
        <v>56</v>
      </c>
      <c r="M453" s="2">
        <v>1357.86</v>
      </c>
      <c r="N453">
        <v>6</v>
      </c>
      <c r="O453">
        <v>0</v>
      </c>
      <c r="P453" t="s">
        <v>33</v>
      </c>
      <c r="Q453" t="s">
        <v>34</v>
      </c>
      <c r="R453" t="s">
        <v>26</v>
      </c>
      <c r="S453" s="2">
        <f t="shared" si="7"/>
        <v>122207.4</v>
      </c>
    </row>
    <row r="454" spans="1:19" x14ac:dyDescent="0.3">
      <c r="A454" t="s">
        <v>515</v>
      </c>
      <c r="B454" s="1">
        <v>46214</v>
      </c>
      <c r="C454" t="s">
        <v>28</v>
      </c>
      <c r="D454" t="s">
        <v>29</v>
      </c>
      <c r="E454" t="s">
        <v>42</v>
      </c>
      <c r="F454" t="s">
        <v>31</v>
      </c>
      <c r="G454" t="s">
        <v>32</v>
      </c>
      <c r="H454">
        <v>131</v>
      </c>
      <c r="I454">
        <v>30</v>
      </c>
      <c r="J454">
        <v>103</v>
      </c>
      <c r="K454">
        <v>58</v>
      </c>
      <c r="L454">
        <v>94</v>
      </c>
      <c r="M454" s="2">
        <v>1293.92</v>
      </c>
      <c r="N454">
        <v>6</v>
      </c>
      <c r="O454">
        <v>8</v>
      </c>
      <c r="P454" t="s">
        <v>33</v>
      </c>
      <c r="Q454" t="s">
        <v>25</v>
      </c>
      <c r="R454" t="s">
        <v>59</v>
      </c>
      <c r="S454" s="2">
        <f t="shared" si="7"/>
        <v>75047.360000000001</v>
      </c>
    </row>
    <row r="455" spans="1:19" x14ac:dyDescent="0.3">
      <c r="A455" t="s">
        <v>516</v>
      </c>
      <c r="B455" s="1">
        <v>46366</v>
      </c>
      <c r="C455" t="s">
        <v>36</v>
      </c>
      <c r="D455" t="s">
        <v>29</v>
      </c>
      <c r="E455" t="s">
        <v>58</v>
      </c>
      <c r="F455" t="s">
        <v>1582</v>
      </c>
      <c r="G455" t="s">
        <v>1583</v>
      </c>
      <c r="H455">
        <v>75</v>
      </c>
      <c r="I455">
        <v>40</v>
      </c>
      <c r="J455">
        <v>39</v>
      </c>
      <c r="K455">
        <v>76</v>
      </c>
      <c r="L455">
        <v>59</v>
      </c>
      <c r="M455" s="2">
        <v>2175.4699999999998</v>
      </c>
      <c r="N455">
        <v>10</v>
      </c>
      <c r="O455">
        <v>0</v>
      </c>
      <c r="P455" t="s">
        <v>33</v>
      </c>
      <c r="Q455" t="s">
        <v>34</v>
      </c>
      <c r="R455" t="s">
        <v>26</v>
      </c>
      <c r="S455" s="2">
        <f t="shared" si="7"/>
        <v>165335.71999999997</v>
      </c>
    </row>
    <row r="456" spans="1:19" x14ac:dyDescent="0.3">
      <c r="A456" t="s">
        <v>517</v>
      </c>
      <c r="B456" s="1">
        <v>46230</v>
      </c>
      <c r="C456" t="s">
        <v>28</v>
      </c>
      <c r="D456" t="s">
        <v>29</v>
      </c>
      <c r="E456" t="s">
        <v>75</v>
      </c>
      <c r="F456" t="s">
        <v>22</v>
      </c>
      <c r="G456" t="s">
        <v>23</v>
      </c>
      <c r="H456">
        <v>152</v>
      </c>
      <c r="I456">
        <v>130</v>
      </c>
      <c r="J456">
        <v>93</v>
      </c>
      <c r="K456">
        <v>189</v>
      </c>
      <c r="L456">
        <v>76</v>
      </c>
      <c r="M456" s="2">
        <v>1348.84</v>
      </c>
      <c r="N456">
        <v>8</v>
      </c>
      <c r="O456">
        <v>0</v>
      </c>
      <c r="P456" t="s">
        <v>33</v>
      </c>
      <c r="Q456" t="s">
        <v>47</v>
      </c>
      <c r="R456" t="s">
        <v>26</v>
      </c>
      <c r="S456" s="2">
        <f t="shared" si="7"/>
        <v>254930.75999999998</v>
      </c>
    </row>
    <row r="457" spans="1:19" x14ac:dyDescent="0.3">
      <c r="A457" t="s">
        <v>518</v>
      </c>
      <c r="B457" s="1">
        <v>46289</v>
      </c>
      <c r="C457" t="s">
        <v>40</v>
      </c>
      <c r="D457" t="s">
        <v>20</v>
      </c>
      <c r="E457" t="s">
        <v>21</v>
      </c>
      <c r="F457" t="s">
        <v>1582</v>
      </c>
      <c r="G457" t="s">
        <v>1583</v>
      </c>
      <c r="H457">
        <v>196</v>
      </c>
      <c r="I457">
        <v>115</v>
      </c>
      <c r="J457">
        <v>88</v>
      </c>
      <c r="K457">
        <v>223</v>
      </c>
      <c r="L457">
        <v>83</v>
      </c>
      <c r="M457" s="2">
        <v>906.51</v>
      </c>
      <c r="N457">
        <v>7</v>
      </c>
      <c r="O457">
        <v>0</v>
      </c>
      <c r="P457" t="s">
        <v>33</v>
      </c>
      <c r="Q457" t="s">
        <v>47</v>
      </c>
      <c r="R457" t="s">
        <v>59</v>
      </c>
      <c r="S457" s="2">
        <f t="shared" si="7"/>
        <v>202151.73</v>
      </c>
    </row>
    <row r="458" spans="1:19" x14ac:dyDescent="0.3">
      <c r="A458" t="s">
        <v>519</v>
      </c>
      <c r="B458" s="1">
        <v>46345</v>
      </c>
      <c r="C458" t="s">
        <v>40</v>
      </c>
      <c r="D458" t="s">
        <v>20</v>
      </c>
      <c r="E458" t="s">
        <v>58</v>
      </c>
      <c r="F458" t="s">
        <v>31</v>
      </c>
      <c r="G458" t="s">
        <v>32</v>
      </c>
      <c r="H458">
        <v>102</v>
      </c>
      <c r="I458">
        <v>86</v>
      </c>
      <c r="J458">
        <v>83</v>
      </c>
      <c r="K458">
        <v>105</v>
      </c>
      <c r="L458">
        <v>70</v>
      </c>
      <c r="M458" s="2">
        <v>987.09</v>
      </c>
      <c r="N458">
        <v>2</v>
      </c>
      <c r="O458">
        <v>0</v>
      </c>
      <c r="P458" t="s">
        <v>33</v>
      </c>
      <c r="Q458" t="s">
        <v>34</v>
      </c>
      <c r="R458" t="s">
        <v>26</v>
      </c>
      <c r="S458" s="2">
        <f t="shared" si="7"/>
        <v>103644.45</v>
      </c>
    </row>
    <row r="459" spans="1:19" x14ac:dyDescent="0.3">
      <c r="A459" t="s">
        <v>520</v>
      </c>
      <c r="B459" s="1">
        <v>46287</v>
      </c>
      <c r="C459" t="s">
        <v>98</v>
      </c>
      <c r="D459" t="s">
        <v>20</v>
      </c>
      <c r="E459" t="s">
        <v>21</v>
      </c>
      <c r="F459" t="s">
        <v>1582</v>
      </c>
      <c r="G459" t="s">
        <v>1583</v>
      </c>
      <c r="H459">
        <v>141</v>
      </c>
      <c r="I459">
        <v>58</v>
      </c>
      <c r="J459">
        <v>51</v>
      </c>
      <c r="K459">
        <v>148</v>
      </c>
      <c r="L459">
        <v>74</v>
      </c>
      <c r="M459" s="2">
        <v>1306.6199999999999</v>
      </c>
      <c r="N459">
        <v>4</v>
      </c>
      <c r="O459">
        <v>0</v>
      </c>
      <c r="P459" t="s">
        <v>33</v>
      </c>
      <c r="Q459" t="s">
        <v>34</v>
      </c>
      <c r="R459" t="s">
        <v>26</v>
      </c>
      <c r="S459" s="2">
        <f t="shared" si="7"/>
        <v>193379.75999999998</v>
      </c>
    </row>
    <row r="460" spans="1:19" x14ac:dyDescent="0.3">
      <c r="A460" t="s">
        <v>521</v>
      </c>
      <c r="B460" s="1">
        <v>46114</v>
      </c>
      <c r="C460" t="s">
        <v>36</v>
      </c>
      <c r="D460" t="s">
        <v>29</v>
      </c>
      <c r="E460" t="s">
        <v>58</v>
      </c>
      <c r="F460" t="s">
        <v>31</v>
      </c>
      <c r="G460" t="s">
        <v>32</v>
      </c>
      <c r="H460">
        <v>168</v>
      </c>
      <c r="I460">
        <v>34</v>
      </c>
      <c r="J460">
        <v>38</v>
      </c>
      <c r="K460">
        <v>164</v>
      </c>
      <c r="L460">
        <v>94</v>
      </c>
      <c r="M460" s="2">
        <v>2441.0100000000002</v>
      </c>
      <c r="N460">
        <v>11</v>
      </c>
      <c r="O460">
        <v>0</v>
      </c>
      <c r="P460" t="s">
        <v>24</v>
      </c>
      <c r="Q460" t="s">
        <v>34</v>
      </c>
      <c r="R460" t="s">
        <v>26</v>
      </c>
      <c r="S460" s="2">
        <f t="shared" si="7"/>
        <v>400325.64</v>
      </c>
    </row>
    <row r="461" spans="1:19" x14ac:dyDescent="0.3">
      <c r="A461" t="s">
        <v>522</v>
      </c>
      <c r="B461" s="1">
        <v>46384</v>
      </c>
      <c r="C461" t="s">
        <v>72</v>
      </c>
      <c r="D461" t="s">
        <v>50</v>
      </c>
      <c r="E461" t="s">
        <v>58</v>
      </c>
      <c r="F461" t="s">
        <v>31</v>
      </c>
      <c r="G461" t="s">
        <v>32</v>
      </c>
      <c r="H461">
        <v>104</v>
      </c>
      <c r="I461">
        <v>61</v>
      </c>
      <c r="J461">
        <v>103</v>
      </c>
      <c r="K461">
        <v>62</v>
      </c>
      <c r="L461">
        <v>86</v>
      </c>
      <c r="M461" s="2">
        <v>2379.15</v>
      </c>
      <c r="N461">
        <v>8</v>
      </c>
      <c r="O461">
        <v>2</v>
      </c>
      <c r="P461" t="s">
        <v>24</v>
      </c>
      <c r="Q461" t="s">
        <v>34</v>
      </c>
      <c r="R461" t="s">
        <v>26</v>
      </c>
      <c r="S461" s="2">
        <f t="shared" si="7"/>
        <v>147507.30000000002</v>
      </c>
    </row>
    <row r="462" spans="1:19" x14ac:dyDescent="0.3">
      <c r="A462" t="s">
        <v>523</v>
      </c>
      <c r="B462" s="1">
        <v>46312</v>
      </c>
      <c r="C462" t="s">
        <v>49</v>
      </c>
      <c r="D462" t="s">
        <v>50</v>
      </c>
      <c r="E462" t="s">
        <v>75</v>
      </c>
      <c r="F462" t="s">
        <v>1582</v>
      </c>
      <c r="G462" t="s">
        <v>1583</v>
      </c>
      <c r="H462">
        <v>170</v>
      </c>
      <c r="I462">
        <v>98</v>
      </c>
      <c r="J462">
        <v>35</v>
      </c>
      <c r="K462">
        <v>233</v>
      </c>
      <c r="L462">
        <v>69</v>
      </c>
      <c r="M462" s="2">
        <v>1313.09</v>
      </c>
      <c r="N462">
        <v>2</v>
      </c>
      <c r="O462">
        <v>0</v>
      </c>
      <c r="P462" t="s">
        <v>33</v>
      </c>
      <c r="Q462" t="s">
        <v>47</v>
      </c>
      <c r="R462" t="s">
        <v>43</v>
      </c>
      <c r="S462" s="2">
        <f t="shared" si="7"/>
        <v>305949.96999999997</v>
      </c>
    </row>
    <row r="463" spans="1:19" x14ac:dyDescent="0.3">
      <c r="A463" t="s">
        <v>524</v>
      </c>
      <c r="B463" s="1">
        <v>46090</v>
      </c>
      <c r="C463" t="s">
        <v>28</v>
      </c>
      <c r="D463" t="s">
        <v>29</v>
      </c>
      <c r="E463" t="s">
        <v>42</v>
      </c>
      <c r="F463" t="s">
        <v>22</v>
      </c>
      <c r="G463" t="s">
        <v>23</v>
      </c>
      <c r="H463">
        <v>53</v>
      </c>
      <c r="I463">
        <v>73</v>
      </c>
      <c r="J463">
        <v>54</v>
      </c>
      <c r="K463">
        <v>72</v>
      </c>
      <c r="L463">
        <v>64</v>
      </c>
      <c r="M463" s="2">
        <v>1359.84</v>
      </c>
      <c r="N463">
        <v>5</v>
      </c>
      <c r="O463">
        <v>0</v>
      </c>
      <c r="P463" t="s">
        <v>33</v>
      </c>
      <c r="Q463" t="s">
        <v>34</v>
      </c>
      <c r="R463" t="s">
        <v>26</v>
      </c>
      <c r="S463" s="2">
        <f t="shared" si="7"/>
        <v>97908.479999999996</v>
      </c>
    </row>
    <row r="464" spans="1:19" x14ac:dyDescent="0.3">
      <c r="A464" t="s">
        <v>525</v>
      </c>
      <c r="B464" s="1">
        <v>46324</v>
      </c>
      <c r="C464" t="s">
        <v>62</v>
      </c>
      <c r="D464" t="s">
        <v>29</v>
      </c>
      <c r="E464" t="s">
        <v>30</v>
      </c>
      <c r="F464" t="s">
        <v>37</v>
      </c>
      <c r="G464" t="s">
        <v>38</v>
      </c>
      <c r="H464">
        <v>43</v>
      </c>
      <c r="I464">
        <v>78</v>
      </c>
      <c r="J464">
        <v>78</v>
      </c>
      <c r="K464">
        <v>43</v>
      </c>
      <c r="L464">
        <v>99</v>
      </c>
      <c r="M464" s="2">
        <v>699.81</v>
      </c>
      <c r="N464">
        <v>8</v>
      </c>
      <c r="O464">
        <v>8</v>
      </c>
      <c r="P464" t="s">
        <v>24</v>
      </c>
      <c r="Q464" t="s">
        <v>25</v>
      </c>
      <c r="R464" t="s">
        <v>26</v>
      </c>
      <c r="S464" s="2">
        <f t="shared" si="7"/>
        <v>30091.829999999998</v>
      </c>
    </row>
    <row r="465" spans="1:19" x14ac:dyDescent="0.3">
      <c r="A465" t="s">
        <v>526</v>
      </c>
      <c r="B465" s="1">
        <v>46129</v>
      </c>
      <c r="C465" t="s">
        <v>55</v>
      </c>
      <c r="D465" t="s">
        <v>50</v>
      </c>
      <c r="E465" t="s">
        <v>58</v>
      </c>
      <c r="F465" t="s">
        <v>1582</v>
      </c>
      <c r="G465" t="s">
        <v>1583</v>
      </c>
      <c r="H465">
        <v>60</v>
      </c>
      <c r="I465">
        <v>96</v>
      </c>
      <c r="J465">
        <v>91</v>
      </c>
      <c r="K465">
        <v>65</v>
      </c>
      <c r="L465">
        <v>45</v>
      </c>
      <c r="M465" s="2">
        <v>948.94</v>
      </c>
      <c r="N465">
        <v>6</v>
      </c>
      <c r="O465">
        <v>0</v>
      </c>
      <c r="P465" t="s">
        <v>33</v>
      </c>
      <c r="Q465" t="s">
        <v>34</v>
      </c>
      <c r="R465" t="s">
        <v>26</v>
      </c>
      <c r="S465" s="2">
        <f t="shared" si="7"/>
        <v>61681.100000000006</v>
      </c>
    </row>
    <row r="466" spans="1:19" x14ac:dyDescent="0.3">
      <c r="A466" t="s">
        <v>527</v>
      </c>
      <c r="B466" s="1">
        <v>46192</v>
      </c>
      <c r="C466" t="s">
        <v>98</v>
      </c>
      <c r="D466" t="s">
        <v>20</v>
      </c>
      <c r="E466" t="s">
        <v>42</v>
      </c>
      <c r="F466" t="s">
        <v>31</v>
      </c>
      <c r="G466" t="s">
        <v>32</v>
      </c>
      <c r="H466">
        <v>207</v>
      </c>
      <c r="I466">
        <v>64</v>
      </c>
      <c r="J466">
        <v>19</v>
      </c>
      <c r="K466">
        <v>252</v>
      </c>
      <c r="L466">
        <v>54</v>
      </c>
      <c r="M466" s="2">
        <v>1499.07</v>
      </c>
      <c r="N466">
        <v>7</v>
      </c>
      <c r="O466">
        <v>0</v>
      </c>
      <c r="P466" t="s">
        <v>33</v>
      </c>
      <c r="Q466" t="s">
        <v>47</v>
      </c>
      <c r="R466" t="s">
        <v>26</v>
      </c>
      <c r="S466" s="2">
        <f t="shared" si="7"/>
        <v>377765.63999999996</v>
      </c>
    </row>
    <row r="467" spans="1:19" x14ac:dyDescent="0.3">
      <c r="A467" t="s">
        <v>528</v>
      </c>
      <c r="B467" s="1">
        <v>46207</v>
      </c>
      <c r="C467" t="s">
        <v>19</v>
      </c>
      <c r="D467" t="s">
        <v>20</v>
      </c>
      <c r="E467" t="s">
        <v>75</v>
      </c>
      <c r="F467" t="s">
        <v>1582</v>
      </c>
      <c r="G467" t="s">
        <v>1583</v>
      </c>
      <c r="H467">
        <v>85</v>
      </c>
      <c r="I467">
        <v>40</v>
      </c>
      <c r="J467">
        <v>101</v>
      </c>
      <c r="K467">
        <v>24</v>
      </c>
      <c r="L467">
        <v>63</v>
      </c>
      <c r="M467" s="2">
        <v>1839.99</v>
      </c>
      <c r="N467">
        <v>11</v>
      </c>
      <c r="O467">
        <v>7</v>
      </c>
      <c r="P467" t="s">
        <v>24</v>
      </c>
      <c r="Q467" t="s">
        <v>25</v>
      </c>
      <c r="R467" t="s">
        <v>59</v>
      </c>
      <c r="S467" s="2">
        <f t="shared" si="7"/>
        <v>44159.76</v>
      </c>
    </row>
    <row r="468" spans="1:19" x14ac:dyDescent="0.3">
      <c r="A468" t="s">
        <v>529</v>
      </c>
      <c r="B468" s="1">
        <v>46085</v>
      </c>
      <c r="C468" t="s">
        <v>19</v>
      </c>
      <c r="D468" t="s">
        <v>20</v>
      </c>
      <c r="E468" t="s">
        <v>21</v>
      </c>
      <c r="F468" t="s">
        <v>37</v>
      </c>
      <c r="G468" t="s">
        <v>38</v>
      </c>
      <c r="H468">
        <v>134</v>
      </c>
      <c r="I468">
        <v>68</v>
      </c>
      <c r="J468">
        <v>23</v>
      </c>
      <c r="K468">
        <v>179</v>
      </c>
      <c r="L468">
        <v>93</v>
      </c>
      <c r="M468" s="2">
        <v>1773.84</v>
      </c>
      <c r="N468">
        <v>6</v>
      </c>
      <c r="O468">
        <v>0</v>
      </c>
      <c r="P468" t="s">
        <v>24</v>
      </c>
      <c r="Q468" t="s">
        <v>34</v>
      </c>
      <c r="R468" t="s">
        <v>26</v>
      </c>
      <c r="S468" s="2">
        <f t="shared" si="7"/>
        <v>317517.36</v>
      </c>
    </row>
    <row r="469" spans="1:19" x14ac:dyDescent="0.3">
      <c r="A469" t="s">
        <v>530</v>
      </c>
      <c r="B469" s="1">
        <v>46293</v>
      </c>
      <c r="C469" t="s">
        <v>45</v>
      </c>
      <c r="D469" t="s">
        <v>46</v>
      </c>
      <c r="E469" t="s">
        <v>30</v>
      </c>
      <c r="F469" t="s">
        <v>1582</v>
      </c>
      <c r="G469" t="s">
        <v>1583</v>
      </c>
      <c r="H469">
        <v>174</v>
      </c>
      <c r="I469">
        <v>46</v>
      </c>
      <c r="J469">
        <v>104</v>
      </c>
      <c r="K469">
        <v>116</v>
      </c>
      <c r="L469">
        <v>58</v>
      </c>
      <c r="M469" s="2">
        <v>817.93</v>
      </c>
      <c r="N469">
        <v>2</v>
      </c>
      <c r="O469">
        <v>0</v>
      </c>
      <c r="P469" t="s">
        <v>33</v>
      </c>
      <c r="Q469" t="s">
        <v>34</v>
      </c>
      <c r="R469" t="s">
        <v>81</v>
      </c>
      <c r="S469" s="2">
        <f t="shared" si="7"/>
        <v>94879.87999999999</v>
      </c>
    </row>
    <row r="470" spans="1:19" x14ac:dyDescent="0.3">
      <c r="A470" t="s">
        <v>531</v>
      </c>
      <c r="B470" s="1">
        <v>46311</v>
      </c>
      <c r="C470" t="s">
        <v>40</v>
      </c>
      <c r="D470" t="s">
        <v>20</v>
      </c>
      <c r="E470" t="s">
        <v>30</v>
      </c>
      <c r="F470" t="s">
        <v>37</v>
      </c>
      <c r="G470" t="s">
        <v>38</v>
      </c>
      <c r="H470">
        <v>149</v>
      </c>
      <c r="I470">
        <v>97</v>
      </c>
      <c r="J470">
        <v>55</v>
      </c>
      <c r="K470">
        <v>191</v>
      </c>
      <c r="L470">
        <v>61</v>
      </c>
      <c r="M470" s="2">
        <v>904.57</v>
      </c>
      <c r="N470">
        <v>6</v>
      </c>
      <c r="O470">
        <v>0</v>
      </c>
      <c r="P470" t="s">
        <v>33</v>
      </c>
      <c r="Q470" t="s">
        <v>47</v>
      </c>
      <c r="R470" t="s">
        <v>26</v>
      </c>
      <c r="S470" s="2">
        <f t="shared" si="7"/>
        <v>172772.87</v>
      </c>
    </row>
    <row r="471" spans="1:19" x14ac:dyDescent="0.3">
      <c r="A471" t="s">
        <v>532</v>
      </c>
      <c r="B471" s="1">
        <v>46083</v>
      </c>
      <c r="C471" t="s">
        <v>55</v>
      </c>
      <c r="D471" t="s">
        <v>50</v>
      </c>
      <c r="E471" t="s">
        <v>58</v>
      </c>
      <c r="F471" t="s">
        <v>22</v>
      </c>
      <c r="G471" t="s">
        <v>23</v>
      </c>
      <c r="H471">
        <v>196</v>
      </c>
      <c r="I471">
        <v>49</v>
      </c>
      <c r="J471">
        <v>105</v>
      </c>
      <c r="K471">
        <v>140</v>
      </c>
      <c r="L471">
        <v>63</v>
      </c>
      <c r="M471" s="2">
        <v>1095.8499999999999</v>
      </c>
      <c r="N471">
        <v>2</v>
      </c>
      <c r="O471">
        <v>0</v>
      </c>
      <c r="P471" t="s">
        <v>24</v>
      </c>
      <c r="Q471" t="s">
        <v>47</v>
      </c>
      <c r="R471" t="s">
        <v>26</v>
      </c>
      <c r="S471" s="2">
        <f t="shared" si="7"/>
        <v>153419</v>
      </c>
    </row>
    <row r="472" spans="1:19" x14ac:dyDescent="0.3">
      <c r="A472" t="s">
        <v>533</v>
      </c>
      <c r="B472" s="1">
        <v>46180</v>
      </c>
      <c r="C472" t="s">
        <v>36</v>
      </c>
      <c r="D472" t="s">
        <v>29</v>
      </c>
      <c r="E472" t="s">
        <v>58</v>
      </c>
      <c r="F472" t="s">
        <v>31</v>
      </c>
      <c r="G472" t="s">
        <v>32</v>
      </c>
      <c r="H472">
        <v>125</v>
      </c>
      <c r="I472">
        <v>64</v>
      </c>
      <c r="J472">
        <v>86</v>
      </c>
      <c r="K472">
        <v>103</v>
      </c>
      <c r="L472">
        <v>96</v>
      </c>
      <c r="M472" s="2">
        <v>2466</v>
      </c>
      <c r="N472">
        <v>6</v>
      </c>
      <c r="O472">
        <v>0</v>
      </c>
      <c r="P472" t="s">
        <v>24</v>
      </c>
      <c r="Q472" t="s">
        <v>34</v>
      </c>
      <c r="R472" t="s">
        <v>59</v>
      </c>
      <c r="S472" s="2">
        <f t="shared" si="7"/>
        <v>253998</v>
      </c>
    </row>
    <row r="473" spans="1:19" x14ac:dyDescent="0.3">
      <c r="A473" t="s">
        <v>534</v>
      </c>
      <c r="B473" s="1">
        <v>46122</v>
      </c>
      <c r="C473" t="s">
        <v>45</v>
      </c>
      <c r="D473" t="s">
        <v>46</v>
      </c>
      <c r="E473" t="s">
        <v>75</v>
      </c>
      <c r="F473" t="s">
        <v>31</v>
      </c>
      <c r="G473" t="s">
        <v>32</v>
      </c>
      <c r="H473">
        <v>215</v>
      </c>
      <c r="I473">
        <v>62</v>
      </c>
      <c r="J473">
        <v>58</v>
      </c>
      <c r="K473">
        <v>219</v>
      </c>
      <c r="L473">
        <v>70</v>
      </c>
      <c r="M473" s="2">
        <v>835.9</v>
      </c>
      <c r="N473">
        <v>6</v>
      </c>
      <c r="O473">
        <v>0</v>
      </c>
      <c r="P473" t="s">
        <v>33</v>
      </c>
      <c r="Q473" t="s">
        <v>47</v>
      </c>
      <c r="R473" t="s">
        <v>43</v>
      </c>
      <c r="S473" s="2">
        <f t="shared" si="7"/>
        <v>183062.1</v>
      </c>
    </row>
    <row r="474" spans="1:19" x14ac:dyDescent="0.3">
      <c r="A474" t="s">
        <v>535</v>
      </c>
      <c r="B474" s="1">
        <v>46194</v>
      </c>
      <c r="C474" t="s">
        <v>45</v>
      </c>
      <c r="D474" t="s">
        <v>46</v>
      </c>
      <c r="E474" t="s">
        <v>58</v>
      </c>
      <c r="F474" t="s">
        <v>1582</v>
      </c>
      <c r="G474" t="s">
        <v>1583</v>
      </c>
      <c r="H474">
        <v>49</v>
      </c>
      <c r="I474">
        <v>102</v>
      </c>
      <c r="J474">
        <v>32</v>
      </c>
      <c r="K474">
        <v>119</v>
      </c>
      <c r="L474">
        <v>75</v>
      </c>
      <c r="M474" s="2">
        <v>744.86</v>
      </c>
      <c r="N474">
        <v>5</v>
      </c>
      <c r="O474">
        <v>0</v>
      </c>
      <c r="P474" t="s">
        <v>33</v>
      </c>
      <c r="Q474" t="s">
        <v>34</v>
      </c>
      <c r="R474" t="s">
        <v>26</v>
      </c>
      <c r="S474" s="2">
        <f t="shared" si="7"/>
        <v>88638.34</v>
      </c>
    </row>
    <row r="475" spans="1:19" x14ac:dyDescent="0.3">
      <c r="A475" t="s">
        <v>536</v>
      </c>
      <c r="B475" s="1">
        <v>46204</v>
      </c>
      <c r="C475" t="s">
        <v>55</v>
      </c>
      <c r="D475" t="s">
        <v>50</v>
      </c>
      <c r="E475" t="s">
        <v>75</v>
      </c>
      <c r="F475" t="s">
        <v>37</v>
      </c>
      <c r="G475" t="s">
        <v>38</v>
      </c>
      <c r="H475">
        <v>184</v>
      </c>
      <c r="I475">
        <v>112</v>
      </c>
      <c r="J475">
        <v>101</v>
      </c>
      <c r="K475">
        <v>195</v>
      </c>
      <c r="L475">
        <v>65</v>
      </c>
      <c r="M475" s="2">
        <v>1011.04</v>
      </c>
      <c r="N475">
        <v>2</v>
      </c>
      <c r="O475">
        <v>0</v>
      </c>
      <c r="P475" t="s">
        <v>33</v>
      </c>
      <c r="Q475" t="s">
        <v>47</v>
      </c>
      <c r="R475" t="s">
        <v>59</v>
      </c>
      <c r="S475" s="2">
        <f t="shared" si="7"/>
        <v>197152.8</v>
      </c>
    </row>
    <row r="476" spans="1:19" x14ac:dyDescent="0.3">
      <c r="A476" t="s">
        <v>537</v>
      </c>
      <c r="B476" s="1">
        <v>46082</v>
      </c>
      <c r="C476" t="s">
        <v>98</v>
      </c>
      <c r="D476" t="s">
        <v>20</v>
      </c>
      <c r="E476" t="s">
        <v>21</v>
      </c>
      <c r="F476" t="s">
        <v>31</v>
      </c>
      <c r="G476" t="s">
        <v>32</v>
      </c>
      <c r="H476">
        <v>126</v>
      </c>
      <c r="I476">
        <v>68</v>
      </c>
      <c r="J476">
        <v>95</v>
      </c>
      <c r="K476">
        <v>99</v>
      </c>
      <c r="L476">
        <v>79</v>
      </c>
      <c r="M476" s="2">
        <v>1495.87</v>
      </c>
      <c r="N476">
        <v>6</v>
      </c>
      <c r="O476">
        <v>0</v>
      </c>
      <c r="P476" t="s">
        <v>33</v>
      </c>
      <c r="Q476" t="s">
        <v>34</v>
      </c>
      <c r="R476" t="s">
        <v>26</v>
      </c>
      <c r="S476" s="2">
        <f t="shared" si="7"/>
        <v>148091.12999999998</v>
      </c>
    </row>
    <row r="477" spans="1:19" x14ac:dyDescent="0.3">
      <c r="A477" t="s">
        <v>538</v>
      </c>
      <c r="B477" s="1">
        <v>46177</v>
      </c>
      <c r="C477" t="s">
        <v>45</v>
      </c>
      <c r="D477" t="s">
        <v>46</v>
      </c>
      <c r="E477" t="s">
        <v>75</v>
      </c>
      <c r="F477" t="s">
        <v>37</v>
      </c>
      <c r="G477" t="s">
        <v>38</v>
      </c>
      <c r="H477">
        <v>145</v>
      </c>
      <c r="I477">
        <v>31</v>
      </c>
      <c r="J477">
        <v>78</v>
      </c>
      <c r="K477">
        <v>98</v>
      </c>
      <c r="L477">
        <v>60</v>
      </c>
      <c r="M477" s="2">
        <v>779.45</v>
      </c>
      <c r="N477">
        <v>8</v>
      </c>
      <c r="O477">
        <v>0</v>
      </c>
      <c r="P477" t="s">
        <v>33</v>
      </c>
      <c r="Q477" t="s">
        <v>34</v>
      </c>
      <c r="R477" t="s">
        <v>26</v>
      </c>
      <c r="S477" s="2">
        <f t="shared" si="7"/>
        <v>76386.100000000006</v>
      </c>
    </row>
    <row r="478" spans="1:19" x14ac:dyDescent="0.3">
      <c r="A478" t="s">
        <v>539</v>
      </c>
      <c r="B478" s="1">
        <v>46270</v>
      </c>
      <c r="C478" t="s">
        <v>62</v>
      </c>
      <c r="D478" t="s">
        <v>29</v>
      </c>
      <c r="E478" t="s">
        <v>21</v>
      </c>
      <c r="F478" t="s">
        <v>31</v>
      </c>
      <c r="G478" t="s">
        <v>32</v>
      </c>
      <c r="H478">
        <v>91</v>
      </c>
      <c r="I478">
        <v>31</v>
      </c>
      <c r="J478">
        <v>71</v>
      </c>
      <c r="K478">
        <v>51</v>
      </c>
      <c r="L478">
        <v>77</v>
      </c>
      <c r="M478" s="2">
        <v>633.49</v>
      </c>
      <c r="N478">
        <v>5</v>
      </c>
      <c r="O478">
        <v>3</v>
      </c>
      <c r="P478" t="s">
        <v>33</v>
      </c>
      <c r="Q478" t="s">
        <v>34</v>
      </c>
      <c r="R478" t="s">
        <v>26</v>
      </c>
      <c r="S478" s="2">
        <f t="shared" si="7"/>
        <v>32307.99</v>
      </c>
    </row>
    <row r="479" spans="1:19" x14ac:dyDescent="0.3">
      <c r="A479" t="s">
        <v>540</v>
      </c>
      <c r="B479" s="1">
        <v>46290</v>
      </c>
      <c r="C479" t="s">
        <v>52</v>
      </c>
      <c r="D479" t="s">
        <v>53</v>
      </c>
      <c r="E479" t="s">
        <v>21</v>
      </c>
      <c r="F479" t="s">
        <v>22</v>
      </c>
      <c r="G479" t="s">
        <v>23</v>
      </c>
      <c r="H479">
        <v>65</v>
      </c>
      <c r="I479">
        <v>125</v>
      </c>
      <c r="J479">
        <v>81</v>
      </c>
      <c r="K479">
        <v>109</v>
      </c>
      <c r="L479">
        <v>88</v>
      </c>
      <c r="M479" s="2">
        <v>714.05</v>
      </c>
      <c r="N479">
        <v>3</v>
      </c>
      <c r="O479">
        <v>0</v>
      </c>
      <c r="P479" t="s">
        <v>33</v>
      </c>
      <c r="Q479" t="s">
        <v>34</v>
      </c>
      <c r="R479" t="s">
        <v>26</v>
      </c>
      <c r="S479" s="2">
        <f t="shared" si="7"/>
        <v>77831.45</v>
      </c>
    </row>
    <row r="480" spans="1:19" x14ac:dyDescent="0.3">
      <c r="A480" t="s">
        <v>541</v>
      </c>
      <c r="B480" s="1">
        <v>46360</v>
      </c>
      <c r="C480" t="s">
        <v>19</v>
      </c>
      <c r="D480" t="s">
        <v>20</v>
      </c>
      <c r="E480" t="s">
        <v>21</v>
      </c>
      <c r="F480" t="s">
        <v>31</v>
      </c>
      <c r="G480" t="s">
        <v>32</v>
      </c>
      <c r="H480">
        <v>215</v>
      </c>
      <c r="I480">
        <v>128</v>
      </c>
      <c r="J480">
        <v>91</v>
      </c>
      <c r="K480">
        <v>252</v>
      </c>
      <c r="L480">
        <v>100</v>
      </c>
      <c r="M480" s="2">
        <v>1651.35</v>
      </c>
      <c r="N480">
        <v>5</v>
      </c>
      <c r="O480">
        <v>0</v>
      </c>
      <c r="P480" t="s">
        <v>33</v>
      </c>
      <c r="Q480" t="s">
        <v>47</v>
      </c>
      <c r="R480" t="s">
        <v>26</v>
      </c>
      <c r="S480" s="2">
        <f t="shared" si="7"/>
        <v>416140.19999999995</v>
      </c>
    </row>
    <row r="481" spans="1:19" x14ac:dyDescent="0.3">
      <c r="A481" t="s">
        <v>542</v>
      </c>
      <c r="B481" s="1">
        <v>46366</v>
      </c>
      <c r="C481" t="s">
        <v>109</v>
      </c>
      <c r="D481" t="s">
        <v>46</v>
      </c>
      <c r="E481" t="s">
        <v>30</v>
      </c>
      <c r="F481" t="s">
        <v>37</v>
      </c>
      <c r="G481" t="s">
        <v>38</v>
      </c>
      <c r="H481">
        <v>203</v>
      </c>
      <c r="I481">
        <v>46</v>
      </c>
      <c r="J481">
        <v>56</v>
      </c>
      <c r="K481">
        <v>193</v>
      </c>
      <c r="L481">
        <v>57</v>
      </c>
      <c r="M481" s="2">
        <v>3003.23</v>
      </c>
      <c r="N481">
        <v>4</v>
      </c>
      <c r="O481">
        <v>0</v>
      </c>
      <c r="P481" t="s">
        <v>33</v>
      </c>
      <c r="Q481" t="s">
        <v>47</v>
      </c>
      <c r="R481" t="s">
        <v>59</v>
      </c>
      <c r="S481" s="2">
        <f t="shared" si="7"/>
        <v>579623.39</v>
      </c>
    </row>
    <row r="482" spans="1:19" x14ac:dyDescent="0.3">
      <c r="A482" t="s">
        <v>543</v>
      </c>
      <c r="B482" s="1">
        <v>46186</v>
      </c>
      <c r="C482" t="s">
        <v>89</v>
      </c>
      <c r="D482" t="s">
        <v>20</v>
      </c>
      <c r="E482" t="s">
        <v>42</v>
      </c>
      <c r="F482" t="s">
        <v>22</v>
      </c>
      <c r="G482" t="s">
        <v>23</v>
      </c>
      <c r="H482">
        <v>110</v>
      </c>
      <c r="I482">
        <v>34</v>
      </c>
      <c r="J482">
        <v>16</v>
      </c>
      <c r="K482">
        <v>128</v>
      </c>
      <c r="L482">
        <v>84</v>
      </c>
      <c r="M482" s="2">
        <v>1214.31</v>
      </c>
      <c r="N482">
        <v>2</v>
      </c>
      <c r="O482">
        <v>0</v>
      </c>
      <c r="P482" t="s">
        <v>33</v>
      </c>
      <c r="Q482" t="s">
        <v>34</v>
      </c>
      <c r="R482" t="s">
        <v>26</v>
      </c>
      <c r="S482" s="2">
        <f t="shared" si="7"/>
        <v>155431.67999999999</v>
      </c>
    </row>
    <row r="483" spans="1:19" x14ac:dyDescent="0.3">
      <c r="A483" t="s">
        <v>544</v>
      </c>
      <c r="B483" s="1">
        <v>46368</v>
      </c>
      <c r="C483" t="s">
        <v>80</v>
      </c>
      <c r="D483" t="s">
        <v>46</v>
      </c>
      <c r="E483" t="s">
        <v>21</v>
      </c>
      <c r="F483" t="s">
        <v>22</v>
      </c>
      <c r="G483" t="s">
        <v>23</v>
      </c>
      <c r="H483">
        <v>83</v>
      </c>
      <c r="I483">
        <v>29</v>
      </c>
      <c r="J483">
        <v>54</v>
      </c>
      <c r="K483">
        <v>58</v>
      </c>
      <c r="L483">
        <v>84</v>
      </c>
      <c r="M483" s="2">
        <v>1186.29</v>
      </c>
      <c r="N483">
        <v>6</v>
      </c>
      <c r="O483">
        <v>3</v>
      </c>
      <c r="P483" t="s">
        <v>33</v>
      </c>
      <c r="Q483" t="s">
        <v>34</v>
      </c>
      <c r="R483" t="s">
        <v>26</v>
      </c>
      <c r="S483" s="2">
        <f t="shared" si="7"/>
        <v>68804.819999999992</v>
      </c>
    </row>
    <row r="484" spans="1:19" x14ac:dyDescent="0.3">
      <c r="A484" t="s">
        <v>545</v>
      </c>
      <c r="B484" s="1">
        <v>46251</v>
      </c>
      <c r="C484" t="s">
        <v>19</v>
      </c>
      <c r="D484" t="s">
        <v>20</v>
      </c>
      <c r="E484" t="s">
        <v>58</v>
      </c>
      <c r="F484" t="s">
        <v>31</v>
      </c>
      <c r="G484" t="s">
        <v>32</v>
      </c>
      <c r="H484">
        <v>62</v>
      </c>
      <c r="I484">
        <v>74</v>
      </c>
      <c r="J484">
        <v>65</v>
      </c>
      <c r="K484">
        <v>71</v>
      </c>
      <c r="L484">
        <v>56</v>
      </c>
      <c r="M484" s="2">
        <v>1873.68</v>
      </c>
      <c r="N484">
        <v>6</v>
      </c>
      <c r="O484">
        <v>0</v>
      </c>
      <c r="P484" t="s">
        <v>33</v>
      </c>
      <c r="Q484" t="s">
        <v>34</v>
      </c>
      <c r="R484" t="s">
        <v>59</v>
      </c>
      <c r="S484" s="2">
        <f t="shared" si="7"/>
        <v>133031.28</v>
      </c>
    </row>
    <row r="485" spans="1:19" x14ac:dyDescent="0.3">
      <c r="A485" t="s">
        <v>546</v>
      </c>
      <c r="B485" s="1">
        <v>46070</v>
      </c>
      <c r="C485" t="s">
        <v>52</v>
      </c>
      <c r="D485" t="s">
        <v>53</v>
      </c>
      <c r="E485" t="s">
        <v>21</v>
      </c>
      <c r="F485" t="s">
        <v>37</v>
      </c>
      <c r="G485" t="s">
        <v>38</v>
      </c>
      <c r="H485">
        <v>90</v>
      </c>
      <c r="I485">
        <v>111</v>
      </c>
      <c r="J485">
        <v>100</v>
      </c>
      <c r="K485">
        <v>101</v>
      </c>
      <c r="L485">
        <v>96</v>
      </c>
      <c r="M485" s="2">
        <v>654.35</v>
      </c>
      <c r="N485">
        <v>8</v>
      </c>
      <c r="O485">
        <v>0</v>
      </c>
      <c r="P485" t="s">
        <v>33</v>
      </c>
      <c r="Q485" t="s">
        <v>34</v>
      </c>
      <c r="R485" t="s">
        <v>26</v>
      </c>
      <c r="S485" s="2">
        <f t="shared" si="7"/>
        <v>66089.350000000006</v>
      </c>
    </row>
    <row r="486" spans="1:19" x14ac:dyDescent="0.3">
      <c r="A486" t="s">
        <v>547</v>
      </c>
      <c r="B486" s="1">
        <v>46338</v>
      </c>
      <c r="C486" t="s">
        <v>57</v>
      </c>
      <c r="D486" t="s">
        <v>50</v>
      </c>
      <c r="E486" t="s">
        <v>58</v>
      </c>
      <c r="F486" t="s">
        <v>37</v>
      </c>
      <c r="G486" t="s">
        <v>38</v>
      </c>
      <c r="H486">
        <v>215</v>
      </c>
      <c r="I486">
        <v>102</v>
      </c>
      <c r="J486">
        <v>105</v>
      </c>
      <c r="K486">
        <v>212</v>
      </c>
      <c r="L486">
        <v>94</v>
      </c>
      <c r="M486" s="2">
        <v>2780.62</v>
      </c>
      <c r="N486">
        <v>3</v>
      </c>
      <c r="O486">
        <v>0</v>
      </c>
      <c r="P486" t="s">
        <v>33</v>
      </c>
      <c r="Q486" t="s">
        <v>47</v>
      </c>
      <c r="R486" t="s">
        <v>26</v>
      </c>
      <c r="S486" s="2">
        <f t="shared" si="7"/>
        <v>589491.43999999994</v>
      </c>
    </row>
    <row r="487" spans="1:19" x14ac:dyDescent="0.3">
      <c r="A487" t="s">
        <v>548</v>
      </c>
      <c r="B487" s="1">
        <v>46266</v>
      </c>
      <c r="C487" t="s">
        <v>45</v>
      </c>
      <c r="D487" t="s">
        <v>46</v>
      </c>
      <c r="E487" t="s">
        <v>58</v>
      </c>
      <c r="F487" t="s">
        <v>22</v>
      </c>
      <c r="G487" t="s">
        <v>23</v>
      </c>
      <c r="H487">
        <v>219</v>
      </c>
      <c r="I487">
        <v>105</v>
      </c>
      <c r="J487">
        <v>57</v>
      </c>
      <c r="K487">
        <v>267</v>
      </c>
      <c r="L487">
        <v>95</v>
      </c>
      <c r="M487" s="2">
        <v>857.73</v>
      </c>
      <c r="N487">
        <v>4</v>
      </c>
      <c r="O487">
        <v>0</v>
      </c>
      <c r="P487" t="s">
        <v>33</v>
      </c>
      <c r="Q487" t="s">
        <v>47</v>
      </c>
      <c r="R487" t="s">
        <v>26</v>
      </c>
      <c r="S487" s="2">
        <f t="shared" si="7"/>
        <v>229013.91</v>
      </c>
    </row>
    <row r="488" spans="1:19" x14ac:dyDescent="0.3">
      <c r="A488" t="s">
        <v>549</v>
      </c>
      <c r="B488" s="1">
        <v>46355</v>
      </c>
      <c r="C488" t="s">
        <v>89</v>
      </c>
      <c r="D488" t="s">
        <v>20</v>
      </c>
      <c r="E488" t="s">
        <v>58</v>
      </c>
      <c r="F488" t="s">
        <v>1582</v>
      </c>
      <c r="G488" t="s">
        <v>1583</v>
      </c>
      <c r="H488">
        <v>83</v>
      </c>
      <c r="I488">
        <v>56</v>
      </c>
      <c r="J488">
        <v>59</v>
      </c>
      <c r="K488">
        <v>80</v>
      </c>
      <c r="L488">
        <v>83</v>
      </c>
      <c r="M488" s="2">
        <v>1217.92</v>
      </c>
      <c r="N488">
        <v>6</v>
      </c>
      <c r="O488">
        <v>2</v>
      </c>
      <c r="P488" t="s">
        <v>24</v>
      </c>
      <c r="Q488" t="s">
        <v>34</v>
      </c>
      <c r="R488" t="s">
        <v>26</v>
      </c>
      <c r="S488" s="2">
        <f t="shared" si="7"/>
        <v>97433.600000000006</v>
      </c>
    </row>
    <row r="489" spans="1:19" x14ac:dyDescent="0.3">
      <c r="A489" t="s">
        <v>550</v>
      </c>
      <c r="B489" s="1">
        <v>46056</v>
      </c>
      <c r="C489" t="s">
        <v>89</v>
      </c>
      <c r="D489" t="s">
        <v>20</v>
      </c>
      <c r="E489" t="s">
        <v>30</v>
      </c>
      <c r="F489" t="s">
        <v>1582</v>
      </c>
      <c r="G489" t="s">
        <v>1583</v>
      </c>
      <c r="H489">
        <v>142</v>
      </c>
      <c r="I489">
        <v>95</v>
      </c>
      <c r="J489">
        <v>67</v>
      </c>
      <c r="K489">
        <v>170</v>
      </c>
      <c r="L489">
        <v>60</v>
      </c>
      <c r="M489" s="2">
        <v>1229.01</v>
      </c>
      <c r="N489">
        <v>6</v>
      </c>
      <c r="O489">
        <v>0</v>
      </c>
      <c r="P489" t="s">
        <v>24</v>
      </c>
      <c r="Q489" t="s">
        <v>47</v>
      </c>
      <c r="R489" t="s">
        <v>26</v>
      </c>
      <c r="S489" s="2">
        <f t="shared" si="7"/>
        <v>208931.7</v>
      </c>
    </row>
    <row r="490" spans="1:19" x14ac:dyDescent="0.3">
      <c r="A490" t="s">
        <v>551</v>
      </c>
      <c r="B490" s="1">
        <v>46387</v>
      </c>
      <c r="C490" t="s">
        <v>80</v>
      </c>
      <c r="D490" t="s">
        <v>46</v>
      </c>
      <c r="E490" t="s">
        <v>30</v>
      </c>
      <c r="F490" t="s">
        <v>1582</v>
      </c>
      <c r="G490" t="s">
        <v>1583</v>
      </c>
      <c r="H490">
        <v>151</v>
      </c>
      <c r="I490">
        <v>92</v>
      </c>
      <c r="J490">
        <v>58</v>
      </c>
      <c r="K490">
        <v>185</v>
      </c>
      <c r="L490">
        <v>79</v>
      </c>
      <c r="M490" s="2">
        <v>1142.71</v>
      </c>
      <c r="N490">
        <v>3</v>
      </c>
      <c r="O490">
        <v>0</v>
      </c>
      <c r="P490" t="s">
        <v>33</v>
      </c>
      <c r="Q490" t="s">
        <v>47</v>
      </c>
      <c r="R490" t="s">
        <v>26</v>
      </c>
      <c r="S490" s="2">
        <f t="shared" si="7"/>
        <v>211401.35</v>
      </c>
    </row>
    <row r="491" spans="1:19" x14ac:dyDescent="0.3">
      <c r="A491" t="s">
        <v>552</v>
      </c>
      <c r="B491" s="1">
        <v>46078</v>
      </c>
      <c r="C491" t="s">
        <v>68</v>
      </c>
      <c r="D491" t="s">
        <v>53</v>
      </c>
      <c r="E491" t="s">
        <v>75</v>
      </c>
      <c r="F491" t="s">
        <v>1582</v>
      </c>
      <c r="G491" t="s">
        <v>1583</v>
      </c>
      <c r="H491">
        <v>123</v>
      </c>
      <c r="I491">
        <v>91</v>
      </c>
      <c r="J491">
        <v>27</v>
      </c>
      <c r="K491">
        <v>187</v>
      </c>
      <c r="L491">
        <v>97</v>
      </c>
      <c r="M491" s="2">
        <v>593.42999999999995</v>
      </c>
      <c r="N491">
        <v>4</v>
      </c>
      <c r="O491">
        <v>0</v>
      </c>
      <c r="P491" t="s">
        <v>33</v>
      </c>
      <c r="Q491" t="s">
        <v>34</v>
      </c>
      <c r="R491" t="s">
        <v>26</v>
      </c>
      <c r="S491" s="2">
        <f t="shared" si="7"/>
        <v>110971.40999999999</v>
      </c>
    </row>
    <row r="492" spans="1:19" x14ac:dyDescent="0.3">
      <c r="A492" t="s">
        <v>553</v>
      </c>
      <c r="B492" s="1">
        <v>46348</v>
      </c>
      <c r="C492" t="s">
        <v>68</v>
      </c>
      <c r="D492" t="s">
        <v>53</v>
      </c>
      <c r="E492" t="s">
        <v>21</v>
      </c>
      <c r="F492" t="s">
        <v>1582</v>
      </c>
      <c r="G492" t="s">
        <v>1583</v>
      </c>
      <c r="H492">
        <v>205</v>
      </c>
      <c r="I492">
        <v>104</v>
      </c>
      <c r="J492">
        <v>22</v>
      </c>
      <c r="K492">
        <v>287</v>
      </c>
      <c r="L492">
        <v>50</v>
      </c>
      <c r="M492" s="2">
        <v>566.11</v>
      </c>
      <c r="N492">
        <v>3</v>
      </c>
      <c r="O492">
        <v>0</v>
      </c>
      <c r="P492" t="s">
        <v>33</v>
      </c>
      <c r="Q492" t="s">
        <v>47</v>
      </c>
      <c r="R492" t="s">
        <v>43</v>
      </c>
      <c r="S492" s="2">
        <f t="shared" si="7"/>
        <v>162473.57</v>
      </c>
    </row>
    <row r="493" spans="1:19" x14ac:dyDescent="0.3">
      <c r="A493" t="s">
        <v>554</v>
      </c>
      <c r="B493" s="1">
        <v>46176</v>
      </c>
      <c r="C493" t="s">
        <v>98</v>
      </c>
      <c r="D493" t="s">
        <v>20</v>
      </c>
      <c r="E493" t="s">
        <v>42</v>
      </c>
      <c r="F493" t="s">
        <v>1582</v>
      </c>
      <c r="G493" t="s">
        <v>1583</v>
      </c>
      <c r="H493">
        <v>176</v>
      </c>
      <c r="I493">
        <v>57</v>
      </c>
      <c r="J493">
        <v>64</v>
      </c>
      <c r="K493">
        <v>169</v>
      </c>
      <c r="L493">
        <v>84</v>
      </c>
      <c r="M493" s="2">
        <v>1421.82</v>
      </c>
      <c r="N493">
        <v>3</v>
      </c>
      <c r="O493">
        <v>0</v>
      </c>
      <c r="P493" t="s">
        <v>33</v>
      </c>
      <c r="Q493" t="s">
        <v>34</v>
      </c>
      <c r="R493" t="s">
        <v>43</v>
      </c>
      <c r="S493" s="2">
        <f t="shared" si="7"/>
        <v>240287.58</v>
      </c>
    </row>
    <row r="494" spans="1:19" x14ac:dyDescent="0.3">
      <c r="A494" t="s">
        <v>555</v>
      </c>
      <c r="B494" s="1">
        <v>46054</v>
      </c>
      <c r="C494" t="s">
        <v>52</v>
      </c>
      <c r="D494" t="s">
        <v>53</v>
      </c>
      <c r="E494" t="s">
        <v>58</v>
      </c>
      <c r="F494" t="s">
        <v>37</v>
      </c>
      <c r="G494" t="s">
        <v>38</v>
      </c>
      <c r="H494">
        <v>62</v>
      </c>
      <c r="I494">
        <v>94</v>
      </c>
      <c r="J494">
        <v>16</v>
      </c>
      <c r="K494">
        <v>140</v>
      </c>
      <c r="L494">
        <v>84</v>
      </c>
      <c r="M494" s="2">
        <v>713.23</v>
      </c>
      <c r="N494">
        <v>5</v>
      </c>
      <c r="O494">
        <v>0</v>
      </c>
      <c r="P494" t="s">
        <v>33</v>
      </c>
      <c r="Q494" t="s">
        <v>34</v>
      </c>
      <c r="R494" t="s">
        <v>43</v>
      </c>
      <c r="S494" s="2">
        <f t="shared" si="7"/>
        <v>99852.2</v>
      </c>
    </row>
    <row r="495" spans="1:19" x14ac:dyDescent="0.3">
      <c r="A495" t="s">
        <v>556</v>
      </c>
      <c r="B495" s="1">
        <v>46185</v>
      </c>
      <c r="C495" t="s">
        <v>109</v>
      </c>
      <c r="D495" t="s">
        <v>46</v>
      </c>
      <c r="E495" t="s">
        <v>75</v>
      </c>
      <c r="F495" t="s">
        <v>37</v>
      </c>
      <c r="G495" t="s">
        <v>38</v>
      </c>
      <c r="H495">
        <v>68</v>
      </c>
      <c r="I495">
        <v>130</v>
      </c>
      <c r="J495">
        <v>51</v>
      </c>
      <c r="K495">
        <v>147</v>
      </c>
      <c r="L495">
        <v>100</v>
      </c>
      <c r="M495" s="2">
        <v>2899.96</v>
      </c>
      <c r="N495">
        <v>5</v>
      </c>
      <c r="O495">
        <v>0</v>
      </c>
      <c r="P495" t="s">
        <v>33</v>
      </c>
      <c r="Q495" t="s">
        <v>34</v>
      </c>
      <c r="R495" t="s">
        <v>26</v>
      </c>
      <c r="S495" s="2">
        <f t="shared" si="7"/>
        <v>426294.12</v>
      </c>
    </row>
    <row r="496" spans="1:19" x14ac:dyDescent="0.3">
      <c r="A496" t="s">
        <v>557</v>
      </c>
      <c r="B496" s="1">
        <v>46207</v>
      </c>
      <c r="C496" t="s">
        <v>55</v>
      </c>
      <c r="D496" t="s">
        <v>50</v>
      </c>
      <c r="E496" t="s">
        <v>58</v>
      </c>
      <c r="F496" t="s">
        <v>1582</v>
      </c>
      <c r="G496" t="s">
        <v>1583</v>
      </c>
      <c r="H496">
        <v>179</v>
      </c>
      <c r="I496">
        <v>47</v>
      </c>
      <c r="J496">
        <v>99</v>
      </c>
      <c r="K496">
        <v>127</v>
      </c>
      <c r="L496">
        <v>56</v>
      </c>
      <c r="M496" s="2">
        <v>994.97</v>
      </c>
      <c r="N496">
        <v>3</v>
      </c>
      <c r="O496">
        <v>0</v>
      </c>
      <c r="P496" t="s">
        <v>33</v>
      </c>
      <c r="Q496" t="s">
        <v>47</v>
      </c>
      <c r="R496" t="s">
        <v>43</v>
      </c>
      <c r="S496" s="2">
        <f t="shared" si="7"/>
        <v>126361.19</v>
      </c>
    </row>
    <row r="497" spans="1:19" x14ac:dyDescent="0.3">
      <c r="A497" t="s">
        <v>558</v>
      </c>
      <c r="B497" s="1">
        <v>46092</v>
      </c>
      <c r="C497" t="s">
        <v>72</v>
      </c>
      <c r="D497" t="s">
        <v>50</v>
      </c>
      <c r="E497" t="s">
        <v>21</v>
      </c>
      <c r="F497" t="s">
        <v>22</v>
      </c>
      <c r="G497" t="s">
        <v>23</v>
      </c>
      <c r="H497">
        <v>74</v>
      </c>
      <c r="I497">
        <v>21</v>
      </c>
      <c r="J497">
        <v>24</v>
      </c>
      <c r="K497">
        <v>71</v>
      </c>
      <c r="L497">
        <v>86</v>
      </c>
      <c r="M497" s="2">
        <v>1986.91</v>
      </c>
      <c r="N497">
        <v>7</v>
      </c>
      <c r="O497">
        <v>7</v>
      </c>
      <c r="P497" t="s">
        <v>33</v>
      </c>
      <c r="Q497" t="s">
        <v>34</v>
      </c>
      <c r="R497" t="s">
        <v>81</v>
      </c>
      <c r="S497" s="2">
        <f t="shared" si="7"/>
        <v>141070.61000000002</v>
      </c>
    </row>
    <row r="498" spans="1:19" x14ac:dyDescent="0.3">
      <c r="A498" t="s">
        <v>559</v>
      </c>
      <c r="B498" s="1">
        <v>46219</v>
      </c>
      <c r="C498" t="s">
        <v>98</v>
      </c>
      <c r="D498" t="s">
        <v>20</v>
      </c>
      <c r="E498" t="s">
        <v>58</v>
      </c>
      <c r="F498" t="s">
        <v>1582</v>
      </c>
      <c r="G498" t="s">
        <v>1583</v>
      </c>
      <c r="H498">
        <v>218</v>
      </c>
      <c r="I498">
        <v>97</v>
      </c>
      <c r="J498">
        <v>69</v>
      </c>
      <c r="K498">
        <v>246</v>
      </c>
      <c r="L498">
        <v>84</v>
      </c>
      <c r="M498" s="2">
        <v>1310.3399999999999</v>
      </c>
      <c r="N498">
        <v>6</v>
      </c>
      <c r="O498">
        <v>0</v>
      </c>
      <c r="P498" t="s">
        <v>33</v>
      </c>
      <c r="Q498" t="s">
        <v>47</v>
      </c>
      <c r="R498" t="s">
        <v>43</v>
      </c>
      <c r="S498" s="2">
        <f t="shared" si="7"/>
        <v>322343.63999999996</v>
      </c>
    </row>
    <row r="499" spans="1:19" x14ac:dyDescent="0.3">
      <c r="A499" t="s">
        <v>560</v>
      </c>
      <c r="B499" s="1">
        <v>46302</v>
      </c>
      <c r="C499" t="s">
        <v>80</v>
      </c>
      <c r="D499" t="s">
        <v>46</v>
      </c>
      <c r="E499" t="s">
        <v>42</v>
      </c>
      <c r="F499" t="s">
        <v>1582</v>
      </c>
      <c r="G499" t="s">
        <v>1583</v>
      </c>
      <c r="H499">
        <v>194</v>
      </c>
      <c r="I499">
        <v>20</v>
      </c>
      <c r="J499">
        <v>88</v>
      </c>
      <c r="K499">
        <v>126</v>
      </c>
      <c r="L499">
        <v>76</v>
      </c>
      <c r="M499" s="2">
        <v>1176.3</v>
      </c>
      <c r="N499">
        <v>3</v>
      </c>
      <c r="O499">
        <v>0</v>
      </c>
      <c r="P499" t="s">
        <v>33</v>
      </c>
      <c r="Q499" t="s">
        <v>34</v>
      </c>
      <c r="R499" t="s">
        <v>26</v>
      </c>
      <c r="S499" s="2">
        <f t="shared" si="7"/>
        <v>148213.79999999999</v>
      </c>
    </row>
    <row r="500" spans="1:19" x14ac:dyDescent="0.3">
      <c r="A500" t="s">
        <v>561</v>
      </c>
      <c r="B500" s="1">
        <v>46292</v>
      </c>
      <c r="C500" t="s">
        <v>52</v>
      </c>
      <c r="D500" t="s">
        <v>53</v>
      </c>
      <c r="E500" t="s">
        <v>75</v>
      </c>
      <c r="F500" t="s">
        <v>31</v>
      </c>
      <c r="G500" t="s">
        <v>32</v>
      </c>
      <c r="H500">
        <v>185</v>
      </c>
      <c r="I500">
        <v>81</v>
      </c>
      <c r="J500">
        <v>105</v>
      </c>
      <c r="K500">
        <v>161</v>
      </c>
      <c r="L500">
        <v>68</v>
      </c>
      <c r="M500" s="2">
        <v>599.71</v>
      </c>
      <c r="N500">
        <v>5</v>
      </c>
      <c r="O500">
        <v>0</v>
      </c>
      <c r="P500" t="s">
        <v>33</v>
      </c>
      <c r="Q500" t="s">
        <v>47</v>
      </c>
      <c r="R500" t="s">
        <v>26</v>
      </c>
      <c r="S500" s="2">
        <f t="shared" si="7"/>
        <v>96553.310000000012</v>
      </c>
    </row>
    <row r="501" spans="1:19" x14ac:dyDescent="0.3">
      <c r="A501" t="s">
        <v>562</v>
      </c>
      <c r="B501" s="1">
        <v>46373</v>
      </c>
      <c r="C501" t="s">
        <v>146</v>
      </c>
      <c r="D501" t="s">
        <v>46</v>
      </c>
      <c r="E501" t="s">
        <v>30</v>
      </c>
      <c r="F501" t="s">
        <v>31</v>
      </c>
      <c r="G501" t="s">
        <v>32</v>
      </c>
      <c r="H501">
        <v>173</v>
      </c>
      <c r="I501">
        <v>98</v>
      </c>
      <c r="J501">
        <v>26</v>
      </c>
      <c r="K501">
        <v>245</v>
      </c>
      <c r="L501">
        <v>60</v>
      </c>
      <c r="M501" s="2">
        <v>1491.74</v>
      </c>
      <c r="N501">
        <v>7</v>
      </c>
      <c r="O501">
        <v>0</v>
      </c>
      <c r="P501" t="s">
        <v>33</v>
      </c>
      <c r="Q501" t="s">
        <v>47</v>
      </c>
      <c r="R501" t="s">
        <v>26</v>
      </c>
      <c r="S501" s="2">
        <f t="shared" si="7"/>
        <v>365476.3</v>
      </c>
    </row>
    <row r="502" spans="1:19" x14ac:dyDescent="0.3">
      <c r="A502" t="s">
        <v>563</v>
      </c>
      <c r="B502" s="1">
        <v>46203</v>
      </c>
      <c r="C502" t="s">
        <v>52</v>
      </c>
      <c r="D502" t="s">
        <v>53</v>
      </c>
      <c r="E502" t="s">
        <v>30</v>
      </c>
      <c r="F502" t="s">
        <v>31</v>
      </c>
      <c r="G502" t="s">
        <v>32</v>
      </c>
      <c r="H502">
        <v>127</v>
      </c>
      <c r="I502">
        <v>88</v>
      </c>
      <c r="J502">
        <v>16</v>
      </c>
      <c r="K502">
        <v>199</v>
      </c>
      <c r="L502">
        <v>75</v>
      </c>
      <c r="M502" s="2">
        <v>644.02</v>
      </c>
      <c r="N502">
        <v>5</v>
      </c>
      <c r="O502">
        <v>0</v>
      </c>
      <c r="P502" t="s">
        <v>33</v>
      </c>
      <c r="Q502" t="s">
        <v>47</v>
      </c>
      <c r="R502" t="s">
        <v>26</v>
      </c>
      <c r="S502" s="2">
        <f t="shared" si="7"/>
        <v>128159.98</v>
      </c>
    </row>
    <row r="503" spans="1:19" x14ac:dyDescent="0.3">
      <c r="A503" t="s">
        <v>564</v>
      </c>
      <c r="B503" s="1">
        <v>46319</v>
      </c>
      <c r="C503" t="s">
        <v>45</v>
      </c>
      <c r="D503" t="s">
        <v>46</v>
      </c>
      <c r="E503" t="s">
        <v>42</v>
      </c>
      <c r="F503" t="s">
        <v>31</v>
      </c>
      <c r="G503" t="s">
        <v>32</v>
      </c>
      <c r="H503">
        <v>217</v>
      </c>
      <c r="I503">
        <v>96</v>
      </c>
      <c r="J503">
        <v>110</v>
      </c>
      <c r="K503">
        <v>203</v>
      </c>
      <c r="L503">
        <v>64</v>
      </c>
      <c r="M503" s="2">
        <v>836.32</v>
      </c>
      <c r="N503">
        <v>6</v>
      </c>
      <c r="O503">
        <v>0</v>
      </c>
      <c r="P503" t="s">
        <v>33</v>
      </c>
      <c r="Q503" t="s">
        <v>47</v>
      </c>
      <c r="R503" t="s">
        <v>26</v>
      </c>
      <c r="S503" s="2">
        <f t="shared" si="7"/>
        <v>169772.96000000002</v>
      </c>
    </row>
    <row r="504" spans="1:19" x14ac:dyDescent="0.3">
      <c r="A504" t="s">
        <v>565</v>
      </c>
      <c r="B504" s="1">
        <v>46338</v>
      </c>
      <c r="C504" t="s">
        <v>62</v>
      </c>
      <c r="D504" t="s">
        <v>29</v>
      </c>
      <c r="E504" t="s">
        <v>21</v>
      </c>
      <c r="F504" t="s">
        <v>31</v>
      </c>
      <c r="G504" t="s">
        <v>32</v>
      </c>
      <c r="H504">
        <v>113</v>
      </c>
      <c r="I504">
        <v>82</v>
      </c>
      <c r="J504">
        <v>25</v>
      </c>
      <c r="K504">
        <v>170</v>
      </c>
      <c r="L504">
        <v>53</v>
      </c>
      <c r="M504" s="2">
        <v>700.78</v>
      </c>
      <c r="N504">
        <v>8</v>
      </c>
      <c r="O504">
        <v>0</v>
      </c>
      <c r="P504" t="s">
        <v>33</v>
      </c>
      <c r="Q504" t="s">
        <v>47</v>
      </c>
      <c r="R504" t="s">
        <v>26</v>
      </c>
      <c r="S504" s="2">
        <f t="shared" si="7"/>
        <v>119132.59999999999</v>
      </c>
    </row>
    <row r="505" spans="1:19" x14ac:dyDescent="0.3">
      <c r="A505" t="s">
        <v>566</v>
      </c>
      <c r="B505" s="1">
        <v>46156</v>
      </c>
      <c r="C505" t="s">
        <v>45</v>
      </c>
      <c r="D505" t="s">
        <v>46</v>
      </c>
      <c r="E505" t="s">
        <v>21</v>
      </c>
      <c r="F505" t="s">
        <v>31</v>
      </c>
      <c r="G505" t="s">
        <v>32</v>
      </c>
      <c r="H505">
        <v>68</v>
      </c>
      <c r="I505">
        <v>97</v>
      </c>
      <c r="J505">
        <v>37</v>
      </c>
      <c r="K505">
        <v>128</v>
      </c>
      <c r="L505">
        <v>82</v>
      </c>
      <c r="M505" s="2">
        <v>838.23</v>
      </c>
      <c r="N505">
        <v>7</v>
      </c>
      <c r="O505">
        <v>0</v>
      </c>
      <c r="P505" t="s">
        <v>33</v>
      </c>
      <c r="Q505" t="s">
        <v>34</v>
      </c>
      <c r="R505" t="s">
        <v>43</v>
      </c>
      <c r="S505" s="2">
        <f t="shared" si="7"/>
        <v>107293.44</v>
      </c>
    </row>
    <row r="506" spans="1:19" x14ac:dyDescent="0.3">
      <c r="A506" t="s">
        <v>567</v>
      </c>
      <c r="B506" s="1">
        <v>46234</v>
      </c>
      <c r="C506" t="s">
        <v>36</v>
      </c>
      <c r="D506" t="s">
        <v>29</v>
      </c>
      <c r="E506" t="s">
        <v>42</v>
      </c>
      <c r="F506" t="s">
        <v>31</v>
      </c>
      <c r="G506" t="s">
        <v>32</v>
      </c>
      <c r="H506">
        <v>127</v>
      </c>
      <c r="I506">
        <v>30</v>
      </c>
      <c r="J506">
        <v>33</v>
      </c>
      <c r="K506">
        <v>124</v>
      </c>
      <c r="L506">
        <v>83</v>
      </c>
      <c r="M506" s="2">
        <v>2608.29</v>
      </c>
      <c r="N506">
        <v>3</v>
      </c>
      <c r="O506">
        <v>0</v>
      </c>
      <c r="P506" t="s">
        <v>33</v>
      </c>
      <c r="Q506" t="s">
        <v>34</v>
      </c>
      <c r="R506" t="s">
        <v>59</v>
      </c>
      <c r="S506" s="2">
        <f t="shared" si="7"/>
        <v>323427.96000000002</v>
      </c>
    </row>
    <row r="507" spans="1:19" x14ac:dyDescent="0.3">
      <c r="A507" t="s">
        <v>568</v>
      </c>
      <c r="B507" s="1">
        <v>46260</v>
      </c>
      <c r="C507" t="s">
        <v>72</v>
      </c>
      <c r="D507" t="s">
        <v>50</v>
      </c>
      <c r="E507" t="s">
        <v>58</v>
      </c>
      <c r="F507" t="s">
        <v>22</v>
      </c>
      <c r="G507" t="s">
        <v>23</v>
      </c>
      <c r="H507">
        <v>93</v>
      </c>
      <c r="I507">
        <v>93</v>
      </c>
      <c r="J507">
        <v>108</v>
      </c>
      <c r="K507">
        <v>78</v>
      </c>
      <c r="L507">
        <v>98</v>
      </c>
      <c r="M507" s="2">
        <v>2131.83</v>
      </c>
      <c r="N507">
        <v>7</v>
      </c>
      <c r="O507">
        <v>2</v>
      </c>
      <c r="P507" t="s">
        <v>33</v>
      </c>
      <c r="Q507" t="s">
        <v>34</v>
      </c>
      <c r="R507" t="s">
        <v>26</v>
      </c>
      <c r="S507" s="2">
        <f t="shared" si="7"/>
        <v>166282.74</v>
      </c>
    </row>
    <row r="508" spans="1:19" x14ac:dyDescent="0.3">
      <c r="A508" t="s">
        <v>569</v>
      </c>
      <c r="B508" s="1">
        <v>46245</v>
      </c>
      <c r="C508" t="s">
        <v>55</v>
      </c>
      <c r="D508" t="s">
        <v>50</v>
      </c>
      <c r="E508" t="s">
        <v>21</v>
      </c>
      <c r="F508" t="s">
        <v>1582</v>
      </c>
      <c r="G508" t="s">
        <v>1583</v>
      </c>
      <c r="H508">
        <v>176</v>
      </c>
      <c r="I508">
        <v>49</v>
      </c>
      <c r="J508">
        <v>63</v>
      </c>
      <c r="K508">
        <v>162</v>
      </c>
      <c r="L508">
        <v>88</v>
      </c>
      <c r="M508" s="2">
        <v>1041.1199999999999</v>
      </c>
      <c r="N508">
        <v>5</v>
      </c>
      <c r="O508">
        <v>0</v>
      </c>
      <c r="P508" t="s">
        <v>33</v>
      </c>
      <c r="Q508" t="s">
        <v>34</v>
      </c>
      <c r="R508" t="s">
        <v>26</v>
      </c>
      <c r="S508" s="2">
        <f t="shared" si="7"/>
        <v>168661.43999999997</v>
      </c>
    </row>
    <row r="509" spans="1:19" x14ac:dyDescent="0.3">
      <c r="A509" t="s">
        <v>570</v>
      </c>
      <c r="B509" s="1">
        <v>46244</v>
      </c>
      <c r="C509" t="s">
        <v>89</v>
      </c>
      <c r="D509" t="s">
        <v>20</v>
      </c>
      <c r="E509" t="s">
        <v>58</v>
      </c>
      <c r="F509" t="s">
        <v>1582</v>
      </c>
      <c r="G509" t="s">
        <v>1583</v>
      </c>
      <c r="H509">
        <v>213</v>
      </c>
      <c r="I509">
        <v>60</v>
      </c>
      <c r="J509">
        <v>82</v>
      </c>
      <c r="K509">
        <v>191</v>
      </c>
      <c r="L509">
        <v>88</v>
      </c>
      <c r="M509" s="2">
        <v>1309.4100000000001</v>
      </c>
      <c r="N509">
        <v>2</v>
      </c>
      <c r="O509">
        <v>0</v>
      </c>
      <c r="P509" t="s">
        <v>33</v>
      </c>
      <c r="Q509" t="s">
        <v>34</v>
      </c>
      <c r="R509" t="s">
        <v>26</v>
      </c>
      <c r="S509" s="2">
        <f t="shared" si="7"/>
        <v>250097.31000000003</v>
      </c>
    </row>
    <row r="510" spans="1:19" x14ac:dyDescent="0.3">
      <c r="A510" t="s">
        <v>571</v>
      </c>
      <c r="B510" s="1">
        <v>46146</v>
      </c>
      <c r="C510" t="s">
        <v>52</v>
      </c>
      <c r="D510" t="s">
        <v>53</v>
      </c>
      <c r="E510" t="s">
        <v>21</v>
      </c>
      <c r="F510" t="s">
        <v>37</v>
      </c>
      <c r="G510" t="s">
        <v>38</v>
      </c>
      <c r="H510">
        <v>108</v>
      </c>
      <c r="I510">
        <v>122</v>
      </c>
      <c r="J510">
        <v>27</v>
      </c>
      <c r="K510">
        <v>203</v>
      </c>
      <c r="L510">
        <v>61</v>
      </c>
      <c r="M510" s="2">
        <v>670.06</v>
      </c>
      <c r="N510">
        <v>5</v>
      </c>
      <c r="O510">
        <v>0</v>
      </c>
      <c r="P510" t="s">
        <v>33</v>
      </c>
      <c r="Q510" t="s">
        <v>47</v>
      </c>
      <c r="R510" t="s">
        <v>26</v>
      </c>
      <c r="S510" s="2">
        <f t="shared" si="7"/>
        <v>136022.18</v>
      </c>
    </row>
    <row r="511" spans="1:19" x14ac:dyDescent="0.3">
      <c r="A511" t="s">
        <v>572</v>
      </c>
      <c r="B511" s="1">
        <v>46233</v>
      </c>
      <c r="C511" t="s">
        <v>87</v>
      </c>
      <c r="D511" t="s">
        <v>53</v>
      </c>
      <c r="E511" t="s">
        <v>30</v>
      </c>
      <c r="F511" t="s">
        <v>37</v>
      </c>
      <c r="G511" t="s">
        <v>38</v>
      </c>
      <c r="H511">
        <v>213</v>
      </c>
      <c r="I511">
        <v>108</v>
      </c>
      <c r="J511">
        <v>38</v>
      </c>
      <c r="K511">
        <v>283</v>
      </c>
      <c r="L511">
        <v>65</v>
      </c>
      <c r="M511" s="2">
        <v>454.29</v>
      </c>
      <c r="N511">
        <v>7</v>
      </c>
      <c r="O511">
        <v>0</v>
      </c>
      <c r="P511" t="s">
        <v>24</v>
      </c>
      <c r="Q511" t="s">
        <v>47</v>
      </c>
      <c r="R511" t="s">
        <v>26</v>
      </c>
      <c r="S511" s="2">
        <f t="shared" si="7"/>
        <v>128564.07</v>
      </c>
    </row>
    <row r="512" spans="1:19" x14ac:dyDescent="0.3">
      <c r="A512" t="s">
        <v>573</v>
      </c>
      <c r="B512" s="1">
        <v>46327</v>
      </c>
      <c r="C512" t="s">
        <v>19</v>
      </c>
      <c r="D512" t="s">
        <v>20</v>
      </c>
      <c r="E512" t="s">
        <v>58</v>
      </c>
      <c r="F512" t="s">
        <v>37</v>
      </c>
      <c r="G512" t="s">
        <v>38</v>
      </c>
      <c r="H512">
        <v>96</v>
      </c>
      <c r="I512">
        <v>112</v>
      </c>
      <c r="J512">
        <v>51</v>
      </c>
      <c r="K512">
        <v>157</v>
      </c>
      <c r="L512">
        <v>61</v>
      </c>
      <c r="M512" s="2">
        <v>1689.51</v>
      </c>
      <c r="N512">
        <v>2</v>
      </c>
      <c r="O512">
        <v>0</v>
      </c>
      <c r="P512" t="s">
        <v>33</v>
      </c>
      <c r="Q512" t="s">
        <v>47</v>
      </c>
      <c r="R512" t="s">
        <v>26</v>
      </c>
      <c r="S512" s="2">
        <f t="shared" si="7"/>
        <v>265253.07</v>
      </c>
    </row>
    <row r="513" spans="1:19" x14ac:dyDescent="0.3">
      <c r="A513" t="s">
        <v>574</v>
      </c>
      <c r="B513" s="1">
        <v>46079</v>
      </c>
      <c r="C513" t="s">
        <v>62</v>
      </c>
      <c r="D513" t="s">
        <v>29</v>
      </c>
      <c r="E513" t="s">
        <v>75</v>
      </c>
      <c r="F513" t="s">
        <v>31</v>
      </c>
      <c r="G513" t="s">
        <v>32</v>
      </c>
      <c r="H513">
        <v>194</v>
      </c>
      <c r="I513">
        <v>36</v>
      </c>
      <c r="J513">
        <v>63</v>
      </c>
      <c r="K513">
        <v>167</v>
      </c>
      <c r="L513">
        <v>87</v>
      </c>
      <c r="M513" s="2">
        <v>736.94</v>
      </c>
      <c r="N513">
        <v>7</v>
      </c>
      <c r="O513">
        <v>0</v>
      </c>
      <c r="P513" t="s">
        <v>33</v>
      </c>
      <c r="Q513" t="s">
        <v>34</v>
      </c>
      <c r="R513" t="s">
        <v>81</v>
      </c>
      <c r="S513" s="2">
        <f t="shared" si="7"/>
        <v>123068.98000000001</v>
      </c>
    </row>
    <row r="514" spans="1:19" x14ac:dyDescent="0.3">
      <c r="A514" t="s">
        <v>575</v>
      </c>
      <c r="B514" s="1">
        <v>46364</v>
      </c>
      <c r="C514" t="s">
        <v>83</v>
      </c>
      <c r="D514" t="s">
        <v>29</v>
      </c>
      <c r="E514" t="s">
        <v>21</v>
      </c>
      <c r="F514" t="s">
        <v>1582</v>
      </c>
      <c r="G514" t="s">
        <v>1583</v>
      </c>
      <c r="H514">
        <v>209</v>
      </c>
      <c r="I514">
        <v>29</v>
      </c>
      <c r="J514">
        <v>96</v>
      </c>
      <c r="K514">
        <v>142</v>
      </c>
      <c r="L514">
        <v>74</v>
      </c>
      <c r="M514" s="2">
        <v>1735.26</v>
      </c>
      <c r="N514">
        <v>4</v>
      </c>
      <c r="O514">
        <v>0</v>
      </c>
      <c r="P514" t="s">
        <v>33</v>
      </c>
      <c r="Q514" t="s">
        <v>34</v>
      </c>
      <c r="R514" t="s">
        <v>59</v>
      </c>
      <c r="S514" s="2">
        <f t="shared" ref="S514:S577" si="8">K514*M514</f>
        <v>246406.92</v>
      </c>
    </row>
    <row r="515" spans="1:19" x14ac:dyDescent="0.3">
      <c r="A515" t="s">
        <v>576</v>
      </c>
      <c r="B515" s="1">
        <v>46114</v>
      </c>
      <c r="C515" t="s">
        <v>45</v>
      </c>
      <c r="D515" t="s">
        <v>46</v>
      </c>
      <c r="E515" t="s">
        <v>42</v>
      </c>
      <c r="F515" t="s">
        <v>31</v>
      </c>
      <c r="G515" t="s">
        <v>32</v>
      </c>
      <c r="H515">
        <v>110</v>
      </c>
      <c r="I515">
        <v>119</v>
      </c>
      <c r="J515">
        <v>22</v>
      </c>
      <c r="K515">
        <v>207</v>
      </c>
      <c r="L515">
        <v>69</v>
      </c>
      <c r="M515" s="2">
        <v>782.17</v>
      </c>
      <c r="N515">
        <v>2</v>
      </c>
      <c r="O515">
        <v>0</v>
      </c>
      <c r="P515" t="s">
        <v>33</v>
      </c>
      <c r="Q515" t="s">
        <v>47</v>
      </c>
      <c r="R515" t="s">
        <v>43</v>
      </c>
      <c r="S515" s="2">
        <f t="shared" si="8"/>
        <v>161909.19</v>
      </c>
    </row>
    <row r="516" spans="1:19" x14ac:dyDescent="0.3">
      <c r="A516" t="s">
        <v>577</v>
      </c>
      <c r="B516" s="1">
        <v>46337</v>
      </c>
      <c r="C516" t="s">
        <v>57</v>
      </c>
      <c r="D516" t="s">
        <v>50</v>
      </c>
      <c r="E516" t="s">
        <v>58</v>
      </c>
      <c r="F516" t="s">
        <v>22</v>
      </c>
      <c r="G516" t="s">
        <v>23</v>
      </c>
      <c r="H516">
        <v>196</v>
      </c>
      <c r="I516">
        <v>70</v>
      </c>
      <c r="J516">
        <v>37</v>
      </c>
      <c r="K516">
        <v>229</v>
      </c>
      <c r="L516">
        <v>86</v>
      </c>
      <c r="M516" s="2">
        <v>2795.55</v>
      </c>
      <c r="N516">
        <v>3</v>
      </c>
      <c r="O516">
        <v>0</v>
      </c>
      <c r="P516" t="s">
        <v>33</v>
      </c>
      <c r="Q516" t="s">
        <v>47</v>
      </c>
      <c r="R516" t="s">
        <v>26</v>
      </c>
      <c r="S516" s="2">
        <f t="shared" si="8"/>
        <v>640180.95000000007</v>
      </c>
    </row>
    <row r="517" spans="1:19" x14ac:dyDescent="0.3">
      <c r="A517" t="s">
        <v>578</v>
      </c>
      <c r="B517" s="1">
        <v>46350</v>
      </c>
      <c r="C517" t="s">
        <v>40</v>
      </c>
      <c r="D517" t="s">
        <v>20</v>
      </c>
      <c r="E517" t="s">
        <v>21</v>
      </c>
      <c r="F517" t="s">
        <v>31</v>
      </c>
      <c r="G517" t="s">
        <v>32</v>
      </c>
      <c r="H517">
        <v>48</v>
      </c>
      <c r="I517">
        <v>29</v>
      </c>
      <c r="J517">
        <v>24</v>
      </c>
      <c r="K517">
        <v>53</v>
      </c>
      <c r="L517">
        <v>81</v>
      </c>
      <c r="M517" s="2">
        <v>940.96</v>
      </c>
      <c r="N517">
        <v>8</v>
      </c>
      <c r="O517">
        <v>8</v>
      </c>
      <c r="P517" t="s">
        <v>33</v>
      </c>
      <c r="Q517" t="s">
        <v>34</v>
      </c>
      <c r="R517" t="s">
        <v>26</v>
      </c>
      <c r="S517" s="2">
        <f t="shared" si="8"/>
        <v>49870.880000000005</v>
      </c>
    </row>
    <row r="518" spans="1:19" x14ac:dyDescent="0.3">
      <c r="A518" t="s">
        <v>579</v>
      </c>
      <c r="B518" s="1">
        <v>46267</v>
      </c>
      <c r="C518" t="s">
        <v>19</v>
      </c>
      <c r="D518" t="s">
        <v>20</v>
      </c>
      <c r="E518" t="s">
        <v>58</v>
      </c>
      <c r="F518" t="s">
        <v>37</v>
      </c>
      <c r="G518" t="s">
        <v>38</v>
      </c>
      <c r="H518">
        <v>78</v>
      </c>
      <c r="I518">
        <v>109</v>
      </c>
      <c r="J518">
        <v>57</v>
      </c>
      <c r="K518">
        <v>130</v>
      </c>
      <c r="L518">
        <v>70</v>
      </c>
      <c r="M518" s="2">
        <v>1826.87</v>
      </c>
      <c r="N518">
        <v>6</v>
      </c>
      <c r="O518">
        <v>0</v>
      </c>
      <c r="P518" t="s">
        <v>33</v>
      </c>
      <c r="Q518" t="s">
        <v>34</v>
      </c>
      <c r="R518" t="s">
        <v>59</v>
      </c>
      <c r="S518" s="2">
        <f t="shared" si="8"/>
        <v>237493.09999999998</v>
      </c>
    </row>
    <row r="519" spans="1:19" x14ac:dyDescent="0.3">
      <c r="A519" t="s">
        <v>580</v>
      </c>
      <c r="B519" s="1">
        <v>46178</v>
      </c>
      <c r="C519" t="s">
        <v>55</v>
      </c>
      <c r="D519" t="s">
        <v>50</v>
      </c>
      <c r="E519" t="s">
        <v>75</v>
      </c>
      <c r="F519" t="s">
        <v>22</v>
      </c>
      <c r="G519" t="s">
        <v>23</v>
      </c>
      <c r="H519">
        <v>40</v>
      </c>
      <c r="I519">
        <v>69</v>
      </c>
      <c r="J519">
        <v>103</v>
      </c>
      <c r="K519">
        <v>6</v>
      </c>
      <c r="L519">
        <v>97</v>
      </c>
      <c r="M519" s="2">
        <v>1055.97</v>
      </c>
      <c r="N519">
        <v>2</v>
      </c>
      <c r="O519">
        <v>6</v>
      </c>
      <c r="P519" t="s">
        <v>33</v>
      </c>
      <c r="Q519" t="s">
        <v>25</v>
      </c>
      <c r="R519" t="s">
        <v>26</v>
      </c>
      <c r="S519" s="2">
        <f t="shared" si="8"/>
        <v>6335.82</v>
      </c>
    </row>
    <row r="520" spans="1:19" x14ac:dyDescent="0.3">
      <c r="A520" t="s">
        <v>581</v>
      </c>
      <c r="B520" s="1">
        <v>46113</v>
      </c>
      <c r="C520" t="s">
        <v>57</v>
      </c>
      <c r="D520" t="s">
        <v>50</v>
      </c>
      <c r="E520" t="s">
        <v>75</v>
      </c>
      <c r="F520" t="s">
        <v>37</v>
      </c>
      <c r="G520" t="s">
        <v>38</v>
      </c>
      <c r="H520">
        <v>176</v>
      </c>
      <c r="I520">
        <v>129</v>
      </c>
      <c r="J520">
        <v>58</v>
      </c>
      <c r="K520">
        <v>247</v>
      </c>
      <c r="L520">
        <v>50</v>
      </c>
      <c r="M520" s="2">
        <v>2991.06</v>
      </c>
      <c r="N520">
        <v>8</v>
      </c>
      <c r="O520">
        <v>0</v>
      </c>
      <c r="P520" t="s">
        <v>33</v>
      </c>
      <c r="Q520" t="s">
        <v>47</v>
      </c>
      <c r="R520" t="s">
        <v>26</v>
      </c>
      <c r="S520" s="2">
        <f t="shared" si="8"/>
        <v>738791.82</v>
      </c>
    </row>
    <row r="521" spans="1:19" x14ac:dyDescent="0.3">
      <c r="A521" t="s">
        <v>582</v>
      </c>
      <c r="B521" s="1">
        <v>46247</v>
      </c>
      <c r="C521" t="s">
        <v>77</v>
      </c>
      <c r="D521" t="s">
        <v>53</v>
      </c>
      <c r="E521" t="s">
        <v>58</v>
      </c>
      <c r="F521" t="s">
        <v>22</v>
      </c>
      <c r="G521" t="s">
        <v>23</v>
      </c>
      <c r="H521">
        <v>116</v>
      </c>
      <c r="I521">
        <v>109</v>
      </c>
      <c r="J521">
        <v>64</v>
      </c>
      <c r="K521">
        <v>161</v>
      </c>
      <c r="L521">
        <v>51</v>
      </c>
      <c r="M521" s="2">
        <v>513.05999999999995</v>
      </c>
      <c r="N521">
        <v>4</v>
      </c>
      <c r="O521">
        <v>0</v>
      </c>
      <c r="P521" t="s">
        <v>33</v>
      </c>
      <c r="Q521" t="s">
        <v>47</v>
      </c>
      <c r="R521" t="s">
        <v>43</v>
      </c>
      <c r="S521" s="2">
        <f t="shared" si="8"/>
        <v>82602.659999999989</v>
      </c>
    </row>
    <row r="522" spans="1:19" x14ac:dyDescent="0.3">
      <c r="A522" t="s">
        <v>583</v>
      </c>
      <c r="B522" s="1">
        <v>46278</v>
      </c>
      <c r="C522" t="s">
        <v>28</v>
      </c>
      <c r="D522" t="s">
        <v>29</v>
      </c>
      <c r="E522" t="s">
        <v>75</v>
      </c>
      <c r="F522" t="s">
        <v>22</v>
      </c>
      <c r="G522" t="s">
        <v>23</v>
      </c>
      <c r="H522">
        <v>46</v>
      </c>
      <c r="I522">
        <v>112</v>
      </c>
      <c r="J522">
        <v>90</v>
      </c>
      <c r="K522">
        <v>68</v>
      </c>
      <c r="L522">
        <v>60</v>
      </c>
      <c r="M522" s="2">
        <v>1297.2</v>
      </c>
      <c r="N522">
        <v>2</v>
      </c>
      <c r="O522">
        <v>0</v>
      </c>
      <c r="P522" t="s">
        <v>33</v>
      </c>
      <c r="Q522" t="s">
        <v>34</v>
      </c>
      <c r="R522" t="s">
        <v>26</v>
      </c>
      <c r="S522" s="2">
        <f t="shared" si="8"/>
        <v>88209.600000000006</v>
      </c>
    </row>
    <row r="523" spans="1:19" x14ac:dyDescent="0.3">
      <c r="A523" t="s">
        <v>584</v>
      </c>
      <c r="B523" s="1">
        <v>46297</v>
      </c>
      <c r="C523" t="s">
        <v>68</v>
      </c>
      <c r="D523" t="s">
        <v>53</v>
      </c>
      <c r="E523" t="s">
        <v>75</v>
      </c>
      <c r="F523" t="s">
        <v>31</v>
      </c>
      <c r="G523" t="s">
        <v>32</v>
      </c>
      <c r="H523">
        <v>126</v>
      </c>
      <c r="I523">
        <v>27</v>
      </c>
      <c r="J523">
        <v>58</v>
      </c>
      <c r="K523">
        <v>95</v>
      </c>
      <c r="L523">
        <v>95</v>
      </c>
      <c r="M523" s="2">
        <v>626.52</v>
      </c>
      <c r="N523">
        <v>5</v>
      </c>
      <c r="O523">
        <v>8</v>
      </c>
      <c r="P523" t="s">
        <v>24</v>
      </c>
      <c r="Q523" t="s">
        <v>34</v>
      </c>
      <c r="R523" t="s">
        <v>81</v>
      </c>
      <c r="S523" s="2">
        <f t="shared" si="8"/>
        <v>59519.4</v>
      </c>
    </row>
    <row r="524" spans="1:19" x14ac:dyDescent="0.3">
      <c r="A524" t="s">
        <v>585</v>
      </c>
      <c r="B524" s="1">
        <v>46089</v>
      </c>
      <c r="C524" t="s">
        <v>28</v>
      </c>
      <c r="D524" t="s">
        <v>29</v>
      </c>
      <c r="E524" t="s">
        <v>75</v>
      </c>
      <c r="F524" t="s">
        <v>31</v>
      </c>
      <c r="G524" t="s">
        <v>32</v>
      </c>
      <c r="H524">
        <v>76</v>
      </c>
      <c r="I524">
        <v>82</v>
      </c>
      <c r="J524">
        <v>98</v>
      </c>
      <c r="K524">
        <v>60</v>
      </c>
      <c r="L524">
        <v>46</v>
      </c>
      <c r="M524" s="2">
        <v>1292.52</v>
      </c>
      <c r="N524">
        <v>6</v>
      </c>
      <c r="O524">
        <v>0</v>
      </c>
      <c r="P524" t="s">
        <v>24</v>
      </c>
      <c r="Q524" t="s">
        <v>34</v>
      </c>
      <c r="R524" t="s">
        <v>59</v>
      </c>
      <c r="S524" s="2">
        <f t="shared" si="8"/>
        <v>77551.199999999997</v>
      </c>
    </row>
    <row r="525" spans="1:19" x14ac:dyDescent="0.3">
      <c r="A525" t="s">
        <v>586</v>
      </c>
      <c r="B525" s="1">
        <v>46327</v>
      </c>
      <c r="C525" t="s">
        <v>98</v>
      </c>
      <c r="D525" t="s">
        <v>20</v>
      </c>
      <c r="E525" t="s">
        <v>75</v>
      </c>
      <c r="F525" t="s">
        <v>37</v>
      </c>
      <c r="G525" t="s">
        <v>38</v>
      </c>
      <c r="H525">
        <v>64</v>
      </c>
      <c r="I525">
        <v>78</v>
      </c>
      <c r="J525">
        <v>93</v>
      </c>
      <c r="K525">
        <v>49</v>
      </c>
      <c r="L525">
        <v>55</v>
      </c>
      <c r="M525" s="2">
        <v>1493.9</v>
      </c>
      <c r="N525">
        <v>2</v>
      </c>
      <c r="O525">
        <v>2</v>
      </c>
      <c r="P525" t="s">
        <v>33</v>
      </c>
      <c r="Q525" t="s">
        <v>34</v>
      </c>
      <c r="R525" t="s">
        <v>26</v>
      </c>
      <c r="S525" s="2">
        <f t="shared" si="8"/>
        <v>73201.100000000006</v>
      </c>
    </row>
    <row r="526" spans="1:19" x14ac:dyDescent="0.3">
      <c r="A526" t="s">
        <v>587</v>
      </c>
      <c r="B526" s="1">
        <v>46093</v>
      </c>
      <c r="C526" t="s">
        <v>87</v>
      </c>
      <c r="D526" t="s">
        <v>53</v>
      </c>
      <c r="E526" t="s">
        <v>75</v>
      </c>
      <c r="F526" t="s">
        <v>22</v>
      </c>
      <c r="G526" t="s">
        <v>23</v>
      </c>
      <c r="H526">
        <v>149</v>
      </c>
      <c r="I526">
        <v>63</v>
      </c>
      <c r="J526">
        <v>109</v>
      </c>
      <c r="K526">
        <v>103</v>
      </c>
      <c r="L526">
        <v>88</v>
      </c>
      <c r="M526" s="2">
        <v>441.18</v>
      </c>
      <c r="N526">
        <v>2</v>
      </c>
      <c r="O526">
        <v>0</v>
      </c>
      <c r="P526" t="s">
        <v>33</v>
      </c>
      <c r="Q526" t="s">
        <v>34</v>
      </c>
      <c r="R526" t="s">
        <v>26</v>
      </c>
      <c r="S526" s="2">
        <f t="shared" si="8"/>
        <v>45441.54</v>
      </c>
    </row>
    <row r="527" spans="1:19" x14ac:dyDescent="0.3">
      <c r="A527" t="s">
        <v>588</v>
      </c>
      <c r="B527" s="1">
        <v>46107</v>
      </c>
      <c r="C527" t="s">
        <v>80</v>
      </c>
      <c r="D527" t="s">
        <v>46</v>
      </c>
      <c r="E527" t="s">
        <v>75</v>
      </c>
      <c r="F527" t="s">
        <v>22</v>
      </c>
      <c r="G527" t="s">
        <v>23</v>
      </c>
      <c r="H527">
        <v>125</v>
      </c>
      <c r="I527">
        <v>28</v>
      </c>
      <c r="J527">
        <v>30</v>
      </c>
      <c r="K527">
        <v>123</v>
      </c>
      <c r="L527">
        <v>62</v>
      </c>
      <c r="M527" s="2">
        <v>1021.07</v>
      </c>
      <c r="N527">
        <v>5</v>
      </c>
      <c r="O527">
        <v>0</v>
      </c>
      <c r="P527" t="s">
        <v>24</v>
      </c>
      <c r="Q527" t="s">
        <v>34</v>
      </c>
      <c r="R527" t="s">
        <v>26</v>
      </c>
      <c r="S527" s="2">
        <f t="shared" si="8"/>
        <v>125591.61</v>
      </c>
    </row>
    <row r="528" spans="1:19" x14ac:dyDescent="0.3">
      <c r="A528" t="s">
        <v>589</v>
      </c>
      <c r="B528" s="1">
        <v>46026</v>
      </c>
      <c r="C528" t="s">
        <v>72</v>
      </c>
      <c r="D528" t="s">
        <v>50</v>
      </c>
      <c r="E528" t="s">
        <v>30</v>
      </c>
      <c r="F528" t="s">
        <v>31</v>
      </c>
      <c r="G528" t="s">
        <v>32</v>
      </c>
      <c r="H528">
        <v>74</v>
      </c>
      <c r="I528">
        <v>32</v>
      </c>
      <c r="J528">
        <v>95</v>
      </c>
      <c r="K528">
        <v>11</v>
      </c>
      <c r="L528">
        <v>84</v>
      </c>
      <c r="M528" s="2">
        <v>2145.5</v>
      </c>
      <c r="N528">
        <v>3</v>
      </c>
      <c r="O528">
        <v>8</v>
      </c>
      <c r="P528" t="s">
        <v>24</v>
      </c>
      <c r="Q528" t="s">
        <v>25</v>
      </c>
      <c r="R528" t="s">
        <v>26</v>
      </c>
      <c r="S528" s="2">
        <f t="shared" si="8"/>
        <v>23600.5</v>
      </c>
    </row>
    <row r="529" spans="1:19" x14ac:dyDescent="0.3">
      <c r="A529" t="s">
        <v>590</v>
      </c>
      <c r="B529" s="1">
        <v>46233</v>
      </c>
      <c r="C529" t="s">
        <v>62</v>
      </c>
      <c r="D529" t="s">
        <v>29</v>
      </c>
      <c r="E529" t="s">
        <v>30</v>
      </c>
      <c r="F529" t="s">
        <v>37</v>
      </c>
      <c r="G529" t="s">
        <v>38</v>
      </c>
      <c r="H529">
        <v>146</v>
      </c>
      <c r="I529">
        <v>108</v>
      </c>
      <c r="J529">
        <v>75</v>
      </c>
      <c r="K529">
        <v>179</v>
      </c>
      <c r="L529">
        <v>89</v>
      </c>
      <c r="M529" s="2">
        <v>647.76</v>
      </c>
      <c r="N529">
        <v>3</v>
      </c>
      <c r="O529">
        <v>0</v>
      </c>
      <c r="P529" t="s">
        <v>33</v>
      </c>
      <c r="Q529" t="s">
        <v>34</v>
      </c>
      <c r="R529" t="s">
        <v>26</v>
      </c>
      <c r="S529" s="2">
        <f t="shared" si="8"/>
        <v>115949.04</v>
      </c>
    </row>
    <row r="530" spans="1:19" x14ac:dyDescent="0.3">
      <c r="A530" t="s">
        <v>591</v>
      </c>
      <c r="B530" s="1">
        <v>46201</v>
      </c>
      <c r="C530" t="s">
        <v>28</v>
      </c>
      <c r="D530" t="s">
        <v>29</v>
      </c>
      <c r="E530" t="s">
        <v>30</v>
      </c>
      <c r="F530" t="s">
        <v>31</v>
      </c>
      <c r="G530" t="s">
        <v>32</v>
      </c>
      <c r="H530">
        <v>192</v>
      </c>
      <c r="I530">
        <v>43</v>
      </c>
      <c r="J530">
        <v>106</v>
      </c>
      <c r="K530">
        <v>129</v>
      </c>
      <c r="L530">
        <v>76</v>
      </c>
      <c r="M530" s="2">
        <v>1329.13</v>
      </c>
      <c r="N530">
        <v>2</v>
      </c>
      <c r="O530">
        <v>0</v>
      </c>
      <c r="P530" t="s">
        <v>33</v>
      </c>
      <c r="Q530" t="s">
        <v>34</v>
      </c>
      <c r="R530" t="s">
        <v>59</v>
      </c>
      <c r="S530" s="2">
        <f t="shared" si="8"/>
        <v>171457.77000000002</v>
      </c>
    </row>
    <row r="531" spans="1:19" x14ac:dyDescent="0.3">
      <c r="A531" t="s">
        <v>592</v>
      </c>
      <c r="B531" s="1">
        <v>46343</v>
      </c>
      <c r="C531" t="s">
        <v>57</v>
      </c>
      <c r="D531" t="s">
        <v>50</v>
      </c>
      <c r="E531" t="s">
        <v>30</v>
      </c>
      <c r="F531" t="s">
        <v>22</v>
      </c>
      <c r="G531" t="s">
        <v>23</v>
      </c>
      <c r="H531">
        <v>89</v>
      </c>
      <c r="I531">
        <v>35</v>
      </c>
      <c r="J531">
        <v>82</v>
      </c>
      <c r="K531">
        <v>42</v>
      </c>
      <c r="L531">
        <v>51</v>
      </c>
      <c r="M531" s="2">
        <v>2866.6</v>
      </c>
      <c r="N531">
        <v>8</v>
      </c>
      <c r="O531">
        <v>4</v>
      </c>
      <c r="P531" t="s">
        <v>33</v>
      </c>
      <c r="Q531" t="s">
        <v>34</v>
      </c>
      <c r="R531" t="s">
        <v>26</v>
      </c>
      <c r="S531" s="2">
        <f t="shared" si="8"/>
        <v>120397.2</v>
      </c>
    </row>
    <row r="532" spans="1:19" x14ac:dyDescent="0.3">
      <c r="A532" t="s">
        <v>593</v>
      </c>
      <c r="B532" s="1">
        <v>46045</v>
      </c>
      <c r="C532" t="s">
        <v>83</v>
      </c>
      <c r="D532" t="s">
        <v>29</v>
      </c>
      <c r="E532" t="s">
        <v>75</v>
      </c>
      <c r="F532" t="s">
        <v>22</v>
      </c>
      <c r="G532" t="s">
        <v>23</v>
      </c>
      <c r="H532">
        <v>68</v>
      </c>
      <c r="I532">
        <v>121</v>
      </c>
      <c r="J532">
        <v>34</v>
      </c>
      <c r="K532">
        <v>155</v>
      </c>
      <c r="L532">
        <v>88</v>
      </c>
      <c r="M532" s="2">
        <v>1710.01</v>
      </c>
      <c r="N532">
        <v>5</v>
      </c>
      <c r="O532">
        <v>0</v>
      </c>
      <c r="P532" t="s">
        <v>33</v>
      </c>
      <c r="Q532" t="s">
        <v>34</v>
      </c>
      <c r="R532" t="s">
        <v>26</v>
      </c>
      <c r="S532" s="2">
        <f t="shared" si="8"/>
        <v>265051.55</v>
      </c>
    </row>
    <row r="533" spans="1:19" x14ac:dyDescent="0.3">
      <c r="A533" t="s">
        <v>594</v>
      </c>
      <c r="B533" s="1">
        <v>46049</v>
      </c>
      <c r="C533" t="s">
        <v>89</v>
      </c>
      <c r="D533" t="s">
        <v>20</v>
      </c>
      <c r="E533" t="s">
        <v>21</v>
      </c>
      <c r="F533" t="s">
        <v>22</v>
      </c>
      <c r="G533" t="s">
        <v>23</v>
      </c>
      <c r="H533">
        <v>151</v>
      </c>
      <c r="I533">
        <v>52</v>
      </c>
      <c r="J533">
        <v>57</v>
      </c>
      <c r="K533">
        <v>146</v>
      </c>
      <c r="L533">
        <v>84</v>
      </c>
      <c r="M533" s="2">
        <v>1273.24</v>
      </c>
      <c r="N533">
        <v>8</v>
      </c>
      <c r="O533">
        <v>0</v>
      </c>
      <c r="P533" t="s">
        <v>33</v>
      </c>
      <c r="Q533" t="s">
        <v>34</v>
      </c>
      <c r="R533" t="s">
        <v>26</v>
      </c>
      <c r="S533" s="2">
        <f t="shared" si="8"/>
        <v>185893.04</v>
      </c>
    </row>
    <row r="534" spans="1:19" x14ac:dyDescent="0.3">
      <c r="A534" t="s">
        <v>595</v>
      </c>
      <c r="B534" s="1">
        <v>46237</v>
      </c>
      <c r="C534" t="s">
        <v>87</v>
      </c>
      <c r="D534" t="s">
        <v>53</v>
      </c>
      <c r="E534" t="s">
        <v>42</v>
      </c>
      <c r="F534" t="s">
        <v>31</v>
      </c>
      <c r="G534" t="s">
        <v>32</v>
      </c>
      <c r="H534">
        <v>164</v>
      </c>
      <c r="I534">
        <v>85</v>
      </c>
      <c r="J534">
        <v>29</v>
      </c>
      <c r="K534">
        <v>220</v>
      </c>
      <c r="L534">
        <v>49</v>
      </c>
      <c r="M534" s="2">
        <v>485.56</v>
      </c>
      <c r="N534">
        <v>7</v>
      </c>
      <c r="O534">
        <v>0</v>
      </c>
      <c r="P534" t="s">
        <v>33</v>
      </c>
      <c r="Q534" t="s">
        <v>47</v>
      </c>
      <c r="R534" t="s">
        <v>26</v>
      </c>
      <c r="S534" s="2">
        <f t="shared" si="8"/>
        <v>106823.2</v>
      </c>
    </row>
    <row r="535" spans="1:19" x14ac:dyDescent="0.3">
      <c r="A535" t="s">
        <v>596</v>
      </c>
      <c r="B535" s="1">
        <v>46060</v>
      </c>
      <c r="C535" t="s">
        <v>83</v>
      </c>
      <c r="D535" t="s">
        <v>29</v>
      </c>
      <c r="E535" t="s">
        <v>42</v>
      </c>
      <c r="F535" t="s">
        <v>31</v>
      </c>
      <c r="G535" t="s">
        <v>32</v>
      </c>
      <c r="H535">
        <v>123</v>
      </c>
      <c r="I535">
        <v>49</v>
      </c>
      <c r="J535">
        <v>27</v>
      </c>
      <c r="K535">
        <v>145</v>
      </c>
      <c r="L535">
        <v>60</v>
      </c>
      <c r="M535" s="2">
        <v>1676.08</v>
      </c>
      <c r="N535">
        <v>8</v>
      </c>
      <c r="O535">
        <v>0</v>
      </c>
      <c r="P535" t="s">
        <v>33</v>
      </c>
      <c r="Q535" t="s">
        <v>47</v>
      </c>
      <c r="R535" t="s">
        <v>43</v>
      </c>
      <c r="S535" s="2">
        <f t="shared" si="8"/>
        <v>243031.59999999998</v>
      </c>
    </row>
    <row r="536" spans="1:19" x14ac:dyDescent="0.3">
      <c r="A536" t="s">
        <v>597</v>
      </c>
      <c r="B536" s="1">
        <v>46161</v>
      </c>
      <c r="C536" t="s">
        <v>55</v>
      </c>
      <c r="D536" t="s">
        <v>50</v>
      </c>
      <c r="E536" t="s">
        <v>75</v>
      </c>
      <c r="F536" t="s">
        <v>1582</v>
      </c>
      <c r="G536" t="s">
        <v>1583</v>
      </c>
      <c r="H536">
        <v>77</v>
      </c>
      <c r="I536">
        <v>47</v>
      </c>
      <c r="J536">
        <v>93</v>
      </c>
      <c r="K536">
        <v>31</v>
      </c>
      <c r="L536">
        <v>74</v>
      </c>
      <c r="M536" s="2">
        <v>935.61</v>
      </c>
      <c r="N536">
        <v>4</v>
      </c>
      <c r="O536">
        <v>4</v>
      </c>
      <c r="P536" t="s">
        <v>24</v>
      </c>
      <c r="Q536" t="s">
        <v>25</v>
      </c>
      <c r="R536" t="s">
        <v>26</v>
      </c>
      <c r="S536" s="2">
        <f t="shared" si="8"/>
        <v>29003.91</v>
      </c>
    </row>
    <row r="537" spans="1:19" x14ac:dyDescent="0.3">
      <c r="A537" t="s">
        <v>598</v>
      </c>
      <c r="B537" s="1">
        <v>46198</v>
      </c>
      <c r="C537" t="s">
        <v>83</v>
      </c>
      <c r="D537" t="s">
        <v>29</v>
      </c>
      <c r="E537" t="s">
        <v>42</v>
      </c>
      <c r="F537" t="s">
        <v>31</v>
      </c>
      <c r="G537" t="s">
        <v>32</v>
      </c>
      <c r="H537">
        <v>217</v>
      </c>
      <c r="I537">
        <v>92</v>
      </c>
      <c r="J537">
        <v>22</v>
      </c>
      <c r="K537">
        <v>287</v>
      </c>
      <c r="L537">
        <v>62</v>
      </c>
      <c r="M537" s="2">
        <v>1483.68</v>
      </c>
      <c r="N537">
        <v>8</v>
      </c>
      <c r="O537">
        <v>0</v>
      </c>
      <c r="P537" t="s">
        <v>33</v>
      </c>
      <c r="Q537" t="s">
        <v>47</v>
      </c>
      <c r="R537" t="s">
        <v>26</v>
      </c>
      <c r="S537" s="2">
        <f t="shared" si="8"/>
        <v>425816.16000000003</v>
      </c>
    </row>
    <row r="538" spans="1:19" x14ac:dyDescent="0.3">
      <c r="A538" t="s">
        <v>599</v>
      </c>
      <c r="B538" s="1">
        <v>46290</v>
      </c>
      <c r="C538" t="s">
        <v>83</v>
      </c>
      <c r="D538" t="s">
        <v>29</v>
      </c>
      <c r="E538" t="s">
        <v>30</v>
      </c>
      <c r="F538" t="s">
        <v>22</v>
      </c>
      <c r="G538" t="s">
        <v>23</v>
      </c>
      <c r="H538">
        <v>203</v>
      </c>
      <c r="I538">
        <v>98</v>
      </c>
      <c r="J538">
        <v>36</v>
      </c>
      <c r="K538">
        <v>265</v>
      </c>
      <c r="L538">
        <v>81</v>
      </c>
      <c r="M538" s="2">
        <v>1750.44</v>
      </c>
      <c r="N538">
        <v>8</v>
      </c>
      <c r="O538">
        <v>0</v>
      </c>
      <c r="P538" t="s">
        <v>33</v>
      </c>
      <c r="Q538" t="s">
        <v>47</v>
      </c>
      <c r="R538" t="s">
        <v>26</v>
      </c>
      <c r="S538" s="2">
        <f t="shared" si="8"/>
        <v>463866.60000000003</v>
      </c>
    </row>
    <row r="539" spans="1:19" x14ac:dyDescent="0.3">
      <c r="A539" t="s">
        <v>600</v>
      </c>
      <c r="B539" s="1">
        <v>46319</v>
      </c>
      <c r="C539" t="s">
        <v>72</v>
      </c>
      <c r="D539" t="s">
        <v>50</v>
      </c>
      <c r="E539" t="s">
        <v>30</v>
      </c>
      <c r="F539" t="s">
        <v>1582</v>
      </c>
      <c r="G539" t="s">
        <v>1583</v>
      </c>
      <c r="H539">
        <v>158</v>
      </c>
      <c r="I539">
        <v>55</v>
      </c>
      <c r="J539">
        <v>16</v>
      </c>
      <c r="K539">
        <v>197</v>
      </c>
      <c r="L539">
        <v>91</v>
      </c>
      <c r="M539" s="2">
        <v>2168.37</v>
      </c>
      <c r="N539">
        <v>8</v>
      </c>
      <c r="O539">
        <v>0</v>
      </c>
      <c r="P539" t="s">
        <v>33</v>
      </c>
      <c r="Q539" t="s">
        <v>34</v>
      </c>
      <c r="R539" t="s">
        <v>26</v>
      </c>
      <c r="S539" s="2">
        <f t="shared" si="8"/>
        <v>427168.88999999996</v>
      </c>
    </row>
    <row r="540" spans="1:19" x14ac:dyDescent="0.3">
      <c r="A540" t="s">
        <v>601</v>
      </c>
      <c r="B540" s="1">
        <v>46268</v>
      </c>
      <c r="C540" t="s">
        <v>28</v>
      </c>
      <c r="D540" t="s">
        <v>29</v>
      </c>
      <c r="E540" t="s">
        <v>30</v>
      </c>
      <c r="F540" t="s">
        <v>31</v>
      </c>
      <c r="G540" t="s">
        <v>32</v>
      </c>
      <c r="H540">
        <v>146</v>
      </c>
      <c r="I540">
        <v>25</v>
      </c>
      <c r="J540">
        <v>20</v>
      </c>
      <c r="K540">
        <v>151</v>
      </c>
      <c r="L540">
        <v>75</v>
      </c>
      <c r="M540" s="2">
        <v>1360.7</v>
      </c>
      <c r="N540">
        <v>6</v>
      </c>
      <c r="O540">
        <v>0</v>
      </c>
      <c r="P540" t="s">
        <v>24</v>
      </c>
      <c r="Q540" t="s">
        <v>34</v>
      </c>
      <c r="R540" t="s">
        <v>26</v>
      </c>
      <c r="S540" s="2">
        <f t="shared" si="8"/>
        <v>205465.7</v>
      </c>
    </row>
    <row r="541" spans="1:19" x14ac:dyDescent="0.3">
      <c r="A541" t="s">
        <v>602</v>
      </c>
      <c r="B541" s="1">
        <v>46354</v>
      </c>
      <c r="C541" t="s">
        <v>40</v>
      </c>
      <c r="D541" t="s">
        <v>20</v>
      </c>
      <c r="E541" t="s">
        <v>58</v>
      </c>
      <c r="F541" t="s">
        <v>22</v>
      </c>
      <c r="G541" t="s">
        <v>23</v>
      </c>
      <c r="H541">
        <v>61</v>
      </c>
      <c r="I541">
        <v>91</v>
      </c>
      <c r="J541">
        <v>16</v>
      </c>
      <c r="K541">
        <v>136</v>
      </c>
      <c r="L541">
        <v>89</v>
      </c>
      <c r="M541" s="2">
        <v>941.72</v>
      </c>
      <c r="N541">
        <v>3</v>
      </c>
      <c r="O541">
        <v>0</v>
      </c>
      <c r="P541" t="s">
        <v>24</v>
      </c>
      <c r="Q541" t="s">
        <v>34</v>
      </c>
      <c r="R541" t="s">
        <v>26</v>
      </c>
      <c r="S541" s="2">
        <f t="shared" si="8"/>
        <v>128073.92</v>
      </c>
    </row>
    <row r="542" spans="1:19" x14ac:dyDescent="0.3">
      <c r="A542" t="s">
        <v>603</v>
      </c>
      <c r="B542" s="1">
        <v>46093</v>
      </c>
      <c r="C542" t="s">
        <v>19</v>
      </c>
      <c r="D542" t="s">
        <v>20</v>
      </c>
      <c r="E542" t="s">
        <v>58</v>
      </c>
      <c r="F542" t="s">
        <v>37</v>
      </c>
      <c r="G542" t="s">
        <v>38</v>
      </c>
      <c r="H542">
        <v>81</v>
      </c>
      <c r="I542">
        <v>110</v>
      </c>
      <c r="J542">
        <v>73</v>
      </c>
      <c r="K542">
        <v>118</v>
      </c>
      <c r="L542">
        <v>99</v>
      </c>
      <c r="M542" s="2">
        <v>1825.34</v>
      </c>
      <c r="N542">
        <v>6</v>
      </c>
      <c r="O542">
        <v>0</v>
      </c>
      <c r="P542" t="s">
        <v>24</v>
      </c>
      <c r="Q542" t="s">
        <v>34</v>
      </c>
      <c r="R542" t="s">
        <v>26</v>
      </c>
      <c r="S542" s="2">
        <f t="shared" si="8"/>
        <v>215390.12</v>
      </c>
    </row>
    <row r="543" spans="1:19" x14ac:dyDescent="0.3">
      <c r="A543" t="s">
        <v>604</v>
      </c>
      <c r="B543" s="1">
        <v>46039</v>
      </c>
      <c r="C543" t="s">
        <v>72</v>
      </c>
      <c r="D543" t="s">
        <v>50</v>
      </c>
      <c r="E543" t="s">
        <v>21</v>
      </c>
      <c r="F543" t="s">
        <v>1582</v>
      </c>
      <c r="G543" t="s">
        <v>1583</v>
      </c>
      <c r="H543">
        <v>220</v>
      </c>
      <c r="I543">
        <v>101</v>
      </c>
      <c r="J543">
        <v>15</v>
      </c>
      <c r="K543">
        <v>306</v>
      </c>
      <c r="L543">
        <v>100</v>
      </c>
      <c r="M543" s="2">
        <v>2256.0100000000002</v>
      </c>
      <c r="N543">
        <v>5</v>
      </c>
      <c r="O543">
        <v>0</v>
      </c>
      <c r="P543" t="s">
        <v>33</v>
      </c>
      <c r="Q543" t="s">
        <v>47</v>
      </c>
      <c r="R543" t="s">
        <v>26</v>
      </c>
      <c r="S543" s="2">
        <f t="shared" si="8"/>
        <v>690339.06</v>
      </c>
    </row>
    <row r="544" spans="1:19" x14ac:dyDescent="0.3">
      <c r="A544" t="s">
        <v>605</v>
      </c>
      <c r="B544" s="1">
        <v>46209</v>
      </c>
      <c r="C544" t="s">
        <v>146</v>
      </c>
      <c r="D544" t="s">
        <v>46</v>
      </c>
      <c r="E544" t="s">
        <v>21</v>
      </c>
      <c r="F544" t="s">
        <v>22</v>
      </c>
      <c r="G544" t="s">
        <v>23</v>
      </c>
      <c r="H544">
        <v>215</v>
      </c>
      <c r="I544">
        <v>30</v>
      </c>
      <c r="J544">
        <v>94</v>
      </c>
      <c r="K544">
        <v>151</v>
      </c>
      <c r="L544">
        <v>66</v>
      </c>
      <c r="M544" s="2">
        <v>1570.73</v>
      </c>
      <c r="N544">
        <v>2</v>
      </c>
      <c r="O544">
        <v>0</v>
      </c>
      <c r="P544" t="s">
        <v>33</v>
      </c>
      <c r="Q544" t="s">
        <v>47</v>
      </c>
      <c r="R544" t="s">
        <v>43</v>
      </c>
      <c r="S544" s="2">
        <f t="shared" si="8"/>
        <v>237180.23</v>
      </c>
    </row>
    <row r="545" spans="1:19" x14ac:dyDescent="0.3">
      <c r="A545" t="s">
        <v>606</v>
      </c>
      <c r="B545" s="1">
        <v>46386</v>
      </c>
      <c r="C545" t="s">
        <v>19</v>
      </c>
      <c r="D545" t="s">
        <v>20</v>
      </c>
      <c r="E545" t="s">
        <v>58</v>
      </c>
      <c r="F545" t="s">
        <v>37</v>
      </c>
      <c r="G545" t="s">
        <v>38</v>
      </c>
      <c r="H545">
        <v>159</v>
      </c>
      <c r="I545">
        <v>99</v>
      </c>
      <c r="J545">
        <v>20</v>
      </c>
      <c r="K545">
        <v>238</v>
      </c>
      <c r="L545">
        <v>68</v>
      </c>
      <c r="M545" s="2">
        <v>1751.92</v>
      </c>
      <c r="N545">
        <v>7</v>
      </c>
      <c r="O545">
        <v>0</v>
      </c>
      <c r="P545" t="s">
        <v>33</v>
      </c>
      <c r="Q545" t="s">
        <v>47</v>
      </c>
      <c r="R545" t="s">
        <v>26</v>
      </c>
      <c r="S545" s="2">
        <f t="shared" si="8"/>
        <v>416956.96</v>
      </c>
    </row>
    <row r="546" spans="1:19" x14ac:dyDescent="0.3">
      <c r="A546" t="s">
        <v>607</v>
      </c>
      <c r="B546" s="1">
        <v>46138</v>
      </c>
      <c r="C546" t="s">
        <v>28</v>
      </c>
      <c r="D546" t="s">
        <v>29</v>
      </c>
      <c r="E546" t="s">
        <v>21</v>
      </c>
      <c r="F546" t="s">
        <v>22</v>
      </c>
      <c r="G546" t="s">
        <v>23</v>
      </c>
      <c r="H546">
        <v>178</v>
      </c>
      <c r="I546">
        <v>34</v>
      </c>
      <c r="J546">
        <v>98</v>
      </c>
      <c r="K546">
        <v>114</v>
      </c>
      <c r="L546">
        <v>75</v>
      </c>
      <c r="M546" s="2">
        <v>1361.72</v>
      </c>
      <c r="N546">
        <v>12</v>
      </c>
      <c r="O546">
        <v>0</v>
      </c>
      <c r="P546" t="s">
        <v>33</v>
      </c>
      <c r="Q546" t="s">
        <v>34</v>
      </c>
      <c r="R546" t="s">
        <v>59</v>
      </c>
      <c r="S546" s="2">
        <f t="shared" si="8"/>
        <v>155236.08000000002</v>
      </c>
    </row>
    <row r="547" spans="1:19" x14ac:dyDescent="0.3">
      <c r="A547" t="s">
        <v>608</v>
      </c>
      <c r="B547" s="1">
        <v>46263</v>
      </c>
      <c r="C547" t="s">
        <v>45</v>
      </c>
      <c r="D547" t="s">
        <v>46</v>
      </c>
      <c r="E547" t="s">
        <v>21</v>
      </c>
      <c r="F547" t="s">
        <v>1582</v>
      </c>
      <c r="G547" t="s">
        <v>1583</v>
      </c>
      <c r="H547">
        <v>110</v>
      </c>
      <c r="I547">
        <v>26</v>
      </c>
      <c r="J547">
        <v>23</v>
      </c>
      <c r="K547">
        <v>113</v>
      </c>
      <c r="L547">
        <v>68</v>
      </c>
      <c r="M547" s="2">
        <v>775.24</v>
      </c>
      <c r="N547">
        <v>5</v>
      </c>
      <c r="O547">
        <v>0</v>
      </c>
      <c r="P547" t="s">
        <v>33</v>
      </c>
      <c r="Q547" t="s">
        <v>34</v>
      </c>
      <c r="R547" t="s">
        <v>43</v>
      </c>
      <c r="S547" s="2">
        <f t="shared" si="8"/>
        <v>87602.12</v>
      </c>
    </row>
    <row r="548" spans="1:19" x14ac:dyDescent="0.3">
      <c r="A548" t="s">
        <v>609</v>
      </c>
      <c r="B548" s="1">
        <v>46114</v>
      </c>
      <c r="C548" t="s">
        <v>52</v>
      </c>
      <c r="D548" t="s">
        <v>53</v>
      </c>
      <c r="E548" t="s">
        <v>58</v>
      </c>
      <c r="F548" t="s">
        <v>37</v>
      </c>
      <c r="G548" t="s">
        <v>38</v>
      </c>
      <c r="H548">
        <v>212</v>
      </c>
      <c r="I548">
        <v>108</v>
      </c>
      <c r="J548">
        <v>23</v>
      </c>
      <c r="K548">
        <v>297</v>
      </c>
      <c r="L548">
        <v>57</v>
      </c>
      <c r="M548" s="2">
        <v>700.95</v>
      </c>
      <c r="N548">
        <v>5</v>
      </c>
      <c r="O548">
        <v>0</v>
      </c>
      <c r="P548" t="s">
        <v>24</v>
      </c>
      <c r="Q548" t="s">
        <v>47</v>
      </c>
      <c r="R548" t="s">
        <v>26</v>
      </c>
      <c r="S548" s="2">
        <f t="shared" si="8"/>
        <v>208182.15000000002</v>
      </c>
    </row>
    <row r="549" spans="1:19" x14ac:dyDescent="0.3">
      <c r="A549" t="s">
        <v>610</v>
      </c>
      <c r="B549" s="1">
        <v>46372</v>
      </c>
      <c r="C549" t="s">
        <v>109</v>
      </c>
      <c r="D549" t="s">
        <v>46</v>
      </c>
      <c r="E549" t="s">
        <v>75</v>
      </c>
      <c r="F549" t="s">
        <v>22</v>
      </c>
      <c r="G549" t="s">
        <v>23</v>
      </c>
      <c r="H549">
        <v>110</v>
      </c>
      <c r="I549">
        <v>34</v>
      </c>
      <c r="J549">
        <v>104</v>
      </c>
      <c r="K549">
        <v>40</v>
      </c>
      <c r="L549">
        <v>54</v>
      </c>
      <c r="M549" s="2">
        <v>3197.65</v>
      </c>
      <c r="N549">
        <v>8</v>
      </c>
      <c r="O549">
        <v>1</v>
      </c>
      <c r="P549" t="s">
        <v>33</v>
      </c>
      <c r="Q549" t="s">
        <v>34</v>
      </c>
      <c r="R549" t="s">
        <v>26</v>
      </c>
      <c r="S549" s="2">
        <f t="shared" si="8"/>
        <v>127906</v>
      </c>
    </row>
    <row r="550" spans="1:19" x14ac:dyDescent="0.3">
      <c r="A550" t="s">
        <v>611</v>
      </c>
      <c r="B550" s="1">
        <v>46141</v>
      </c>
      <c r="C550" t="s">
        <v>87</v>
      </c>
      <c r="D550" t="s">
        <v>53</v>
      </c>
      <c r="E550" t="s">
        <v>58</v>
      </c>
      <c r="F550" t="s">
        <v>37</v>
      </c>
      <c r="G550" t="s">
        <v>38</v>
      </c>
      <c r="H550">
        <v>147</v>
      </c>
      <c r="I550">
        <v>76</v>
      </c>
      <c r="J550">
        <v>109</v>
      </c>
      <c r="K550">
        <v>114</v>
      </c>
      <c r="L550">
        <v>86</v>
      </c>
      <c r="M550" s="2">
        <v>406.93</v>
      </c>
      <c r="N550">
        <v>3</v>
      </c>
      <c r="O550">
        <v>0</v>
      </c>
      <c r="P550" t="s">
        <v>24</v>
      </c>
      <c r="Q550" t="s">
        <v>34</v>
      </c>
      <c r="R550" t="s">
        <v>43</v>
      </c>
      <c r="S550" s="2">
        <f t="shared" si="8"/>
        <v>46390.020000000004</v>
      </c>
    </row>
    <row r="551" spans="1:19" x14ac:dyDescent="0.3">
      <c r="A551" t="s">
        <v>612</v>
      </c>
      <c r="B551" s="1">
        <v>46257</v>
      </c>
      <c r="C551" t="s">
        <v>52</v>
      </c>
      <c r="D551" t="s">
        <v>53</v>
      </c>
      <c r="E551" t="s">
        <v>58</v>
      </c>
      <c r="F551" t="s">
        <v>37</v>
      </c>
      <c r="G551" t="s">
        <v>38</v>
      </c>
      <c r="H551">
        <v>207</v>
      </c>
      <c r="I551">
        <v>102</v>
      </c>
      <c r="J551">
        <v>56</v>
      </c>
      <c r="K551">
        <v>253</v>
      </c>
      <c r="L551">
        <v>76</v>
      </c>
      <c r="M551" s="2">
        <v>662.14</v>
      </c>
      <c r="N551">
        <v>7</v>
      </c>
      <c r="O551">
        <v>0</v>
      </c>
      <c r="P551" t="s">
        <v>33</v>
      </c>
      <c r="Q551" t="s">
        <v>47</v>
      </c>
      <c r="R551" t="s">
        <v>26</v>
      </c>
      <c r="S551" s="2">
        <f t="shared" si="8"/>
        <v>167521.41999999998</v>
      </c>
    </row>
    <row r="552" spans="1:19" x14ac:dyDescent="0.3">
      <c r="A552" t="s">
        <v>613</v>
      </c>
      <c r="B552" s="1">
        <v>46168</v>
      </c>
      <c r="C552" t="s">
        <v>80</v>
      </c>
      <c r="D552" t="s">
        <v>46</v>
      </c>
      <c r="E552" t="s">
        <v>21</v>
      </c>
      <c r="F552" t="s">
        <v>22</v>
      </c>
      <c r="G552" t="s">
        <v>23</v>
      </c>
      <c r="H552">
        <v>106</v>
      </c>
      <c r="I552">
        <v>49</v>
      </c>
      <c r="J552">
        <v>76</v>
      </c>
      <c r="K552">
        <v>79</v>
      </c>
      <c r="L552">
        <v>68</v>
      </c>
      <c r="M552" s="2">
        <v>1203.56</v>
      </c>
      <c r="N552">
        <v>8</v>
      </c>
      <c r="O552">
        <v>0</v>
      </c>
      <c r="P552" t="s">
        <v>33</v>
      </c>
      <c r="Q552" t="s">
        <v>34</v>
      </c>
      <c r="R552" t="s">
        <v>26</v>
      </c>
      <c r="S552" s="2">
        <f t="shared" si="8"/>
        <v>95081.239999999991</v>
      </c>
    </row>
    <row r="553" spans="1:19" x14ac:dyDescent="0.3">
      <c r="A553" t="s">
        <v>614</v>
      </c>
      <c r="B553" s="1">
        <v>46105</v>
      </c>
      <c r="C553" t="s">
        <v>72</v>
      </c>
      <c r="D553" t="s">
        <v>50</v>
      </c>
      <c r="E553" t="s">
        <v>30</v>
      </c>
      <c r="F553" t="s">
        <v>22</v>
      </c>
      <c r="G553" t="s">
        <v>23</v>
      </c>
      <c r="H553">
        <v>177</v>
      </c>
      <c r="I553">
        <v>56</v>
      </c>
      <c r="J553">
        <v>38</v>
      </c>
      <c r="K553">
        <v>195</v>
      </c>
      <c r="L553">
        <v>56</v>
      </c>
      <c r="M553" s="2">
        <v>2349.31</v>
      </c>
      <c r="N553">
        <v>7</v>
      </c>
      <c r="O553">
        <v>0</v>
      </c>
      <c r="P553" t="s">
        <v>33</v>
      </c>
      <c r="Q553" t="s">
        <v>47</v>
      </c>
      <c r="R553" t="s">
        <v>59</v>
      </c>
      <c r="S553" s="2">
        <f t="shared" si="8"/>
        <v>458115.45</v>
      </c>
    </row>
    <row r="554" spans="1:19" x14ac:dyDescent="0.3">
      <c r="A554" t="s">
        <v>615</v>
      </c>
      <c r="B554" s="1">
        <v>46185</v>
      </c>
      <c r="C554" t="s">
        <v>62</v>
      </c>
      <c r="D554" t="s">
        <v>29</v>
      </c>
      <c r="E554" t="s">
        <v>75</v>
      </c>
      <c r="F554" t="s">
        <v>37</v>
      </c>
      <c r="G554" t="s">
        <v>38</v>
      </c>
      <c r="H554">
        <v>187</v>
      </c>
      <c r="I554">
        <v>36</v>
      </c>
      <c r="J554">
        <v>71</v>
      </c>
      <c r="K554">
        <v>152</v>
      </c>
      <c r="L554">
        <v>61</v>
      </c>
      <c r="M554" s="2">
        <v>681.75</v>
      </c>
      <c r="N554">
        <v>3</v>
      </c>
      <c r="O554">
        <v>0</v>
      </c>
      <c r="P554" t="s">
        <v>33</v>
      </c>
      <c r="Q554" t="s">
        <v>47</v>
      </c>
      <c r="R554" t="s">
        <v>26</v>
      </c>
      <c r="S554" s="2">
        <f t="shared" si="8"/>
        <v>103626</v>
      </c>
    </row>
    <row r="555" spans="1:19" x14ac:dyDescent="0.3">
      <c r="A555" t="s">
        <v>616</v>
      </c>
      <c r="B555" s="1">
        <v>46097</v>
      </c>
      <c r="C555" t="s">
        <v>80</v>
      </c>
      <c r="D555" t="s">
        <v>46</v>
      </c>
      <c r="E555" t="s">
        <v>21</v>
      </c>
      <c r="F555" t="s">
        <v>1582</v>
      </c>
      <c r="G555" t="s">
        <v>1583</v>
      </c>
      <c r="H555">
        <v>178</v>
      </c>
      <c r="I555">
        <v>40</v>
      </c>
      <c r="J555">
        <v>83</v>
      </c>
      <c r="K555">
        <v>135</v>
      </c>
      <c r="L555">
        <v>64</v>
      </c>
      <c r="M555" s="2">
        <v>1016.73</v>
      </c>
      <c r="N555">
        <v>2</v>
      </c>
      <c r="O555">
        <v>0</v>
      </c>
      <c r="P555" t="s">
        <v>33</v>
      </c>
      <c r="Q555" t="s">
        <v>34</v>
      </c>
      <c r="R555" t="s">
        <v>26</v>
      </c>
      <c r="S555" s="2">
        <f t="shared" si="8"/>
        <v>137258.54999999999</v>
      </c>
    </row>
    <row r="556" spans="1:19" x14ac:dyDescent="0.3">
      <c r="A556" t="s">
        <v>617</v>
      </c>
      <c r="B556" s="1">
        <v>46316</v>
      </c>
      <c r="C556" t="s">
        <v>49</v>
      </c>
      <c r="D556" t="s">
        <v>50</v>
      </c>
      <c r="E556" t="s">
        <v>42</v>
      </c>
      <c r="F556" t="s">
        <v>31</v>
      </c>
      <c r="G556" t="s">
        <v>32</v>
      </c>
      <c r="H556">
        <v>179</v>
      </c>
      <c r="I556">
        <v>84</v>
      </c>
      <c r="J556">
        <v>57</v>
      </c>
      <c r="K556">
        <v>206</v>
      </c>
      <c r="L556">
        <v>86</v>
      </c>
      <c r="M556" s="2">
        <v>1353.42</v>
      </c>
      <c r="N556">
        <v>5</v>
      </c>
      <c r="O556">
        <v>0</v>
      </c>
      <c r="P556" t="s">
        <v>33</v>
      </c>
      <c r="Q556" t="s">
        <v>47</v>
      </c>
      <c r="R556" t="s">
        <v>81</v>
      </c>
      <c r="S556" s="2">
        <f t="shared" si="8"/>
        <v>278804.52</v>
      </c>
    </row>
    <row r="557" spans="1:19" x14ac:dyDescent="0.3">
      <c r="A557" t="s">
        <v>618</v>
      </c>
      <c r="B557" s="1">
        <v>46135</v>
      </c>
      <c r="C557" t="s">
        <v>36</v>
      </c>
      <c r="D557" t="s">
        <v>29</v>
      </c>
      <c r="E557" t="s">
        <v>21</v>
      </c>
      <c r="F557" t="s">
        <v>31</v>
      </c>
      <c r="G557" t="s">
        <v>32</v>
      </c>
      <c r="H557">
        <v>162</v>
      </c>
      <c r="I557">
        <v>25</v>
      </c>
      <c r="J557">
        <v>32</v>
      </c>
      <c r="K557">
        <v>155</v>
      </c>
      <c r="L557">
        <v>88</v>
      </c>
      <c r="M557" s="2">
        <v>2424.46</v>
      </c>
      <c r="N557">
        <v>4</v>
      </c>
      <c r="O557">
        <v>0</v>
      </c>
      <c r="P557" t="s">
        <v>24</v>
      </c>
      <c r="Q557" t="s">
        <v>34</v>
      </c>
      <c r="R557" t="s">
        <v>26</v>
      </c>
      <c r="S557" s="2">
        <f t="shared" si="8"/>
        <v>375791.3</v>
      </c>
    </row>
    <row r="558" spans="1:19" x14ac:dyDescent="0.3">
      <c r="A558" t="s">
        <v>619</v>
      </c>
      <c r="B558" s="1">
        <v>46065</v>
      </c>
      <c r="C558" t="s">
        <v>49</v>
      </c>
      <c r="D558" t="s">
        <v>50</v>
      </c>
      <c r="E558" t="s">
        <v>75</v>
      </c>
      <c r="F558" t="s">
        <v>37</v>
      </c>
      <c r="G558" t="s">
        <v>38</v>
      </c>
      <c r="H558">
        <v>54</v>
      </c>
      <c r="I558">
        <v>97</v>
      </c>
      <c r="J558">
        <v>97</v>
      </c>
      <c r="K558">
        <v>54</v>
      </c>
      <c r="L558">
        <v>57</v>
      </c>
      <c r="M558" s="2">
        <v>1321.69</v>
      </c>
      <c r="N558">
        <v>3</v>
      </c>
      <c r="O558">
        <v>5</v>
      </c>
      <c r="P558" t="s">
        <v>33</v>
      </c>
      <c r="Q558" t="s">
        <v>34</v>
      </c>
      <c r="R558" t="s">
        <v>26</v>
      </c>
      <c r="S558" s="2">
        <f t="shared" si="8"/>
        <v>71371.260000000009</v>
      </c>
    </row>
    <row r="559" spans="1:19" x14ac:dyDescent="0.3">
      <c r="A559" t="s">
        <v>620</v>
      </c>
      <c r="B559" s="1">
        <v>46098</v>
      </c>
      <c r="C559" t="s">
        <v>68</v>
      </c>
      <c r="D559" t="s">
        <v>53</v>
      </c>
      <c r="E559" t="s">
        <v>75</v>
      </c>
      <c r="F559" t="s">
        <v>1582</v>
      </c>
      <c r="G559" t="s">
        <v>1583</v>
      </c>
      <c r="H559">
        <v>89</v>
      </c>
      <c r="I559">
        <v>82</v>
      </c>
      <c r="J559">
        <v>55</v>
      </c>
      <c r="K559">
        <v>116</v>
      </c>
      <c r="L559">
        <v>83</v>
      </c>
      <c r="M559" s="2">
        <v>612.61</v>
      </c>
      <c r="N559">
        <v>2</v>
      </c>
      <c r="O559">
        <v>0</v>
      </c>
      <c r="P559" t="s">
        <v>33</v>
      </c>
      <c r="Q559" t="s">
        <v>34</v>
      </c>
      <c r="R559" t="s">
        <v>26</v>
      </c>
      <c r="S559" s="2">
        <f t="shared" si="8"/>
        <v>71062.759999999995</v>
      </c>
    </row>
    <row r="560" spans="1:19" x14ac:dyDescent="0.3">
      <c r="A560" t="s">
        <v>621</v>
      </c>
      <c r="B560" s="1">
        <v>46250</v>
      </c>
      <c r="C560" t="s">
        <v>49</v>
      </c>
      <c r="D560" t="s">
        <v>50</v>
      </c>
      <c r="E560" t="s">
        <v>58</v>
      </c>
      <c r="F560" t="s">
        <v>37</v>
      </c>
      <c r="G560" t="s">
        <v>38</v>
      </c>
      <c r="H560">
        <v>43</v>
      </c>
      <c r="I560">
        <v>56</v>
      </c>
      <c r="J560">
        <v>59</v>
      </c>
      <c r="K560">
        <v>40</v>
      </c>
      <c r="L560">
        <v>67</v>
      </c>
      <c r="M560" s="2">
        <v>1250.0999999999999</v>
      </c>
      <c r="N560">
        <v>5</v>
      </c>
      <c r="O560">
        <v>2</v>
      </c>
      <c r="P560" t="s">
        <v>33</v>
      </c>
      <c r="Q560" t="s">
        <v>25</v>
      </c>
      <c r="R560" t="s">
        <v>26</v>
      </c>
      <c r="S560" s="2">
        <f t="shared" si="8"/>
        <v>50004</v>
      </c>
    </row>
    <row r="561" spans="1:19" x14ac:dyDescent="0.3">
      <c r="A561" t="s">
        <v>622</v>
      </c>
      <c r="B561" s="1">
        <v>46266</v>
      </c>
      <c r="C561" t="s">
        <v>55</v>
      </c>
      <c r="D561" t="s">
        <v>50</v>
      </c>
      <c r="E561" t="s">
        <v>21</v>
      </c>
      <c r="F561" t="s">
        <v>22</v>
      </c>
      <c r="G561" t="s">
        <v>23</v>
      </c>
      <c r="H561">
        <v>148</v>
      </c>
      <c r="I561">
        <v>113</v>
      </c>
      <c r="J561">
        <v>68</v>
      </c>
      <c r="K561">
        <v>193</v>
      </c>
      <c r="L561">
        <v>53</v>
      </c>
      <c r="M561" s="2">
        <v>1067.0999999999999</v>
      </c>
      <c r="N561">
        <v>6</v>
      </c>
      <c r="O561">
        <v>0</v>
      </c>
      <c r="P561" t="s">
        <v>24</v>
      </c>
      <c r="Q561" t="s">
        <v>47</v>
      </c>
      <c r="R561" t="s">
        <v>26</v>
      </c>
      <c r="S561" s="2">
        <f t="shared" si="8"/>
        <v>205950.3</v>
      </c>
    </row>
    <row r="562" spans="1:19" x14ac:dyDescent="0.3">
      <c r="A562" t="s">
        <v>623</v>
      </c>
      <c r="B562" s="1">
        <v>46093</v>
      </c>
      <c r="C562" t="s">
        <v>52</v>
      </c>
      <c r="D562" t="s">
        <v>53</v>
      </c>
      <c r="E562" t="s">
        <v>75</v>
      </c>
      <c r="F562" t="s">
        <v>1582</v>
      </c>
      <c r="G562" t="s">
        <v>1583</v>
      </c>
      <c r="H562">
        <v>62</v>
      </c>
      <c r="I562">
        <v>20</v>
      </c>
      <c r="J562">
        <v>67</v>
      </c>
      <c r="K562">
        <v>15</v>
      </c>
      <c r="L562">
        <v>85</v>
      </c>
      <c r="M562" s="2">
        <v>703.87</v>
      </c>
      <c r="N562">
        <v>5</v>
      </c>
      <c r="O562">
        <v>8</v>
      </c>
      <c r="P562" t="s">
        <v>33</v>
      </c>
      <c r="Q562" t="s">
        <v>25</v>
      </c>
      <c r="R562" t="s">
        <v>59</v>
      </c>
      <c r="S562" s="2">
        <f t="shared" si="8"/>
        <v>10558.05</v>
      </c>
    </row>
    <row r="563" spans="1:19" x14ac:dyDescent="0.3">
      <c r="A563" t="s">
        <v>624</v>
      </c>
      <c r="B563" s="1">
        <v>46260</v>
      </c>
      <c r="C563" t="s">
        <v>28</v>
      </c>
      <c r="D563" t="s">
        <v>29</v>
      </c>
      <c r="E563" t="s">
        <v>58</v>
      </c>
      <c r="F563" t="s">
        <v>37</v>
      </c>
      <c r="G563" t="s">
        <v>38</v>
      </c>
      <c r="H563">
        <v>181</v>
      </c>
      <c r="I563">
        <v>82</v>
      </c>
      <c r="J563">
        <v>20</v>
      </c>
      <c r="K563">
        <v>243</v>
      </c>
      <c r="L563">
        <v>97</v>
      </c>
      <c r="M563" s="2">
        <v>1384.82</v>
      </c>
      <c r="N563">
        <v>8</v>
      </c>
      <c r="O563">
        <v>0</v>
      </c>
      <c r="P563" t="s">
        <v>33</v>
      </c>
      <c r="Q563" t="s">
        <v>47</v>
      </c>
      <c r="R563" t="s">
        <v>26</v>
      </c>
      <c r="S563" s="2">
        <f t="shared" si="8"/>
        <v>336511.26</v>
      </c>
    </row>
    <row r="564" spans="1:19" x14ac:dyDescent="0.3">
      <c r="A564" t="s">
        <v>625</v>
      </c>
      <c r="B564" s="1">
        <v>46274</v>
      </c>
      <c r="C564" t="s">
        <v>62</v>
      </c>
      <c r="D564" t="s">
        <v>29</v>
      </c>
      <c r="E564" t="s">
        <v>75</v>
      </c>
      <c r="F564" t="s">
        <v>22</v>
      </c>
      <c r="G564" t="s">
        <v>23</v>
      </c>
      <c r="H564">
        <v>107</v>
      </c>
      <c r="I564">
        <v>58</v>
      </c>
      <c r="J564">
        <v>96</v>
      </c>
      <c r="K564">
        <v>69</v>
      </c>
      <c r="L564">
        <v>98</v>
      </c>
      <c r="M564" s="2">
        <v>719.12</v>
      </c>
      <c r="N564">
        <v>2</v>
      </c>
      <c r="O564">
        <v>5</v>
      </c>
      <c r="P564" t="s">
        <v>33</v>
      </c>
      <c r="Q564" t="s">
        <v>34</v>
      </c>
      <c r="R564" t="s">
        <v>26</v>
      </c>
      <c r="S564" s="2">
        <f t="shared" si="8"/>
        <v>49619.28</v>
      </c>
    </row>
    <row r="565" spans="1:19" x14ac:dyDescent="0.3">
      <c r="A565" t="s">
        <v>626</v>
      </c>
      <c r="B565" s="1">
        <v>46344</v>
      </c>
      <c r="C565" t="s">
        <v>62</v>
      </c>
      <c r="D565" t="s">
        <v>29</v>
      </c>
      <c r="E565" t="s">
        <v>75</v>
      </c>
      <c r="F565" t="s">
        <v>37</v>
      </c>
      <c r="G565" t="s">
        <v>38</v>
      </c>
      <c r="H565">
        <v>166</v>
      </c>
      <c r="I565">
        <v>28</v>
      </c>
      <c r="J565">
        <v>91</v>
      </c>
      <c r="K565">
        <v>103</v>
      </c>
      <c r="L565">
        <v>92</v>
      </c>
      <c r="M565" s="2">
        <v>680.65</v>
      </c>
      <c r="N565">
        <v>5</v>
      </c>
      <c r="O565">
        <v>0</v>
      </c>
      <c r="P565" t="s">
        <v>33</v>
      </c>
      <c r="Q565" t="s">
        <v>34</v>
      </c>
      <c r="R565" t="s">
        <v>43</v>
      </c>
      <c r="S565" s="2">
        <f t="shared" si="8"/>
        <v>70106.95</v>
      </c>
    </row>
    <row r="566" spans="1:19" x14ac:dyDescent="0.3">
      <c r="A566" t="s">
        <v>627</v>
      </c>
      <c r="B566" s="1">
        <v>46106</v>
      </c>
      <c r="C566" t="s">
        <v>57</v>
      </c>
      <c r="D566" t="s">
        <v>50</v>
      </c>
      <c r="E566" t="s">
        <v>21</v>
      </c>
      <c r="F566" t="s">
        <v>31</v>
      </c>
      <c r="G566" t="s">
        <v>32</v>
      </c>
      <c r="H566">
        <v>106</v>
      </c>
      <c r="I566">
        <v>40</v>
      </c>
      <c r="J566">
        <v>89</v>
      </c>
      <c r="K566">
        <v>57</v>
      </c>
      <c r="L566">
        <v>48</v>
      </c>
      <c r="M566" s="2">
        <v>2601.84</v>
      </c>
      <c r="N566">
        <v>5</v>
      </c>
      <c r="O566">
        <v>0</v>
      </c>
      <c r="P566" t="s">
        <v>33</v>
      </c>
      <c r="Q566" t="s">
        <v>34</v>
      </c>
      <c r="R566" t="s">
        <v>26</v>
      </c>
      <c r="S566" s="2">
        <f t="shared" si="8"/>
        <v>148304.88</v>
      </c>
    </row>
    <row r="567" spans="1:19" x14ac:dyDescent="0.3">
      <c r="A567" t="s">
        <v>628</v>
      </c>
      <c r="B567" s="1">
        <v>46344</v>
      </c>
      <c r="C567" t="s">
        <v>89</v>
      </c>
      <c r="D567" t="s">
        <v>20</v>
      </c>
      <c r="E567" t="s">
        <v>21</v>
      </c>
      <c r="F567" t="s">
        <v>1582</v>
      </c>
      <c r="G567" t="s">
        <v>1583</v>
      </c>
      <c r="H567">
        <v>202</v>
      </c>
      <c r="I567">
        <v>65</v>
      </c>
      <c r="J567">
        <v>21</v>
      </c>
      <c r="K567">
        <v>246</v>
      </c>
      <c r="L567">
        <v>63</v>
      </c>
      <c r="M567" s="2">
        <v>1150</v>
      </c>
      <c r="N567">
        <v>7</v>
      </c>
      <c r="O567">
        <v>0</v>
      </c>
      <c r="P567" t="s">
        <v>33</v>
      </c>
      <c r="Q567" t="s">
        <v>47</v>
      </c>
      <c r="R567" t="s">
        <v>26</v>
      </c>
      <c r="S567" s="2">
        <f t="shared" si="8"/>
        <v>282900</v>
      </c>
    </row>
    <row r="568" spans="1:19" x14ac:dyDescent="0.3">
      <c r="A568" t="s">
        <v>629</v>
      </c>
      <c r="B568" s="1">
        <v>46375</v>
      </c>
      <c r="C568" t="s">
        <v>62</v>
      </c>
      <c r="D568" t="s">
        <v>29</v>
      </c>
      <c r="E568" t="s">
        <v>30</v>
      </c>
      <c r="F568" t="s">
        <v>22</v>
      </c>
      <c r="G568" t="s">
        <v>23</v>
      </c>
      <c r="H568">
        <v>179</v>
      </c>
      <c r="I568">
        <v>61</v>
      </c>
      <c r="J568">
        <v>55</v>
      </c>
      <c r="K568">
        <v>185</v>
      </c>
      <c r="L568">
        <v>97</v>
      </c>
      <c r="M568" s="2">
        <v>748.3</v>
      </c>
      <c r="N568">
        <v>8</v>
      </c>
      <c r="O568">
        <v>0</v>
      </c>
      <c r="P568" t="s">
        <v>33</v>
      </c>
      <c r="Q568" t="s">
        <v>34</v>
      </c>
      <c r="R568" t="s">
        <v>59</v>
      </c>
      <c r="S568" s="2">
        <f t="shared" si="8"/>
        <v>138435.5</v>
      </c>
    </row>
    <row r="569" spans="1:19" x14ac:dyDescent="0.3">
      <c r="A569" t="s">
        <v>630</v>
      </c>
      <c r="B569" s="1">
        <v>46106</v>
      </c>
      <c r="C569" t="s">
        <v>109</v>
      </c>
      <c r="D569" t="s">
        <v>46</v>
      </c>
      <c r="E569" t="s">
        <v>30</v>
      </c>
      <c r="F569" t="s">
        <v>37</v>
      </c>
      <c r="G569" t="s">
        <v>38</v>
      </c>
      <c r="H569">
        <v>76</v>
      </c>
      <c r="I569">
        <v>21</v>
      </c>
      <c r="J569">
        <v>32</v>
      </c>
      <c r="K569">
        <v>65</v>
      </c>
      <c r="L569">
        <v>78</v>
      </c>
      <c r="M569" s="2">
        <v>3060.11</v>
      </c>
      <c r="N569">
        <v>8</v>
      </c>
      <c r="O569">
        <v>6</v>
      </c>
      <c r="P569" t="s">
        <v>33</v>
      </c>
      <c r="Q569" t="s">
        <v>34</v>
      </c>
      <c r="R569" t="s">
        <v>81</v>
      </c>
      <c r="S569" s="2">
        <f t="shared" si="8"/>
        <v>198907.15</v>
      </c>
    </row>
    <row r="570" spans="1:19" x14ac:dyDescent="0.3">
      <c r="A570" t="s">
        <v>631</v>
      </c>
      <c r="B570" s="1">
        <v>46382</v>
      </c>
      <c r="C570" t="s">
        <v>98</v>
      </c>
      <c r="D570" t="s">
        <v>20</v>
      </c>
      <c r="E570" t="s">
        <v>42</v>
      </c>
      <c r="F570" t="s">
        <v>22</v>
      </c>
      <c r="G570" t="s">
        <v>23</v>
      </c>
      <c r="H570">
        <v>88</v>
      </c>
      <c r="I570">
        <v>121</v>
      </c>
      <c r="J570">
        <v>86</v>
      </c>
      <c r="K570">
        <v>123</v>
      </c>
      <c r="L570">
        <v>84</v>
      </c>
      <c r="M570" s="2">
        <v>1453.1</v>
      </c>
      <c r="N570">
        <v>6</v>
      </c>
      <c r="O570">
        <v>0</v>
      </c>
      <c r="P570" t="s">
        <v>33</v>
      </c>
      <c r="Q570" t="s">
        <v>34</v>
      </c>
      <c r="R570" t="s">
        <v>59</v>
      </c>
      <c r="S570" s="2">
        <f t="shared" si="8"/>
        <v>178731.3</v>
      </c>
    </row>
    <row r="571" spans="1:19" x14ac:dyDescent="0.3">
      <c r="A571" t="s">
        <v>632</v>
      </c>
      <c r="B571" s="1">
        <v>46249</v>
      </c>
      <c r="C571" t="s">
        <v>40</v>
      </c>
      <c r="D571" t="s">
        <v>20</v>
      </c>
      <c r="E571" t="s">
        <v>58</v>
      </c>
      <c r="F571" t="s">
        <v>31</v>
      </c>
      <c r="G571" t="s">
        <v>32</v>
      </c>
      <c r="H571">
        <v>69</v>
      </c>
      <c r="I571">
        <v>124</v>
      </c>
      <c r="J571">
        <v>31</v>
      </c>
      <c r="K571">
        <v>162</v>
      </c>
      <c r="L571">
        <v>46</v>
      </c>
      <c r="M571" s="2">
        <v>896.31</v>
      </c>
      <c r="N571">
        <v>4</v>
      </c>
      <c r="O571">
        <v>0</v>
      </c>
      <c r="P571" t="s">
        <v>33</v>
      </c>
      <c r="Q571" t="s">
        <v>47</v>
      </c>
      <c r="R571" t="s">
        <v>26</v>
      </c>
      <c r="S571" s="2">
        <f t="shared" si="8"/>
        <v>145202.22</v>
      </c>
    </row>
    <row r="572" spans="1:19" x14ac:dyDescent="0.3">
      <c r="A572" t="s">
        <v>633</v>
      </c>
      <c r="B572" s="1">
        <v>46087</v>
      </c>
      <c r="C572" t="s">
        <v>52</v>
      </c>
      <c r="D572" t="s">
        <v>53</v>
      </c>
      <c r="E572" t="s">
        <v>42</v>
      </c>
      <c r="F572" t="s">
        <v>37</v>
      </c>
      <c r="G572" t="s">
        <v>38</v>
      </c>
      <c r="H572">
        <v>47</v>
      </c>
      <c r="I572">
        <v>115</v>
      </c>
      <c r="J572">
        <v>30</v>
      </c>
      <c r="K572">
        <v>132</v>
      </c>
      <c r="L572">
        <v>59</v>
      </c>
      <c r="M572" s="2">
        <v>601.73</v>
      </c>
      <c r="N572">
        <v>7</v>
      </c>
      <c r="O572">
        <v>0</v>
      </c>
      <c r="P572" t="s">
        <v>24</v>
      </c>
      <c r="Q572" t="s">
        <v>47</v>
      </c>
      <c r="R572" t="s">
        <v>26</v>
      </c>
      <c r="S572" s="2">
        <f t="shared" si="8"/>
        <v>79428.36</v>
      </c>
    </row>
    <row r="573" spans="1:19" x14ac:dyDescent="0.3">
      <c r="A573" t="s">
        <v>634</v>
      </c>
      <c r="B573" s="1">
        <v>46078</v>
      </c>
      <c r="C573" t="s">
        <v>28</v>
      </c>
      <c r="D573" t="s">
        <v>29</v>
      </c>
      <c r="E573" t="s">
        <v>75</v>
      </c>
      <c r="F573" t="s">
        <v>1582</v>
      </c>
      <c r="G573" t="s">
        <v>1583</v>
      </c>
      <c r="H573">
        <v>216</v>
      </c>
      <c r="I573">
        <v>117</v>
      </c>
      <c r="J573">
        <v>29</v>
      </c>
      <c r="K573">
        <v>304</v>
      </c>
      <c r="L573">
        <v>49</v>
      </c>
      <c r="M573" s="2">
        <v>1174.8900000000001</v>
      </c>
      <c r="N573">
        <v>5</v>
      </c>
      <c r="O573">
        <v>0</v>
      </c>
      <c r="P573" t="s">
        <v>33</v>
      </c>
      <c r="Q573" t="s">
        <v>47</v>
      </c>
      <c r="R573" t="s">
        <v>26</v>
      </c>
      <c r="S573" s="2">
        <f t="shared" si="8"/>
        <v>357166.56000000006</v>
      </c>
    </row>
    <row r="574" spans="1:19" x14ac:dyDescent="0.3">
      <c r="A574" t="s">
        <v>635</v>
      </c>
      <c r="B574" s="1">
        <v>46331</v>
      </c>
      <c r="C574" t="s">
        <v>19</v>
      </c>
      <c r="D574" t="s">
        <v>20</v>
      </c>
      <c r="E574" t="s">
        <v>58</v>
      </c>
      <c r="F574" t="s">
        <v>31</v>
      </c>
      <c r="G574" t="s">
        <v>32</v>
      </c>
      <c r="H574">
        <v>104</v>
      </c>
      <c r="I574">
        <v>25</v>
      </c>
      <c r="J574">
        <v>23</v>
      </c>
      <c r="K574">
        <v>106</v>
      </c>
      <c r="L574">
        <v>64</v>
      </c>
      <c r="M574" s="2">
        <v>1860.33</v>
      </c>
      <c r="N574">
        <v>8</v>
      </c>
      <c r="O574">
        <v>0</v>
      </c>
      <c r="P574" t="s">
        <v>24</v>
      </c>
      <c r="Q574" t="s">
        <v>34</v>
      </c>
      <c r="R574" t="s">
        <v>26</v>
      </c>
      <c r="S574" s="2">
        <f t="shared" si="8"/>
        <v>197194.97999999998</v>
      </c>
    </row>
    <row r="575" spans="1:19" x14ac:dyDescent="0.3">
      <c r="A575" t="s">
        <v>636</v>
      </c>
      <c r="B575" s="1">
        <v>46279</v>
      </c>
      <c r="C575" t="s">
        <v>28</v>
      </c>
      <c r="D575" t="s">
        <v>29</v>
      </c>
      <c r="E575" t="s">
        <v>42</v>
      </c>
      <c r="F575" t="s">
        <v>37</v>
      </c>
      <c r="G575" t="s">
        <v>38</v>
      </c>
      <c r="H575">
        <v>47</v>
      </c>
      <c r="I575">
        <v>31</v>
      </c>
      <c r="J575">
        <v>33</v>
      </c>
      <c r="K575">
        <v>45</v>
      </c>
      <c r="L575">
        <v>99</v>
      </c>
      <c r="M575" s="2">
        <v>1364.01</v>
      </c>
      <c r="N575">
        <v>4</v>
      </c>
      <c r="O575">
        <v>6</v>
      </c>
      <c r="P575" t="s">
        <v>33</v>
      </c>
      <c r="Q575" t="s">
        <v>25</v>
      </c>
      <c r="R575" t="s">
        <v>26</v>
      </c>
      <c r="S575" s="2">
        <f t="shared" si="8"/>
        <v>61380.45</v>
      </c>
    </row>
    <row r="576" spans="1:19" x14ac:dyDescent="0.3">
      <c r="A576" t="s">
        <v>637</v>
      </c>
      <c r="B576" s="1">
        <v>46110</v>
      </c>
      <c r="C576" t="s">
        <v>87</v>
      </c>
      <c r="D576" t="s">
        <v>53</v>
      </c>
      <c r="E576" t="s">
        <v>30</v>
      </c>
      <c r="F576" t="s">
        <v>31</v>
      </c>
      <c r="G576" t="s">
        <v>32</v>
      </c>
      <c r="H576">
        <v>65</v>
      </c>
      <c r="I576">
        <v>124</v>
      </c>
      <c r="J576">
        <v>89</v>
      </c>
      <c r="K576">
        <v>100</v>
      </c>
      <c r="L576">
        <v>93</v>
      </c>
      <c r="M576" s="2">
        <v>406.26</v>
      </c>
      <c r="N576">
        <v>3</v>
      </c>
      <c r="O576">
        <v>0</v>
      </c>
      <c r="P576" t="s">
        <v>33</v>
      </c>
      <c r="Q576" t="s">
        <v>34</v>
      </c>
      <c r="R576" t="s">
        <v>81</v>
      </c>
      <c r="S576" s="2">
        <f t="shared" si="8"/>
        <v>40626</v>
      </c>
    </row>
    <row r="577" spans="1:19" x14ac:dyDescent="0.3">
      <c r="A577" t="s">
        <v>638</v>
      </c>
      <c r="B577" s="1">
        <v>46077</v>
      </c>
      <c r="C577" t="s">
        <v>77</v>
      </c>
      <c r="D577" t="s">
        <v>53</v>
      </c>
      <c r="E577" t="s">
        <v>75</v>
      </c>
      <c r="F577" t="s">
        <v>22</v>
      </c>
      <c r="G577" t="s">
        <v>23</v>
      </c>
      <c r="H577">
        <v>169</v>
      </c>
      <c r="I577">
        <v>128</v>
      </c>
      <c r="J577">
        <v>105</v>
      </c>
      <c r="K577">
        <v>192</v>
      </c>
      <c r="L577">
        <v>75</v>
      </c>
      <c r="M577" s="2">
        <v>486.65</v>
      </c>
      <c r="N577">
        <v>6</v>
      </c>
      <c r="O577">
        <v>0</v>
      </c>
      <c r="P577" t="s">
        <v>33</v>
      </c>
      <c r="Q577" t="s">
        <v>47</v>
      </c>
      <c r="R577" t="s">
        <v>26</v>
      </c>
      <c r="S577" s="2">
        <f t="shared" si="8"/>
        <v>93436.799999999988</v>
      </c>
    </row>
    <row r="578" spans="1:19" x14ac:dyDescent="0.3">
      <c r="A578" t="s">
        <v>639</v>
      </c>
      <c r="B578" s="1">
        <v>46092</v>
      </c>
      <c r="C578" t="s">
        <v>83</v>
      </c>
      <c r="D578" t="s">
        <v>29</v>
      </c>
      <c r="E578" t="s">
        <v>58</v>
      </c>
      <c r="F578" t="s">
        <v>1582</v>
      </c>
      <c r="G578" t="s">
        <v>1583</v>
      </c>
      <c r="H578">
        <v>94</v>
      </c>
      <c r="I578">
        <v>85</v>
      </c>
      <c r="J578">
        <v>44</v>
      </c>
      <c r="K578">
        <v>135</v>
      </c>
      <c r="L578">
        <v>71</v>
      </c>
      <c r="M578" s="2">
        <v>1476.11</v>
      </c>
      <c r="N578">
        <v>4</v>
      </c>
      <c r="O578">
        <v>0</v>
      </c>
      <c r="P578" t="s">
        <v>24</v>
      </c>
      <c r="Q578" t="s">
        <v>34</v>
      </c>
      <c r="R578" t="s">
        <v>26</v>
      </c>
      <c r="S578" s="2">
        <f t="shared" ref="S578:S641" si="9">K578*M578</f>
        <v>199274.84999999998</v>
      </c>
    </row>
    <row r="579" spans="1:19" x14ac:dyDescent="0.3">
      <c r="A579" t="s">
        <v>640</v>
      </c>
      <c r="B579" s="1">
        <v>46250</v>
      </c>
      <c r="C579" t="s">
        <v>49</v>
      </c>
      <c r="D579" t="s">
        <v>50</v>
      </c>
      <c r="E579" t="s">
        <v>21</v>
      </c>
      <c r="F579" t="s">
        <v>31</v>
      </c>
      <c r="G579" t="s">
        <v>32</v>
      </c>
      <c r="H579">
        <v>61</v>
      </c>
      <c r="I579">
        <v>61</v>
      </c>
      <c r="J579">
        <v>78</v>
      </c>
      <c r="K579">
        <v>44</v>
      </c>
      <c r="L579">
        <v>52</v>
      </c>
      <c r="M579" s="2">
        <v>1270.04</v>
      </c>
      <c r="N579">
        <v>5</v>
      </c>
      <c r="O579">
        <v>5</v>
      </c>
      <c r="P579" t="s">
        <v>33</v>
      </c>
      <c r="Q579" t="s">
        <v>34</v>
      </c>
      <c r="R579" t="s">
        <v>59</v>
      </c>
      <c r="S579" s="2">
        <f t="shared" si="9"/>
        <v>55881.759999999995</v>
      </c>
    </row>
    <row r="580" spans="1:19" x14ac:dyDescent="0.3">
      <c r="A580" t="s">
        <v>641</v>
      </c>
      <c r="B580" s="1">
        <v>46368</v>
      </c>
      <c r="C580" t="s">
        <v>36</v>
      </c>
      <c r="D580" t="s">
        <v>29</v>
      </c>
      <c r="E580" t="s">
        <v>21</v>
      </c>
      <c r="F580" t="s">
        <v>1582</v>
      </c>
      <c r="G580" t="s">
        <v>1583</v>
      </c>
      <c r="H580">
        <v>88</v>
      </c>
      <c r="I580">
        <v>129</v>
      </c>
      <c r="J580">
        <v>23</v>
      </c>
      <c r="K580">
        <v>194</v>
      </c>
      <c r="L580">
        <v>98</v>
      </c>
      <c r="M580" s="2">
        <v>2545.17</v>
      </c>
      <c r="N580">
        <v>7</v>
      </c>
      <c r="O580">
        <v>0</v>
      </c>
      <c r="P580" t="s">
        <v>33</v>
      </c>
      <c r="Q580" t="s">
        <v>34</v>
      </c>
      <c r="R580" t="s">
        <v>26</v>
      </c>
      <c r="S580" s="2">
        <f t="shared" si="9"/>
        <v>493762.98000000004</v>
      </c>
    </row>
    <row r="581" spans="1:19" x14ac:dyDescent="0.3">
      <c r="A581" t="s">
        <v>642</v>
      </c>
      <c r="B581" s="1">
        <v>46075</v>
      </c>
      <c r="C581" t="s">
        <v>57</v>
      </c>
      <c r="D581" t="s">
        <v>50</v>
      </c>
      <c r="E581" t="s">
        <v>58</v>
      </c>
      <c r="F581" t="s">
        <v>1582</v>
      </c>
      <c r="G581" t="s">
        <v>1583</v>
      </c>
      <c r="H581">
        <v>173</v>
      </c>
      <c r="I581">
        <v>104</v>
      </c>
      <c r="J581">
        <v>101</v>
      </c>
      <c r="K581">
        <v>176</v>
      </c>
      <c r="L581">
        <v>50</v>
      </c>
      <c r="M581" s="2">
        <v>2586.7600000000002</v>
      </c>
      <c r="N581">
        <v>5</v>
      </c>
      <c r="O581">
        <v>0</v>
      </c>
      <c r="P581" t="s">
        <v>33</v>
      </c>
      <c r="Q581" t="s">
        <v>47</v>
      </c>
      <c r="R581" t="s">
        <v>26</v>
      </c>
      <c r="S581" s="2">
        <f t="shared" si="9"/>
        <v>455269.76</v>
      </c>
    </row>
    <row r="582" spans="1:19" x14ac:dyDescent="0.3">
      <c r="A582" t="s">
        <v>643</v>
      </c>
      <c r="B582" s="1">
        <v>46165</v>
      </c>
      <c r="C582" t="s">
        <v>62</v>
      </c>
      <c r="D582" t="s">
        <v>29</v>
      </c>
      <c r="E582" t="s">
        <v>21</v>
      </c>
      <c r="F582" t="s">
        <v>22</v>
      </c>
      <c r="G582" t="s">
        <v>23</v>
      </c>
      <c r="H582">
        <v>126</v>
      </c>
      <c r="I582">
        <v>45</v>
      </c>
      <c r="J582">
        <v>91</v>
      </c>
      <c r="K582">
        <v>80</v>
      </c>
      <c r="L582">
        <v>99</v>
      </c>
      <c r="M582" s="2">
        <v>768.69</v>
      </c>
      <c r="N582">
        <v>2</v>
      </c>
      <c r="O582">
        <v>7</v>
      </c>
      <c r="P582" t="s">
        <v>33</v>
      </c>
      <c r="Q582" t="s">
        <v>34</v>
      </c>
      <c r="R582" t="s">
        <v>59</v>
      </c>
      <c r="S582" s="2">
        <f t="shared" si="9"/>
        <v>61495.200000000004</v>
      </c>
    </row>
    <row r="583" spans="1:19" x14ac:dyDescent="0.3">
      <c r="A583" t="s">
        <v>644</v>
      </c>
      <c r="B583" s="1">
        <v>46078</v>
      </c>
      <c r="C583" t="s">
        <v>52</v>
      </c>
      <c r="D583" t="s">
        <v>53</v>
      </c>
      <c r="E583" t="s">
        <v>58</v>
      </c>
      <c r="F583" t="s">
        <v>37</v>
      </c>
      <c r="G583" t="s">
        <v>38</v>
      </c>
      <c r="H583">
        <v>161</v>
      </c>
      <c r="I583">
        <v>105</v>
      </c>
      <c r="J583">
        <v>92</v>
      </c>
      <c r="K583">
        <v>174</v>
      </c>
      <c r="L583">
        <v>70</v>
      </c>
      <c r="M583" s="2">
        <v>713.38</v>
      </c>
      <c r="N583">
        <v>6</v>
      </c>
      <c r="O583">
        <v>0</v>
      </c>
      <c r="P583" t="s">
        <v>33</v>
      </c>
      <c r="Q583" t="s">
        <v>47</v>
      </c>
      <c r="R583" t="s">
        <v>59</v>
      </c>
      <c r="S583" s="2">
        <f t="shared" si="9"/>
        <v>124128.12</v>
      </c>
    </row>
    <row r="584" spans="1:19" x14ac:dyDescent="0.3">
      <c r="A584" t="s">
        <v>645</v>
      </c>
      <c r="B584" s="1">
        <v>46036</v>
      </c>
      <c r="C584" t="s">
        <v>89</v>
      </c>
      <c r="D584" t="s">
        <v>20</v>
      </c>
      <c r="E584" t="s">
        <v>58</v>
      </c>
      <c r="F584" t="s">
        <v>1582</v>
      </c>
      <c r="G584" t="s">
        <v>1583</v>
      </c>
      <c r="H584">
        <v>99</v>
      </c>
      <c r="I584">
        <v>100</v>
      </c>
      <c r="J584">
        <v>32</v>
      </c>
      <c r="K584">
        <v>167</v>
      </c>
      <c r="L584">
        <v>46</v>
      </c>
      <c r="M584" s="2">
        <v>1103.9000000000001</v>
      </c>
      <c r="N584">
        <v>2</v>
      </c>
      <c r="O584">
        <v>0</v>
      </c>
      <c r="P584" t="s">
        <v>33</v>
      </c>
      <c r="Q584" t="s">
        <v>47</v>
      </c>
      <c r="R584" t="s">
        <v>26</v>
      </c>
      <c r="S584" s="2">
        <f t="shared" si="9"/>
        <v>184351.30000000002</v>
      </c>
    </row>
    <row r="585" spans="1:19" x14ac:dyDescent="0.3">
      <c r="A585" t="s">
        <v>646</v>
      </c>
      <c r="B585" s="1">
        <v>46126</v>
      </c>
      <c r="C585" t="s">
        <v>36</v>
      </c>
      <c r="D585" t="s">
        <v>29</v>
      </c>
      <c r="E585" t="s">
        <v>30</v>
      </c>
      <c r="F585" t="s">
        <v>37</v>
      </c>
      <c r="G585" t="s">
        <v>38</v>
      </c>
      <c r="H585">
        <v>79</v>
      </c>
      <c r="I585">
        <v>58</v>
      </c>
      <c r="J585">
        <v>94</v>
      </c>
      <c r="K585">
        <v>43</v>
      </c>
      <c r="L585">
        <v>84</v>
      </c>
      <c r="M585" s="2">
        <v>2206.2399999999998</v>
      </c>
      <c r="N585">
        <v>2</v>
      </c>
      <c r="O585">
        <v>8</v>
      </c>
      <c r="P585" t="s">
        <v>33</v>
      </c>
      <c r="Q585" t="s">
        <v>25</v>
      </c>
      <c r="R585" t="s">
        <v>59</v>
      </c>
      <c r="S585" s="2">
        <f t="shared" si="9"/>
        <v>94868.319999999992</v>
      </c>
    </row>
    <row r="586" spans="1:19" x14ac:dyDescent="0.3">
      <c r="A586" t="s">
        <v>647</v>
      </c>
      <c r="B586" s="1">
        <v>46083</v>
      </c>
      <c r="C586" t="s">
        <v>146</v>
      </c>
      <c r="D586" t="s">
        <v>46</v>
      </c>
      <c r="E586" t="s">
        <v>58</v>
      </c>
      <c r="F586" t="s">
        <v>37</v>
      </c>
      <c r="G586" t="s">
        <v>38</v>
      </c>
      <c r="H586">
        <v>178</v>
      </c>
      <c r="I586">
        <v>63</v>
      </c>
      <c r="J586">
        <v>84</v>
      </c>
      <c r="K586">
        <v>157</v>
      </c>
      <c r="L586">
        <v>79</v>
      </c>
      <c r="M586" s="2">
        <v>1355.3</v>
      </c>
      <c r="N586">
        <v>8</v>
      </c>
      <c r="O586">
        <v>0</v>
      </c>
      <c r="P586" t="s">
        <v>24</v>
      </c>
      <c r="Q586" t="s">
        <v>34</v>
      </c>
      <c r="R586" t="s">
        <v>26</v>
      </c>
      <c r="S586" s="2">
        <f t="shared" si="9"/>
        <v>212782.1</v>
      </c>
    </row>
    <row r="587" spans="1:19" x14ac:dyDescent="0.3">
      <c r="A587" t="s">
        <v>648</v>
      </c>
      <c r="B587" s="1">
        <v>46384</v>
      </c>
      <c r="C587" t="s">
        <v>55</v>
      </c>
      <c r="D587" t="s">
        <v>50</v>
      </c>
      <c r="E587" t="s">
        <v>21</v>
      </c>
      <c r="F587" t="s">
        <v>1582</v>
      </c>
      <c r="G587" t="s">
        <v>1583</v>
      </c>
      <c r="H587">
        <v>153</v>
      </c>
      <c r="I587">
        <v>78</v>
      </c>
      <c r="J587">
        <v>19</v>
      </c>
      <c r="K587">
        <v>212</v>
      </c>
      <c r="L587">
        <v>47</v>
      </c>
      <c r="M587" s="2">
        <v>935.37</v>
      </c>
      <c r="N587">
        <v>7</v>
      </c>
      <c r="O587">
        <v>0</v>
      </c>
      <c r="P587" t="s">
        <v>33</v>
      </c>
      <c r="Q587" t="s">
        <v>47</v>
      </c>
      <c r="R587" t="s">
        <v>26</v>
      </c>
      <c r="S587" s="2">
        <f t="shared" si="9"/>
        <v>198298.44</v>
      </c>
    </row>
    <row r="588" spans="1:19" x14ac:dyDescent="0.3">
      <c r="A588" t="s">
        <v>649</v>
      </c>
      <c r="B588" s="1">
        <v>46263</v>
      </c>
      <c r="C588" t="s">
        <v>36</v>
      </c>
      <c r="D588" t="s">
        <v>29</v>
      </c>
      <c r="E588" t="s">
        <v>58</v>
      </c>
      <c r="F588" t="s">
        <v>22</v>
      </c>
      <c r="G588" t="s">
        <v>23</v>
      </c>
      <c r="H588">
        <v>119</v>
      </c>
      <c r="I588">
        <v>111</v>
      </c>
      <c r="J588">
        <v>64</v>
      </c>
      <c r="K588">
        <v>166</v>
      </c>
      <c r="L588">
        <v>76</v>
      </c>
      <c r="M588" s="2">
        <v>2526.73</v>
      </c>
      <c r="N588">
        <v>10</v>
      </c>
      <c r="O588">
        <v>0</v>
      </c>
      <c r="P588" t="s">
        <v>24</v>
      </c>
      <c r="Q588" t="s">
        <v>34</v>
      </c>
      <c r="R588" t="s">
        <v>26</v>
      </c>
      <c r="S588" s="2">
        <f t="shared" si="9"/>
        <v>419437.18</v>
      </c>
    </row>
    <row r="589" spans="1:19" x14ac:dyDescent="0.3">
      <c r="A589" t="s">
        <v>650</v>
      </c>
      <c r="B589" s="1">
        <v>46168</v>
      </c>
      <c r="C589" t="s">
        <v>72</v>
      </c>
      <c r="D589" t="s">
        <v>50</v>
      </c>
      <c r="E589" t="s">
        <v>30</v>
      </c>
      <c r="F589" t="s">
        <v>31</v>
      </c>
      <c r="G589" t="s">
        <v>32</v>
      </c>
      <c r="H589">
        <v>140</v>
      </c>
      <c r="I589">
        <v>53</v>
      </c>
      <c r="J589">
        <v>78</v>
      </c>
      <c r="K589">
        <v>115</v>
      </c>
      <c r="L589">
        <v>82</v>
      </c>
      <c r="M589" s="2">
        <v>2407.1799999999998</v>
      </c>
      <c r="N589">
        <v>6</v>
      </c>
      <c r="O589">
        <v>0</v>
      </c>
      <c r="P589" t="s">
        <v>33</v>
      </c>
      <c r="Q589" t="s">
        <v>34</v>
      </c>
      <c r="R589" t="s">
        <v>59</v>
      </c>
      <c r="S589" s="2">
        <f t="shared" si="9"/>
        <v>276825.69999999995</v>
      </c>
    </row>
    <row r="590" spans="1:19" x14ac:dyDescent="0.3">
      <c r="A590" t="s">
        <v>651</v>
      </c>
      <c r="B590" s="1">
        <v>46197</v>
      </c>
      <c r="C590" t="s">
        <v>109</v>
      </c>
      <c r="D590" t="s">
        <v>46</v>
      </c>
      <c r="E590" t="s">
        <v>75</v>
      </c>
      <c r="F590" t="s">
        <v>31</v>
      </c>
      <c r="G590" t="s">
        <v>32</v>
      </c>
      <c r="H590">
        <v>72</v>
      </c>
      <c r="I590">
        <v>127</v>
      </c>
      <c r="J590">
        <v>61</v>
      </c>
      <c r="K590">
        <v>138</v>
      </c>
      <c r="L590">
        <v>67</v>
      </c>
      <c r="M590" s="2">
        <v>3398.11</v>
      </c>
      <c r="N590">
        <v>6</v>
      </c>
      <c r="O590">
        <v>0</v>
      </c>
      <c r="P590" t="s">
        <v>24</v>
      </c>
      <c r="Q590" t="s">
        <v>34</v>
      </c>
      <c r="R590" t="s">
        <v>43</v>
      </c>
      <c r="S590" s="2">
        <f t="shared" si="9"/>
        <v>468939.18</v>
      </c>
    </row>
    <row r="591" spans="1:19" x14ac:dyDescent="0.3">
      <c r="A591" t="s">
        <v>652</v>
      </c>
      <c r="B591" s="1">
        <v>46066</v>
      </c>
      <c r="C591" t="s">
        <v>57</v>
      </c>
      <c r="D591" t="s">
        <v>50</v>
      </c>
      <c r="E591" t="s">
        <v>58</v>
      </c>
      <c r="F591" t="s">
        <v>37</v>
      </c>
      <c r="G591" t="s">
        <v>38</v>
      </c>
      <c r="H591">
        <v>131</v>
      </c>
      <c r="I591">
        <v>72</v>
      </c>
      <c r="J591">
        <v>59</v>
      </c>
      <c r="K591">
        <v>144</v>
      </c>
      <c r="L591">
        <v>48</v>
      </c>
      <c r="M591" s="2">
        <v>2890.29</v>
      </c>
      <c r="N591">
        <v>3</v>
      </c>
      <c r="O591">
        <v>0</v>
      </c>
      <c r="P591" t="s">
        <v>33</v>
      </c>
      <c r="Q591" t="s">
        <v>47</v>
      </c>
      <c r="R591" t="s">
        <v>26</v>
      </c>
      <c r="S591" s="2">
        <f t="shared" si="9"/>
        <v>416201.76</v>
      </c>
    </row>
    <row r="592" spans="1:19" x14ac:dyDescent="0.3">
      <c r="A592" t="s">
        <v>653</v>
      </c>
      <c r="B592" s="1">
        <v>46379</v>
      </c>
      <c r="C592" t="s">
        <v>89</v>
      </c>
      <c r="D592" t="s">
        <v>20</v>
      </c>
      <c r="E592" t="s">
        <v>75</v>
      </c>
      <c r="F592" t="s">
        <v>37</v>
      </c>
      <c r="G592" t="s">
        <v>38</v>
      </c>
      <c r="H592">
        <v>83</v>
      </c>
      <c r="I592">
        <v>22</v>
      </c>
      <c r="J592">
        <v>83</v>
      </c>
      <c r="K592">
        <v>22</v>
      </c>
      <c r="L592">
        <v>65</v>
      </c>
      <c r="M592" s="2">
        <v>1088.97</v>
      </c>
      <c r="N592">
        <v>7</v>
      </c>
      <c r="O592">
        <v>7</v>
      </c>
      <c r="P592" t="s">
        <v>33</v>
      </c>
      <c r="Q592" t="s">
        <v>25</v>
      </c>
      <c r="R592" t="s">
        <v>26</v>
      </c>
      <c r="S592" s="2">
        <f t="shared" si="9"/>
        <v>23957.34</v>
      </c>
    </row>
    <row r="593" spans="1:19" x14ac:dyDescent="0.3">
      <c r="A593" t="s">
        <v>654</v>
      </c>
      <c r="B593" s="1">
        <v>46195</v>
      </c>
      <c r="C593" t="s">
        <v>57</v>
      </c>
      <c r="D593" t="s">
        <v>50</v>
      </c>
      <c r="E593" t="s">
        <v>21</v>
      </c>
      <c r="F593" t="s">
        <v>1582</v>
      </c>
      <c r="G593" t="s">
        <v>1583</v>
      </c>
      <c r="H593">
        <v>186</v>
      </c>
      <c r="I593">
        <v>69</v>
      </c>
      <c r="J593">
        <v>56</v>
      </c>
      <c r="K593">
        <v>199</v>
      </c>
      <c r="L593">
        <v>81</v>
      </c>
      <c r="M593" s="2">
        <v>2574.73</v>
      </c>
      <c r="N593">
        <v>5</v>
      </c>
      <c r="O593">
        <v>0</v>
      </c>
      <c r="P593" t="s">
        <v>24</v>
      </c>
      <c r="Q593" t="s">
        <v>47</v>
      </c>
      <c r="R593" t="s">
        <v>26</v>
      </c>
      <c r="S593" s="2">
        <f t="shared" si="9"/>
        <v>512371.27</v>
      </c>
    </row>
    <row r="594" spans="1:19" x14ac:dyDescent="0.3">
      <c r="A594" t="s">
        <v>655</v>
      </c>
      <c r="B594" s="1">
        <v>46132</v>
      </c>
      <c r="C594" t="s">
        <v>49</v>
      </c>
      <c r="D594" t="s">
        <v>50</v>
      </c>
      <c r="E594" t="s">
        <v>42</v>
      </c>
      <c r="F594" t="s">
        <v>37</v>
      </c>
      <c r="G594" t="s">
        <v>38</v>
      </c>
      <c r="H594">
        <v>133</v>
      </c>
      <c r="I594">
        <v>75</v>
      </c>
      <c r="J594">
        <v>40</v>
      </c>
      <c r="K594">
        <v>168</v>
      </c>
      <c r="L594">
        <v>76</v>
      </c>
      <c r="M594" s="2">
        <v>1335.22</v>
      </c>
      <c r="N594">
        <v>8</v>
      </c>
      <c r="O594">
        <v>0</v>
      </c>
      <c r="P594" t="s">
        <v>24</v>
      </c>
      <c r="Q594" t="s">
        <v>47</v>
      </c>
      <c r="R594" t="s">
        <v>43</v>
      </c>
      <c r="S594" s="2">
        <f t="shared" si="9"/>
        <v>224316.96</v>
      </c>
    </row>
    <row r="595" spans="1:19" x14ac:dyDescent="0.3">
      <c r="A595" t="s">
        <v>656</v>
      </c>
      <c r="B595" s="1">
        <v>46326</v>
      </c>
      <c r="C595" t="s">
        <v>45</v>
      </c>
      <c r="D595" t="s">
        <v>46</v>
      </c>
      <c r="E595" t="s">
        <v>75</v>
      </c>
      <c r="F595" t="s">
        <v>37</v>
      </c>
      <c r="G595" t="s">
        <v>38</v>
      </c>
      <c r="H595">
        <v>186</v>
      </c>
      <c r="I595">
        <v>71</v>
      </c>
      <c r="J595">
        <v>43</v>
      </c>
      <c r="K595">
        <v>214</v>
      </c>
      <c r="L595">
        <v>84</v>
      </c>
      <c r="M595" s="2">
        <v>838.86</v>
      </c>
      <c r="N595">
        <v>2</v>
      </c>
      <c r="O595">
        <v>0</v>
      </c>
      <c r="P595" t="s">
        <v>33</v>
      </c>
      <c r="Q595" t="s">
        <v>47</v>
      </c>
      <c r="R595" t="s">
        <v>26</v>
      </c>
      <c r="S595" s="2">
        <f t="shared" si="9"/>
        <v>179516.04</v>
      </c>
    </row>
    <row r="596" spans="1:19" x14ac:dyDescent="0.3">
      <c r="A596" t="s">
        <v>657</v>
      </c>
      <c r="B596" s="1">
        <v>46244</v>
      </c>
      <c r="C596" t="s">
        <v>45</v>
      </c>
      <c r="D596" t="s">
        <v>46</v>
      </c>
      <c r="E596" t="s">
        <v>75</v>
      </c>
      <c r="F596" t="s">
        <v>1582</v>
      </c>
      <c r="G596" t="s">
        <v>1583</v>
      </c>
      <c r="H596">
        <v>149</v>
      </c>
      <c r="I596">
        <v>46</v>
      </c>
      <c r="J596">
        <v>59</v>
      </c>
      <c r="K596">
        <v>136</v>
      </c>
      <c r="L596">
        <v>95</v>
      </c>
      <c r="M596" s="2">
        <v>732.27</v>
      </c>
      <c r="N596">
        <v>8</v>
      </c>
      <c r="O596">
        <v>0</v>
      </c>
      <c r="P596" t="s">
        <v>33</v>
      </c>
      <c r="Q596" t="s">
        <v>34</v>
      </c>
      <c r="R596" t="s">
        <v>43</v>
      </c>
      <c r="S596" s="2">
        <f t="shared" si="9"/>
        <v>99588.72</v>
      </c>
    </row>
    <row r="597" spans="1:19" x14ac:dyDescent="0.3">
      <c r="A597" t="s">
        <v>658</v>
      </c>
      <c r="B597" s="1">
        <v>46344</v>
      </c>
      <c r="C597" t="s">
        <v>52</v>
      </c>
      <c r="D597" t="s">
        <v>53</v>
      </c>
      <c r="E597" t="s">
        <v>42</v>
      </c>
      <c r="F597" t="s">
        <v>1582</v>
      </c>
      <c r="G597" t="s">
        <v>1583</v>
      </c>
      <c r="H597">
        <v>142</v>
      </c>
      <c r="I597">
        <v>52</v>
      </c>
      <c r="J597">
        <v>94</v>
      </c>
      <c r="K597">
        <v>100</v>
      </c>
      <c r="L597">
        <v>77</v>
      </c>
      <c r="M597" s="2">
        <v>643.91999999999996</v>
      </c>
      <c r="N597">
        <v>8</v>
      </c>
      <c r="O597">
        <v>0</v>
      </c>
      <c r="P597" t="s">
        <v>33</v>
      </c>
      <c r="Q597" t="s">
        <v>34</v>
      </c>
      <c r="R597" t="s">
        <v>43</v>
      </c>
      <c r="S597" s="2">
        <f t="shared" si="9"/>
        <v>64391.999999999993</v>
      </c>
    </row>
    <row r="598" spans="1:19" x14ac:dyDescent="0.3">
      <c r="A598" t="s">
        <v>659</v>
      </c>
      <c r="B598" s="1">
        <v>46245</v>
      </c>
      <c r="C598" t="s">
        <v>87</v>
      </c>
      <c r="D598" t="s">
        <v>53</v>
      </c>
      <c r="E598" t="s">
        <v>30</v>
      </c>
      <c r="F598" t="s">
        <v>1582</v>
      </c>
      <c r="G598" t="s">
        <v>1583</v>
      </c>
      <c r="H598">
        <v>94</v>
      </c>
      <c r="I598">
        <v>104</v>
      </c>
      <c r="J598">
        <v>110</v>
      </c>
      <c r="K598">
        <v>88</v>
      </c>
      <c r="L598">
        <v>74</v>
      </c>
      <c r="M598" s="2">
        <v>429.11</v>
      </c>
      <c r="N598">
        <v>7</v>
      </c>
      <c r="O598">
        <v>0</v>
      </c>
      <c r="P598" t="s">
        <v>33</v>
      </c>
      <c r="Q598" t="s">
        <v>34</v>
      </c>
      <c r="R598" t="s">
        <v>26</v>
      </c>
      <c r="S598" s="2">
        <f t="shared" si="9"/>
        <v>37761.68</v>
      </c>
    </row>
    <row r="599" spans="1:19" x14ac:dyDescent="0.3">
      <c r="A599" t="s">
        <v>660</v>
      </c>
      <c r="B599" s="1">
        <v>46233</v>
      </c>
      <c r="C599" t="s">
        <v>77</v>
      </c>
      <c r="D599" t="s">
        <v>53</v>
      </c>
      <c r="E599" t="s">
        <v>30</v>
      </c>
      <c r="F599" t="s">
        <v>22</v>
      </c>
      <c r="G599" t="s">
        <v>23</v>
      </c>
      <c r="H599">
        <v>133</v>
      </c>
      <c r="I599">
        <v>79</v>
      </c>
      <c r="J599">
        <v>33</v>
      </c>
      <c r="K599">
        <v>179</v>
      </c>
      <c r="L599">
        <v>60</v>
      </c>
      <c r="M599" s="2">
        <v>465.05</v>
      </c>
      <c r="N599">
        <v>7</v>
      </c>
      <c r="O599">
        <v>0</v>
      </c>
      <c r="P599" t="s">
        <v>33</v>
      </c>
      <c r="Q599" t="s">
        <v>47</v>
      </c>
      <c r="R599" t="s">
        <v>43</v>
      </c>
      <c r="S599" s="2">
        <f t="shared" si="9"/>
        <v>83243.95</v>
      </c>
    </row>
    <row r="600" spans="1:19" x14ac:dyDescent="0.3">
      <c r="A600" t="s">
        <v>661</v>
      </c>
      <c r="B600" s="1">
        <v>46081</v>
      </c>
      <c r="C600" t="s">
        <v>109</v>
      </c>
      <c r="D600" t="s">
        <v>46</v>
      </c>
      <c r="E600" t="s">
        <v>42</v>
      </c>
      <c r="F600" t="s">
        <v>1582</v>
      </c>
      <c r="G600" t="s">
        <v>1583</v>
      </c>
      <c r="H600">
        <v>108</v>
      </c>
      <c r="I600">
        <v>125</v>
      </c>
      <c r="J600">
        <v>51</v>
      </c>
      <c r="K600">
        <v>182</v>
      </c>
      <c r="L600">
        <v>86</v>
      </c>
      <c r="M600" s="2">
        <v>2982.77</v>
      </c>
      <c r="N600">
        <v>7</v>
      </c>
      <c r="O600">
        <v>0</v>
      </c>
      <c r="P600" t="s">
        <v>33</v>
      </c>
      <c r="Q600" t="s">
        <v>34</v>
      </c>
      <c r="R600" t="s">
        <v>26</v>
      </c>
      <c r="S600" s="2">
        <f t="shared" si="9"/>
        <v>542864.14</v>
      </c>
    </row>
    <row r="601" spans="1:19" x14ac:dyDescent="0.3">
      <c r="A601" t="s">
        <v>662</v>
      </c>
      <c r="B601" s="1">
        <v>46104</v>
      </c>
      <c r="C601" t="s">
        <v>28</v>
      </c>
      <c r="D601" t="s">
        <v>29</v>
      </c>
      <c r="E601" t="s">
        <v>75</v>
      </c>
      <c r="F601" t="s">
        <v>22</v>
      </c>
      <c r="G601" t="s">
        <v>23</v>
      </c>
      <c r="H601">
        <v>119</v>
      </c>
      <c r="I601">
        <v>79</v>
      </c>
      <c r="J601">
        <v>77</v>
      </c>
      <c r="K601">
        <v>121</v>
      </c>
      <c r="L601">
        <v>80</v>
      </c>
      <c r="M601" s="2">
        <v>1427.74</v>
      </c>
      <c r="N601">
        <v>5</v>
      </c>
      <c r="O601">
        <v>0</v>
      </c>
      <c r="P601" t="s">
        <v>33</v>
      </c>
      <c r="Q601" t="s">
        <v>34</v>
      </c>
      <c r="R601" t="s">
        <v>26</v>
      </c>
      <c r="S601" s="2">
        <f t="shared" si="9"/>
        <v>172756.54</v>
      </c>
    </row>
    <row r="602" spans="1:19" x14ac:dyDescent="0.3">
      <c r="A602" t="s">
        <v>663</v>
      </c>
      <c r="B602" s="1">
        <v>46033</v>
      </c>
      <c r="C602" t="s">
        <v>80</v>
      </c>
      <c r="D602" t="s">
        <v>46</v>
      </c>
      <c r="E602" t="s">
        <v>75</v>
      </c>
      <c r="F602" t="s">
        <v>37</v>
      </c>
      <c r="G602" t="s">
        <v>38</v>
      </c>
      <c r="H602">
        <v>111</v>
      </c>
      <c r="I602">
        <v>104</v>
      </c>
      <c r="J602">
        <v>85</v>
      </c>
      <c r="K602">
        <v>130</v>
      </c>
      <c r="L602">
        <v>56</v>
      </c>
      <c r="M602" s="2">
        <v>1131.74</v>
      </c>
      <c r="N602">
        <v>2</v>
      </c>
      <c r="O602">
        <v>0</v>
      </c>
      <c r="P602" t="s">
        <v>33</v>
      </c>
      <c r="Q602" t="s">
        <v>47</v>
      </c>
      <c r="R602" t="s">
        <v>26</v>
      </c>
      <c r="S602" s="2">
        <f t="shared" si="9"/>
        <v>147126.20000000001</v>
      </c>
    </row>
    <row r="603" spans="1:19" x14ac:dyDescent="0.3">
      <c r="A603" t="s">
        <v>664</v>
      </c>
      <c r="B603" s="1">
        <v>46315</v>
      </c>
      <c r="C603" t="s">
        <v>19</v>
      </c>
      <c r="D603" t="s">
        <v>20</v>
      </c>
      <c r="E603" t="s">
        <v>21</v>
      </c>
      <c r="F603" t="s">
        <v>37</v>
      </c>
      <c r="G603" t="s">
        <v>38</v>
      </c>
      <c r="H603">
        <v>56</v>
      </c>
      <c r="I603">
        <v>72</v>
      </c>
      <c r="J603">
        <v>61</v>
      </c>
      <c r="K603">
        <v>67</v>
      </c>
      <c r="L603">
        <v>87</v>
      </c>
      <c r="M603" s="2">
        <v>1856.68</v>
      </c>
      <c r="N603">
        <v>2</v>
      </c>
      <c r="O603">
        <v>3</v>
      </c>
      <c r="P603" t="s">
        <v>33</v>
      </c>
      <c r="Q603" t="s">
        <v>34</v>
      </c>
      <c r="R603" t="s">
        <v>26</v>
      </c>
      <c r="S603" s="2">
        <f t="shared" si="9"/>
        <v>124397.56</v>
      </c>
    </row>
    <row r="604" spans="1:19" x14ac:dyDescent="0.3">
      <c r="A604" t="s">
        <v>665</v>
      </c>
      <c r="B604" s="1">
        <v>46222</v>
      </c>
      <c r="C604" t="s">
        <v>77</v>
      </c>
      <c r="D604" t="s">
        <v>53</v>
      </c>
      <c r="E604" t="s">
        <v>30</v>
      </c>
      <c r="F604" t="s">
        <v>37</v>
      </c>
      <c r="G604" t="s">
        <v>38</v>
      </c>
      <c r="H604">
        <v>167</v>
      </c>
      <c r="I604">
        <v>31</v>
      </c>
      <c r="J604">
        <v>45</v>
      </c>
      <c r="K604">
        <v>153</v>
      </c>
      <c r="L604">
        <v>83</v>
      </c>
      <c r="M604" s="2">
        <v>462.23</v>
      </c>
      <c r="N604">
        <v>8</v>
      </c>
      <c r="O604">
        <v>0</v>
      </c>
      <c r="P604" t="s">
        <v>33</v>
      </c>
      <c r="Q604" t="s">
        <v>34</v>
      </c>
      <c r="R604" t="s">
        <v>43</v>
      </c>
      <c r="S604" s="2">
        <f t="shared" si="9"/>
        <v>70721.19</v>
      </c>
    </row>
    <row r="605" spans="1:19" x14ac:dyDescent="0.3">
      <c r="A605" t="s">
        <v>666</v>
      </c>
      <c r="B605" s="1">
        <v>46296</v>
      </c>
      <c r="C605" t="s">
        <v>36</v>
      </c>
      <c r="D605" t="s">
        <v>29</v>
      </c>
      <c r="E605" t="s">
        <v>42</v>
      </c>
      <c r="F605" t="s">
        <v>22</v>
      </c>
      <c r="G605" t="s">
        <v>23</v>
      </c>
      <c r="H605">
        <v>67</v>
      </c>
      <c r="I605">
        <v>42</v>
      </c>
      <c r="J605">
        <v>42</v>
      </c>
      <c r="K605">
        <v>67</v>
      </c>
      <c r="L605">
        <v>62</v>
      </c>
      <c r="M605" s="2">
        <v>2370.9499999999998</v>
      </c>
      <c r="N605">
        <v>4</v>
      </c>
      <c r="O605">
        <v>0</v>
      </c>
      <c r="P605" t="s">
        <v>33</v>
      </c>
      <c r="Q605" t="s">
        <v>34</v>
      </c>
      <c r="R605" t="s">
        <v>26</v>
      </c>
      <c r="S605" s="2">
        <f t="shared" si="9"/>
        <v>158853.65</v>
      </c>
    </row>
    <row r="606" spans="1:19" x14ac:dyDescent="0.3">
      <c r="A606" t="s">
        <v>667</v>
      </c>
      <c r="B606" s="1">
        <v>46180</v>
      </c>
      <c r="C606" t="s">
        <v>109</v>
      </c>
      <c r="D606" t="s">
        <v>46</v>
      </c>
      <c r="E606" t="s">
        <v>21</v>
      </c>
      <c r="F606" t="s">
        <v>1582</v>
      </c>
      <c r="G606" t="s">
        <v>1583</v>
      </c>
      <c r="H606">
        <v>161</v>
      </c>
      <c r="I606">
        <v>107</v>
      </c>
      <c r="J606">
        <v>46</v>
      </c>
      <c r="K606">
        <v>222</v>
      </c>
      <c r="L606">
        <v>62</v>
      </c>
      <c r="M606" s="2">
        <v>3442.84</v>
      </c>
      <c r="N606">
        <v>3</v>
      </c>
      <c r="O606">
        <v>0</v>
      </c>
      <c r="P606" t="s">
        <v>33</v>
      </c>
      <c r="Q606" t="s">
        <v>47</v>
      </c>
      <c r="R606" t="s">
        <v>59</v>
      </c>
      <c r="S606" s="2">
        <f t="shared" si="9"/>
        <v>764310.48</v>
      </c>
    </row>
    <row r="607" spans="1:19" x14ac:dyDescent="0.3">
      <c r="A607" t="s">
        <v>668</v>
      </c>
      <c r="B607" s="1">
        <v>46144</v>
      </c>
      <c r="C607" t="s">
        <v>19</v>
      </c>
      <c r="D607" t="s">
        <v>20</v>
      </c>
      <c r="E607" t="s">
        <v>75</v>
      </c>
      <c r="F607" t="s">
        <v>22</v>
      </c>
      <c r="G607" t="s">
        <v>23</v>
      </c>
      <c r="H607">
        <v>104</v>
      </c>
      <c r="I607">
        <v>90</v>
      </c>
      <c r="J607">
        <v>64</v>
      </c>
      <c r="K607">
        <v>130</v>
      </c>
      <c r="L607">
        <v>64</v>
      </c>
      <c r="M607" s="2">
        <v>1850.02</v>
      </c>
      <c r="N607">
        <v>10</v>
      </c>
      <c r="O607">
        <v>0</v>
      </c>
      <c r="P607" t="s">
        <v>33</v>
      </c>
      <c r="Q607" t="s">
        <v>34</v>
      </c>
      <c r="R607" t="s">
        <v>26</v>
      </c>
      <c r="S607" s="2">
        <f t="shared" si="9"/>
        <v>240502.6</v>
      </c>
    </row>
    <row r="608" spans="1:19" x14ac:dyDescent="0.3">
      <c r="A608" t="s">
        <v>669</v>
      </c>
      <c r="B608" s="1">
        <v>46247</v>
      </c>
      <c r="C608" t="s">
        <v>55</v>
      </c>
      <c r="D608" t="s">
        <v>50</v>
      </c>
      <c r="E608" t="s">
        <v>75</v>
      </c>
      <c r="F608" t="s">
        <v>1582</v>
      </c>
      <c r="G608" t="s">
        <v>1583</v>
      </c>
      <c r="H608">
        <v>105</v>
      </c>
      <c r="I608">
        <v>58</v>
      </c>
      <c r="J608">
        <v>26</v>
      </c>
      <c r="K608">
        <v>137</v>
      </c>
      <c r="L608">
        <v>97</v>
      </c>
      <c r="M608" s="2">
        <v>1051.33</v>
      </c>
      <c r="N608">
        <v>4</v>
      </c>
      <c r="O608">
        <v>0</v>
      </c>
      <c r="P608" t="s">
        <v>33</v>
      </c>
      <c r="Q608" t="s">
        <v>34</v>
      </c>
      <c r="R608" t="s">
        <v>43</v>
      </c>
      <c r="S608" s="2">
        <f t="shared" si="9"/>
        <v>144032.21</v>
      </c>
    </row>
    <row r="609" spans="1:19" x14ac:dyDescent="0.3">
      <c r="A609" t="s">
        <v>670</v>
      </c>
      <c r="B609" s="1">
        <v>46074</v>
      </c>
      <c r="C609" t="s">
        <v>146</v>
      </c>
      <c r="D609" t="s">
        <v>46</v>
      </c>
      <c r="E609" t="s">
        <v>75</v>
      </c>
      <c r="F609" t="s">
        <v>37</v>
      </c>
      <c r="G609" t="s">
        <v>38</v>
      </c>
      <c r="H609">
        <v>60</v>
      </c>
      <c r="I609">
        <v>125</v>
      </c>
      <c r="J609">
        <v>77</v>
      </c>
      <c r="K609">
        <v>108</v>
      </c>
      <c r="L609">
        <v>75</v>
      </c>
      <c r="M609" s="2">
        <v>1571.08</v>
      </c>
      <c r="N609">
        <v>8</v>
      </c>
      <c r="O609">
        <v>0</v>
      </c>
      <c r="P609" t="s">
        <v>33</v>
      </c>
      <c r="Q609" t="s">
        <v>34</v>
      </c>
      <c r="R609" t="s">
        <v>26</v>
      </c>
      <c r="S609" s="2">
        <f t="shared" si="9"/>
        <v>169676.63999999998</v>
      </c>
    </row>
    <row r="610" spans="1:19" x14ac:dyDescent="0.3">
      <c r="A610" t="s">
        <v>671</v>
      </c>
      <c r="B610" s="1">
        <v>46049</v>
      </c>
      <c r="C610" t="s">
        <v>83</v>
      </c>
      <c r="D610" t="s">
        <v>29</v>
      </c>
      <c r="E610" t="s">
        <v>30</v>
      </c>
      <c r="F610" t="s">
        <v>31</v>
      </c>
      <c r="G610" t="s">
        <v>32</v>
      </c>
      <c r="H610">
        <v>130</v>
      </c>
      <c r="I610">
        <v>73</v>
      </c>
      <c r="J610">
        <v>92</v>
      </c>
      <c r="K610">
        <v>111</v>
      </c>
      <c r="L610">
        <v>91</v>
      </c>
      <c r="M610" s="2">
        <v>1700.3</v>
      </c>
      <c r="N610">
        <v>7</v>
      </c>
      <c r="O610">
        <v>0</v>
      </c>
      <c r="P610" t="s">
        <v>33</v>
      </c>
      <c r="Q610" t="s">
        <v>34</v>
      </c>
      <c r="R610" t="s">
        <v>59</v>
      </c>
      <c r="S610" s="2">
        <f t="shared" si="9"/>
        <v>188733.3</v>
      </c>
    </row>
    <row r="611" spans="1:19" x14ac:dyDescent="0.3">
      <c r="A611" t="s">
        <v>672</v>
      </c>
      <c r="B611" s="1">
        <v>46355</v>
      </c>
      <c r="C611" t="s">
        <v>36</v>
      </c>
      <c r="D611" t="s">
        <v>29</v>
      </c>
      <c r="E611" t="s">
        <v>42</v>
      </c>
      <c r="F611" t="s">
        <v>31</v>
      </c>
      <c r="G611" t="s">
        <v>32</v>
      </c>
      <c r="H611">
        <v>142</v>
      </c>
      <c r="I611">
        <v>45</v>
      </c>
      <c r="J611">
        <v>95</v>
      </c>
      <c r="K611">
        <v>92</v>
      </c>
      <c r="L611">
        <v>64</v>
      </c>
      <c r="M611" s="2">
        <v>2310.59</v>
      </c>
      <c r="N611">
        <v>2</v>
      </c>
      <c r="O611">
        <v>0</v>
      </c>
      <c r="P611" t="s">
        <v>24</v>
      </c>
      <c r="Q611" t="s">
        <v>34</v>
      </c>
      <c r="R611" t="s">
        <v>26</v>
      </c>
      <c r="S611" s="2">
        <f t="shared" si="9"/>
        <v>212574.28000000003</v>
      </c>
    </row>
    <row r="612" spans="1:19" x14ac:dyDescent="0.3">
      <c r="A612" t="s">
        <v>673</v>
      </c>
      <c r="B612" s="1">
        <v>46124</v>
      </c>
      <c r="C612" t="s">
        <v>36</v>
      </c>
      <c r="D612" t="s">
        <v>29</v>
      </c>
      <c r="E612" t="s">
        <v>21</v>
      </c>
      <c r="F612" t="s">
        <v>1582</v>
      </c>
      <c r="G612" t="s">
        <v>1583</v>
      </c>
      <c r="H612">
        <v>162</v>
      </c>
      <c r="I612">
        <v>114</v>
      </c>
      <c r="J612">
        <v>32</v>
      </c>
      <c r="K612">
        <v>244</v>
      </c>
      <c r="L612">
        <v>61</v>
      </c>
      <c r="M612" s="2">
        <v>2243.27</v>
      </c>
      <c r="N612">
        <v>6</v>
      </c>
      <c r="O612">
        <v>0</v>
      </c>
      <c r="P612" t="s">
        <v>33</v>
      </c>
      <c r="Q612" t="s">
        <v>47</v>
      </c>
      <c r="R612" t="s">
        <v>59</v>
      </c>
      <c r="S612" s="2">
        <f t="shared" si="9"/>
        <v>547357.88</v>
      </c>
    </row>
    <row r="613" spans="1:19" x14ac:dyDescent="0.3">
      <c r="A613" t="s">
        <v>674</v>
      </c>
      <c r="B613" s="1">
        <v>46343</v>
      </c>
      <c r="C613" t="s">
        <v>40</v>
      </c>
      <c r="D613" t="s">
        <v>20</v>
      </c>
      <c r="E613" t="s">
        <v>21</v>
      </c>
      <c r="F613" t="s">
        <v>22</v>
      </c>
      <c r="G613" t="s">
        <v>23</v>
      </c>
      <c r="H613">
        <v>140</v>
      </c>
      <c r="I613">
        <v>68</v>
      </c>
      <c r="J613">
        <v>88</v>
      </c>
      <c r="K613">
        <v>120</v>
      </c>
      <c r="L613">
        <v>59</v>
      </c>
      <c r="M613" s="2">
        <v>813.73</v>
      </c>
      <c r="N613">
        <v>2</v>
      </c>
      <c r="O613">
        <v>0</v>
      </c>
      <c r="P613" t="s">
        <v>33</v>
      </c>
      <c r="Q613" t="s">
        <v>34</v>
      </c>
      <c r="R613" t="s">
        <v>26</v>
      </c>
      <c r="S613" s="2">
        <f t="shared" si="9"/>
        <v>97647.6</v>
      </c>
    </row>
    <row r="614" spans="1:19" x14ac:dyDescent="0.3">
      <c r="A614" t="s">
        <v>675</v>
      </c>
      <c r="B614" s="1">
        <v>46211</v>
      </c>
      <c r="C614" t="s">
        <v>62</v>
      </c>
      <c r="D614" t="s">
        <v>29</v>
      </c>
      <c r="E614" t="s">
        <v>58</v>
      </c>
      <c r="F614" t="s">
        <v>22</v>
      </c>
      <c r="G614" t="s">
        <v>23</v>
      </c>
      <c r="H614">
        <v>107</v>
      </c>
      <c r="I614">
        <v>109</v>
      </c>
      <c r="J614">
        <v>36</v>
      </c>
      <c r="K614">
        <v>180</v>
      </c>
      <c r="L614">
        <v>48</v>
      </c>
      <c r="M614" s="2">
        <v>686.14</v>
      </c>
      <c r="N614">
        <v>5</v>
      </c>
      <c r="O614">
        <v>0</v>
      </c>
      <c r="P614" t="s">
        <v>33</v>
      </c>
      <c r="Q614" t="s">
        <v>47</v>
      </c>
      <c r="R614" t="s">
        <v>26</v>
      </c>
      <c r="S614" s="2">
        <f t="shared" si="9"/>
        <v>123505.2</v>
      </c>
    </row>
    <row r="615" spans="1:19" x14ac:dyDescent="0.3">
      <c r="A615" t="s">
        <v>676</v>
      </c>
      <c r="B615" s="1">
        <v>46159</v>
      </c>
      <c r="C615" t="s">
        <v>62</v>
      </c>
      <c r="D615" t="s">
        <v>29</v>
      </c>
      <c r="E615" t="s">
        <v>75</v>
      </c>
      <c r="F615" t="s">
        <v>1582</v>
      </c>
      <c r="G615" t="s">
        <v>1583</v>
      </c>
      <c r="H615">
        <v>156</v>
      </c>
      <c r="I615">
        <v>125</v>
      </c>
      <c r="J615">
        <v>101</v>
      </c>
      <c r="K615">
        <v>180</v>
      </c>
      <c r="L615">
        <v>76</v>
      </c>
      <c r="M615" s="2">
        <v>646.59</v>
      </c>
      <c r="N615">
        <v>7</v>
      </c>
      <c r="O615">
        <v>0</v>
      </c>
      <c r="P615" t="s">
        <v>33</v>
      </c>
      <c r="Q615" t="s">
        <v>47</v>
      </c>
      <c r="R615" t="s">
        <v>81</v>
      </c>
      <c r="S615" s="2">
        <f t="shared" si="9"/>
        <v>116386.20000000001</v>
      </c>
    </row>
    <row r="616" spans="1:19" x14ac:dyDescent="0.3">
      <c r="A616" t="s">
        <v>677</v>
      </c>
      <c r="B616" s="1">
        <v>46237</v>
      </c>
      <c r="C616" t="s">
        <v>146</v>
      </c>
      <c r="D616" t="s">
        <v>46</v>
      </c>
      <c r="E616" t="s">
        <v>58</v>
      </c>
      <c r="F616" t="s">
        <v>22</v>
      </c>
      <c r="G616" t="s">
        <v>23</v>
      </c>
      <c r="H616">
        <v>150</v>
      </c>
      <c r="I616">
        <v>129</v>
      </c>
      <c r="J616">
        <v>41</v>
      </c>
      <c r="K616">
        <v>238</v>
      </c>
      <c r="L616">
        <v>83</v>
      </c>
      <c r="M616" s="2">
        <v>1414.67</v>
      </c>
      <c r="N616">
        <v>8</v>
      </c>
      <c r="O616">
        <v>0</v>
      </c>
      <c r="P616" t="s">
        <v>33</v>
      </c>
      <c r="Q616" t="s">
        <v>47</v>
      </c>
      <c r="R616" t="s">
        <v>26</v>
      </c>
      <c r="S616" s="2">
        <f t="shared" si="9"/>
        <v>336691.46</v>
      </c>
    </row>
    <row r="617" spans="1:19" x14ac:dyDescent="0.3">
      <c r="A617" t="s">
        <v>678</v>
      </c>
      <c r="B617" s="1">
        <v>46257</v>
      </c>
      <c r="C617" t="s">
        <v>36</v>
      </c>
      <c r="D617" t="s">
        <v>29</v>
      </c>
      <c r="E617" t="s">
        <v>42</v>
      </c>
      <c r="F617" t="s">
        <v>31</v>
      </c>
      <c r="G617" t="s">
        <v>32</v>
      </c>
      <c r="H617">
        <v>114</v>
      </c>
      <c r="I617">
        <v>53</v>
      </c>
      <c r="J617">
        <v>45</v>
      </c>
      <c r="K617">
        <v>122</v>
      </c>
      <c r="L617">
        <v>84</v>
      </c>
      <c r="M617" s="2">
        <v>2376.4699999999998</v>
      </c>
      <c r="N617">
        <v>3</v>
      </c>
      <c r="O617">
        <v>0</v>
      </c>
      <c r="P617" t="s">
        <v>33</v>
      </c>
      <c r="Q617" t="s">
        <v>34</v>
      </c>
      <c r="R617" t="s">
        <v>59</v>
      </c>
      <c r="S617" s="2">
        <f t="shared" si="9"/>
        <v>289929.33999999997</v>
      </c>
    </row>
    <row r="618" spans="1:19" x14ac:dyDescent="0.3">
      <c r="A618" t="s">
        <v>679</v>
      </c>
      <c r="B618" s="1">
        <v>46154</v>
      </c>
      <c r="C618" t="s">
        <v>19</v>
      </c>
      <c r="D618" t="s">
        <v>20</v>
      </c>
      <c r="E618" t="s">
        <v>58</v>
      </c>
      <c r="F618" t="s">
        <v>22</v>
      </c>
      <c r="G618" t="s">
        <v>23</v>
      </c>
      <c r="H618">
        <v>122</v>
      </c>
      <c r="I618">
        <v>108</v>
      </c>
      <c r="J618">
        <v>65</v>
      </c>
      <c r="K618">
        <v>165</v>
      </c>
      <c r="L618">
        <v>88</v>
      </c>
      <c r="M618" s="2">
        <v>1696.4</v>
      </c>
      <c r="N618">
        <v>5</v>
      </c>
      <c r="O618">
        <v>0</v>
      </c>
      <c r="P618" t="s">
        <v>33</v>
      </c>
      <c r="Q618" t="s">
        <v>34</v>
      </c>
      <c r="R618" t="s">
        <v>59</v>
      </c>
      <c r="S618" s="2">
        <f t="shared" si="9"/>
        <v>279906</v>
      </c>
    </row>
    <row r="619" spans="1:19" x14ac:dyDescent="0.3">
      <c r="A619" t="s">
        <v>680</v>
      </c>
      <c r="B619" s="1">
        <v>46281</v>
      </c>
      <c r="C619" t="s">
        <v>19</v>
      </c>
      <c r="D619" t="s">
        <v>20</v>
      </c>
      <c r="E619" t="s">
        <v>30</v>
      </c>
      <c r="F619" t="s">
        <v>31</v>
      </c>
      <c r="G619" t="s">
        <v>32</v>
      </c>
      <c r="H619">
        <v>53</v>
      </c>
      <c r="I619">
        <v>62</v>
      </c>
      <c r="J619">
        <v>45</v>
      </c>
      <c r="K619">
        <v>70</v>
      </c>
      <c r="L619">
        <v>75</v>
      </c>
      <c r="M619" s="2">
        <v>1946.96</v>
      </c>
      <c r="N619">
        <v>6</v>
      </c>
      <c r="O619">
        <v>1</v>
      </c>
      <c r="P619" t="s">
        <v>33</v>
      </c>
      <c r="Q619" t="s">
        <v>34</v>
      </c>
      <c r="R619" t="s">
        <v>26</v>
      </c>
      <c r="S619" s="2">
        <f t="shared" si="9"/>
        <v>136287.20000000001</v>
      </c>
    </row>
    <row r="620" spans="1:19" x14ac:dyDescent="0.3">
      <c r="A620" t="s">
        <v>681</v>
      </c>
      <c r="B620" s="1">
        <v>46196</v>
      </c>
      <c r="C620" t="s">
        <v>68</v>
      </c>
      <c r="D620" t="s">
        <v>53</v>
      </c>
      <c r="E620" t="s">
        <v>21</v>
      </c>
      <c r="F620" t="s">
        <v>1582</v>
      </c>
      <c r="G620" t="s">
        <v>1583</v>
      </c>
      <c r="H620">
        <v>211</v>
      </c>
      <c r="I620">
        <v>67</v>
      </c>
      <c r="J620">
        <v>31</v>
      </c>
      <c r="K620">
        <v>247</v>
      </c>
      <c r="L620">
        <v>80</v>
      </c>
      <c r="M620" s="2">
        <v>544.92999999999995</v>
      </c>
      <c r="N620">
        <v>3</v>
      </c>
      <c r="O620">
        <v>0</v>
      </c>
      <c r="P620" t="s">
        <v>33</v>
      </c>
      <c r="Q620" t="s">
        <v>47</v>
      </c>
      <c r="R620" t="s">
        <v>26</v>
      </c>
      <c r="S620" s="2">
        <f t="shared" si="9"/>
        <v>134597.71</v>
      </c>
    </row>
    <row r="621" spans="1:19" x14ac:dyDescent="0.3">
      <c r="A621" t="s">
        <v>682</v>
      </c>
      <c r="B621" s="1">
        <v>46166</v>
      </c>
      <c r="C621" t="s">
        <v>72</v>
      </c>
      <c r="D621" t="s">
        <v>50</v>
      </c>
      <c r="E621" t="s">
        <v>75</v>
      </c>
      <c r="F621" t="s">
        <v>37</v>
      </c>
      <c r="G621" t="s">
        <v>38</v>
      </c>
      <c r="H621">
        <v>175</v>
      </c>
      <c r="I621">
        <v>75</v>
      </c>
      <c r="J621">
        <v>33</v>
      </c>
      <c r="K621">
        <v>217</v>
      </c>
      <c r="L621">
        <v>61</v>
      </c>
      <c r="M621" s="2">
        <v>2031.41</v>
      </c>
      <c r="N621">
        <v>2</v>
      </c>
      <c r="O621">
        <v>0</v>
      </c>
      <c r="P621" t="s">
        <v>33</v>
      </c>
      <c r="Q621" t="s">
        <v>47</v>
      </c>
      <c r="R621" t="s">
        <v>26</v>
      </c>
      <c r="S621" s="2">
        <f t="shared" si="9"/>
        <v>440815.97000000003</v>
      </c>
    </row>
    <row r="622" spans="1:19" x14ac:dyDescent="0.3">
      <c r="A622" t="s">
        <v>683</v>
      </c>
      <c r="B622" s="1">
        <v>46100</v>
      </c>
      <c r="C622" t="s">
        <v>146</v>
      </c>
      <c r="D622" t="s">
        <v>46</v>
      </c>
      <c r="E622" t="s">
        <v>21</v>
      </c>
      <c r="F622" t="s">
        <v>37</v>
      </c>
      <c r="G622" t="s">
        <v>38</v>
      </c>
      <c r="H622">
        <v>196</v>
      </c>
      <c r="I622">
        <v>126</v>
      </c>
      <c r="J622">
        <v>48</v>
      </c>
      <c r="K622">
        <v>274</v>
      </c>
      <c r="L622">
        <v>78</v>
      </c>
      <c r="M622" s="2">
        <v>1443.9</v>
      </c>
      <c r="N622">
        <v>3</v>
      </c>
      <c r="O622">
        <v>0</v>
      </c>
      <c r="P622" t="s">
        <v>33</v>
      </c>
      <c r="Q622" t="s">
        <v>47</v>
      </c>
      <c r="R622" t="s">
        <v>81</v>
      </c>
      <c r="S622" s="2">
        <f t="shared" si="9"/>
        <v>395628.60000000003</v>
      </c>
    </row>
    <row r="623" spans="1:19" x14ac:dyDescent="0.3">
      <c r="A623" t="s">
        <v>684</v>
      </c>
      <c r="B623" s="1">
        <v>46082</v>
      </c>
      <c r="C623" t="s">
        <v>68</v>
      </c>
      <c r="D623" t="s">
        <v>53</v>
      </c>
      <c r="E623" t="s">
        <v>75</v>
      </c>
      <c r="F623" t="s">
        <v>22</v>
      </c>
      <c r="G623" t="s">
        <v>23</v>
      </c>
      <c r="H623">
        <v>78</v>
      </c>
      <c r="I623">
        <v>26</v>
      </c>
      <c r="J623">
        <v>44</v>
      </c>
      <c r="K623">
        <v>60</v>
      </c>
      <c r="L623">
        <v>56</v>
      </c>
      <c r="M623" s="2">
        <v>544.29999999999995</v>
      </c>
      <c r="N623">
        <v>4</v>
      </c>
      <c r="O623">
        <v>0</v>
      </c>
      <c r="P623" t="s">
        <v>24</v>
      </c>
      <c r="Q623" t="s">
        <v>34</v>
      </c>
      <c r="R623" t="s">
        <v>26</v>
      </c>
      <c r="S623" s="2">
        <f t="shared" si="9"/>
        <v>32657.999999999996</v>
      </c>
    </row>
    <row r="624" spans="1:19" x14ac:dyDescent="0.3">
      <c r="A624" t="s">
        <v>685</v>
      </c>
      <c r="B624" s="1">
        <v>46070</v>
      </c>
      <c r="C624" t="s">
        <v>57</v>
      </c>
      <c r="D624" t="s">
        <v>50</v>
      </c>
      <c r="E624" t="s">
        <v>58</v>
      </c>
      <c r="F624" t="s">
        <v>37</v>
      </c>
      <c r="G624" t="s">
        <v>38</v>
      </c>
      <c r="H624">
        <v>183</v>
      </c>
      <c r="I624">
        <v>82</v>
      </c>
      <c r="J624">
        <v>73</v>
      </c>
      <c r="K624">
        <v>192</v>
      </c>
      <c r="L624">
        <v>76</v>
      </c>
      <c r="M624" s="2">
        <v>2582.9899999999998</v>
      </c>
      <c r="N624">
        <v>7</v>
      </c>
      <c r="O624">
        <v>0</v>
      </c>
      <c r="P624" t="s">
        <v>33</v>
      </c>
      <c r="Q624" t="s">
        <v>47</v>
      </c>
      <c r="R624" t="s">
        <v>26</v>
      </c>
      <c r="S624" s="2">
        <f t="shared" si="9"/>
        <v>495934.07999999996</v>
      </c>
    </row>
    <row r="625" spans="1:19" x14ac:dyDescent="0.3">
      <c r="A625" t="s">
        <v>686</v>
      </c>
      <c r="B625" s="1">
        <v>46025</v>
      </c>
      <c r="C625" t="s">
        <v>83</v>
      </c>
      <c r="D625" t="s">
        <v>29</v>
      </c>
      <c r="E625" t="s">
        <v>42</v>
      </c>
      <c r="F625" t="s">
        <v>22</v>
      </c>
      <c r="G625" t="s">
        <v>23</v>
      </c>
      <c r="H625">
        <v>170</v>
      </c>
      <c r="I625">
        <v>125</v>
      </c>
      <c r="J625">
        <v>49</v>
      </c>
      <c r="K625">
        <v>246</v>
      </c>
      <c r="L625">
        <v>81</v>
      </c>
      <c r="M625" s="2">
        <v>1725.09</v>
      </c>
      <c r="N625">
        <v>6</v>
      </c>
      <c r="O625">
        <v>0</v>
      </c>
      <c r="P625" t="s">
        <v>33</v>
      </c>
      <c r="Q625" t="s">
        <v>47</v>
      </c>
      <c r="R625" t="s">
        <v>81</v>
      </c>
      <c r="S625" s="2">
        <f t="shared" si="9"/>
        <v>424372.13999999996</v>
      </c>
    </row>
    <row r="626" spans="1:19" x14ac:dyDescent="0.3">
      <c r="A626" t="s">
        <v>687</v>
      </c>
      <c r="B626" s="1">
        <v>46371</v>
      </c>
      <c r="C626" t="s">
        <v>87</v>
      </c>
      <c r="D626" t="s">
        <v>53</v>
      </c>
      <c r="E626" t="s">
        <v>58</v>
      </c>
      <c r="F626" t="s">
        <v>31</v>
      </c>
      <c r="G626" t="s">
        <v>32</v>
      </c>
      <c r="H626">
        <v>103</v>
      </c>
      <c r="I626">
        <v>118</v>
      </c>
      <c r="J626">
        <v>78</v>
      </c>
      <c r="K626">
        <v>143</v>
      </c>
      <c r="L626">
        <v>88</v>
      </c>
      <c r="M626" s="2">
        <v>413.49</v>
      </c>
      <c r="N626">
        <v>4</v>
      </c>
      <c r="O626">
        <v>0</v>
      </c>
      <c r="P626" t="s">
        <v>24</v>
      </c>
      <c r="Q626" t="s">
        <v>34</v>
      </c>
      <c r="R626" t="s">
        <v>59</v>
      </c>
      <c r="S626" s="2">
        <f t="shared" si="9"/>
        <v>59129.07</v>
      </c>
    </row>
    <row r="627" spans="1:19" x14ac:dyDescent="0.3">
      <c r="A627" t="s">
        <v>688</v>
      </c>
      <c r="B627" s="1">
        <v>46160</v>
      </c>
      <c r="C627" t="s">
        <v>40</v>
      </c>
      <c r="D627" t="s">
        <v>20</v>
      </c>
      <c r="E627" t="s">
        <v>21</v>
      </c>
      <c r="F627" t="s">
        <v>31</v>
      </c>
      <c r="G627" t="s">
        <v>32</v>
      </c>
      <c r="H627">
        <v>122</v>
      </c>
      <c r="I627">
        <v>39</v>
      </c>
      <c r="J627">
        <v>18</v>
      </c>
      <c r="K627">
        <v>143</v>
      </c>
      <c r="L627">
        <v>50</v>
      </c>
      <c r="M627" s="2">
        <v>892.84</v>
      </c>
      <c r="N627">
        <v>7</v>
      </c>
      <c r="O627">
        <v>0</v>
      </c>
      <c r="P627" t="s">
        <v>33</v>
      </c>
      <c r="Q627" t="s">
        <v>47</v>
      </c>
      <c r="R627" t="s">
        <v>26</v>
      </c>
      <c r="S627" s="2">
        <f t="shared" si="9"/>
        <v>127676.12000000001</v>
      </c>
    </row>
    <row r="628" spans="1:19" x14ac:dyDescent="0.3">
      <c r="A628" t="s">
        <v>689</v>
      </c>
      <c r="B628" s="1">
        <v>46089</v>
      </c>
      <c r="C628" t="s">
        <v>77</v>
      </c>
      <c r="D628" t="s">
        <v>53</v>
      </c>
      <c r="E628" t="s">
        <v>21</v>
      </c>
      <c r="F628" t="s">
        <v>31</v>
      </c>
      <c r="G628" t="s">
        <v>32</v>
      </c>
      <c r="H628">
        <v>207</v>
      </c>
      <c r="I628">
        <v>99</v>
      </c>
      <c r="J628">
        <v>72</v>
      </c>
      <c r="K628">
        <v>234</v>
      </c>
      <c r="L628">
        <v>65</v>
      </c>
      <c r="M628" s="2">
        <v>544.74</v>
      </c>
      <c r="N628">
        <v>7</v>
      </c>
      <c r="O628">
        <v>0</v>
      </c>
      <c r="P628" t="s">
        <v>33</v>
      </c>
      <c r="Q628" t="s">
        <v>47</v>
      </c>
      <c r="R628" t="s">
        <v>59</v>
      </c>
      <c r="S628" s="2">
        <f t="shared" si="9"/>
        <v>127469.16</v>
      </c>
    </row>
    <row r="629" spans="1:19" x14ac:dyDescent="0.3">
      <c r="A629" t="s">
        <v>690</v>
      </c>
      <c r="B629" s="1">
        <v>46145</v>
      </c>
      <c r="C629" t="s">
        <v>62</v>
      </c>
      <c r="D629" t="s">
        <v>29</v>
      </c>
      <c r="E629" t="s">
        <v>21</v>
      </c>
      <c r="F629" t="s">
        <v>37</v>
      </c>
      <c r="G629" t="s">
        <v>38</v>
      </c>
      <c r="H629">
        <v>54</v>
      </c>
      <c r="I629">
        <v>115</v>
      </c>
      <c r="J629">
        <v>24</v>
      </c>
      <c r="K629">
        <v>145</v>
      </c>
      <c r="L629">
        <v>80</v>
      </c>
      <c r="M629" s="2">
        <v>763.27</v>
      </c>
      <c r="N629">
        <v>5</v>
      </c>
      <c r="O629">
        <v>0</v>
      </c>
      <c r="P629" t="s">
        <v>24</v>
      </c>
      <c r="Q629" t="s">
        <v>34</v>
      </c>
      <c r="R629" t="s">
        <v>26</v>
      </c>
      <c r="S629" s="2">
        <f t="shared" si="9"/>
        <v>110674.15</v>
      </c>
    </row>
    <row r="630" spans="1:19" x14ac:dyDescent="0.3">
      <c r="A630" t="s">
        <v>691</v>
      </c>
      <c r="B630" s="1">
        <v>46244</v>
      </c>
      <c r="C630" t="s">
        <v>57</v>
      </c>
      <c r="D630" t="s">
        <v>50</v>
      </c>
      <c r="E630" t="s">
        <v>75</v>
      </c>
      <c r="F630" t="s">
        <v>22</v>
      </c>
      <c r="G630" t="s">
        <v>23</v>
      </c>
      <c r="H630">
        <v>81</v>
      </c>
      <c r="I630">
        <v>69</v>
      </c>
      <c r="J630">
        <v>66</v>
      </c>
      <c r="K630">
        <v>84</v>
      </c>
      <c r="L630">
        <v>63</v>
      </c>
      <c r="M630" s="2">
        <v>2882.41</v>
      </c>
      <c r="N630">
        <v>7</v>
      </c>
      <c r="O630">
        <v>0</v>
      </c>
      <c r="P630" t="s">
        <v>24</v>
      </c>
      <c r="Q630" t="s">
        <v>34</v>
      </c>
      <c r="R630" t="s">
        <v>26</v>
      </c>
      <c r="S630" s="2">
        <f t="shared" si="9"/>
        <v>242122.44</v>
      </c>
    </row>
    <row r="631" spans="1:19" x14ac:dyDescent="0.3">
      <c r="A631" t="s">
        <v>692</v>
      </c>
      <c r="B631" s="1">
        <v>46239</v>
      </c>
      <c r="C631" t="s">
        <v>80</v>
      </c>
      <c r="D631" t="s">
        <v>46</v>
      </c>
      <c r="E631" t="s">
        <v>21</v>
      </c>
      <c r="F631" t="s">
        <v>31</v>
      </c>
      <c r="G631" t="s">
        <v>32</v>
      </c>
      <c r="H631">
        <v>134</v>
      </c>
      <c r="I631">
        <v>85</v>
      </c>
      <c r="J631">
        <v>40</v>
      </c>
      <c r="K631">
        <v>179</v>
      </c>
      <c r="L631">
        <v>76</v>
      </c>
      <c r="M631" s="2">
        <v>1088</v>
      </c>
      <c r="N631">
        <v>5</v>
      </c>
      <c r="O631">
        <v>0</v>
      </c>
      <c r="P631" t="s">
        <v>33</v>
      </c>
      <c r="Q631" t="s">
        <v>47</v>
      </c>
      <c r="R631" t="s">
        <v>26</v>
      </c>
      <c r="S631" s="2">
        <f t="shared" si="9"/>
        <v>194752</v>
      </c>
    </row>
    <row r="632" spans="1:19" x14ac:dyDescent="0.3">
      <c r="A632" t="s">
        <v>693</v>
      </c>
      <c r="B632" s="1">
        <v>46354</v>
      </c>
      <c r="C632" t="s">
        <v>40</v>
      </c>
      <c r="D632" t="s">
        <v>20</v>
      </c>
      <c r="E632" t="s">
        <v>21</v>
      </c>
      <c r="F632" t="s">
        <v>22</v>
      </c>
      <c r="G632" t="s">
        <v>23</v>
      </c>
      <c r="H632">
        <v>151</v>
      </c>
      <c r="I632">
        <v>100</v>
      </c>
      <c r="J632">
        <v>69</v>
      </c>
      <c r="K632">
        <v>182</v>
      </c>
      <c r="L632">
        <v>50</v>
      </c>
      <c r="M632" s="2">
        <v>817.28</v>
      </c>
      <c r="N632">
        <v>4</v>
      </c>
      <c r="O632">
        <v>0</v>
      </c>
      <c r="P632" t="s">
        <v>33</v>
      </c>
      <c r="Q632" t="s">
        <v>47</v>
      </c>
      <c r="R632" t="s">
        <v>26</v>
      </c>
      <c r="S632" s="2">
        <f t="shared" si="9"/>
        <v>148744.95999999999</v>
      </c>
    </row>
    <row r="633" spans="1:19" x14ac:dyDescent="0.3">
      <c r="A633" t="s">
        <v>694</v>
      </c>
      <c r="B633" s="1">
        <v>46373</v>
      </c>
      <c r="C633" t="s">
        <v>36</v>
      </c>
      <c r="D633" t="s">
        <v>29</v>
      </c>
      <c r="E633" t="s">
        <v>30</v>
      </c>
      <c r="F633" t="s">
        <v>31</v>
      </c>
      <c r="G633" t="s">
        <v>32</v>
      </c>
      <c r="H633">
        <v>114</v>
      </c>
      <c r="I633">
        <v>79</v>
      </c>
      <c r="J633">
        <v>70</v>
      </c>
      <c r="K633">
        <v>123</v>
      </c>
      <c r="L633">
        <v>50</v>
      </c>
      <c r="M633" s="2">
        <v>2595.46</v>
      </c>
      <c r="N633">
        <v>5</v>
      </c>
      <c r="O633">
        <v>0</v>
      </c>
      <c r="P633" t="s">
        <v>33</v>
      </c>
      <c r="Q633" t="s">
        <v>47</v>
      </c>
      <c r="R633" t="s">
        <v>81</v>
      </c>
      <c r="S633" s="2">
        <f t="shared" si="9"/>
        <v>319241.58</v>
      </c>
    </row>
    <row r="634" spans="1:19" x14ac:dyDescent="0.3">
      <c r="A634" t="s">
        <v>695</v>
      </c>
      <c r="B634" s="1">
        <v>46234</v>
      </c>
      <c r="C634" t="s">
        <v>80</v>
      </c>
      <c r="D634" t="s">
        <v>46</v>
      </c>
      <c r="E634" t="s">
        <v>30</v>
      </c>
      <c r="F634" t="s">
        <v>1582</v>
      </c>
      <c r="G634" t="s">
        <v>1583</v>
      </c>
      <c r="H634">
        <v>115</v>
      </c>
      <c r="I634">
        <v>92</v>
      </c>
      <c r="J634">
        <v>21</v>
      </c>
      <c r="K634">
        <v>186</v>
      </c>
      <c r="L634">
        <v>80</v>
      </c>
      <c r="M634" s="2">
        <v>1006.84</v>
      </c>
      <c r="N634">
        <v>2</v>
      </c>
      <c r="O634">
        <v>0</v>
      </c>
      <c r="P634" t="s">
        <v>33</v>
      </c>
      <c r="Q634" t="s">
        <v>47</v>
      </c>
      <c r="R634" t="s">
        <v>26</v>
      </c>
      <c r="S634" s="2">
        <f t="shared" si="9"/>
        <v>187272.24000000002</v>
      </c>
    </row>
    <row r="635" spans="1:19" x14ac:dyDescent="0.3">
      <c r="A635" t="s">
        <v>696</v>
      </c>
      <c r="B635" s="1">
        <v>46114</v>
      </c>
      <c r="C635" t="s">
        <v>40</v>
      </c>
      <c r="D635" t="s">
        <v>20</v>
      </c>
      <c r="E635" t="s">
        <v>30</v>
      </c>
      <c r="F635" t="s">
        <v>37</v>
      </c>
      <c r="G635" t="s">
        <v>38</v>
      </c>
      <c r="H635">
        <v>130</v>
      </c>
      <c r="I635">
        <v>52</v>
      </c>
      <c r="J635">
        <v>89</v>
      </c>
      <c r="K635">
        <v>93</v>
      </c>
      <c r="L635">
        <v>50</v>
      </c>
      <c r="M635" s="2">
        <v>948.36</v>
      </c>
      <c r="N635">
        <v>2</v>
      </c>
      <c r="O635">
        <v>0</v>
      </c>
      <c r="P635" t="s">
        <v>24</v>
      </c>
      <c r="Q635" t="s">
        <v>34</v>
      </c>
      <c r="R635" t="s">
        <v>26</v>
      </c>
      <c r="S635" s="2">
        <f t="shared" si="9"/>
        <v>88197.48</v>
      </c>
    </row>
    <row r="636" spans="1:19" x14ac:dyDescent="0.3">
      <c r="A636" t="s">
        <v>697</v>
      </c>
      <c r="B636" s="1">
        <v>46158</v>
      </c>
      <c r="C636" t="s">
        <v>36</v>
      </c>
      <c r="D636" t="s">
        <v>29</v>
      </c>
      <c r="E636" t="s">
        <v>75</v>
      </c>
      <c r="F636" t="s">
        <v>31</v>
      </c>
      <c r="G636" t="s">
        <v>32</v>
      </c>
      <c r="H636">
        <v>146</v>
      </c>
      <c r="I636">
        <v>110</v>
      </c>
      <c r="J636">
        <v>53</v>
      </c>
      <c r="K636">
        <v>203</v>
      </c>
      <c r="L636">
        <v>65</v>
      </c>
      <c r="M636" s="2">
        <v>2441.86</v>
      </c>
      <c r="N636">
        <v>5</v>
      </c>
      <c r="O636">
        <v>0</v>
      </c>
      <c r="P636" t="s">
        <v>33</v>
      </c>
      <c r="Q636" t="s">
        <v>47</v>
      </c>
      <c r="R636" t="s">
        <v>26</v>
      </c>
      <c r="S636" s="2">
        <f t="shared" si="9"/>
        <v>495697.58</v>
      </c>
    </row>
    <row r="637" spans="1:19" x14ac:dyDescent="0.3">
      <c r="A637" t="s">
        <v>698</v>
      </c>
      <c r="B637" s="1">
        <v>46225</v>
      </c>
      <c r="C637" t="s">
        <v>80</v>
      </c>
      <c r="D637" t="s">
        <v>46</v>
      </c>
      <c r="E637" t="s">
        <v>42</v>
      </c>
      <c r="F637" t="s">
        <v>22</v>
      </c>
      <c r="G637" t="s">
        <v>23</v>
      </c>
      <c r="H637">
        <v>60</v>
      </c>
      <c r="I637">
        <v>115</v>
      </c>
      <c r="J637">
        <v>92</v>
      </c>
      <c r="K637">
        <v>83</v>
      </c>
      <c r="L637">
        <v>61</v>
      </c>
      <c r="M637" s="2">
        <v>1181.76</v>
      </c>
      <c r="N637">
        <v>2</v>
      </c>
      <c r="O637">
        <v>0</v>
      </c>
      <c r="P637" t="s">
        <v>33</v>
      </c>
      <c r="Q637" t="s">
        <v>34</v>
      </c>
      <c r="R637" t="s">
        <v>26</v>
      </c>
      <c r="S637" s="2">
        <f t="shared" si="9"/>
        <v>98086.080000000002</v>
      </c>
    </row>
    <row r="638" spans="1:19" x14ac:dyDescent="0.3">
      <c r="A638" t="s">
        <v>699</v>
      </c>
      <c r="B638" s="1">
        <v>46339</v>
      </c>
      <c r="C638" t="s">
        <v>19</v>
      </c>
      <c r="D638" t="s">
        <v>20</v>
      </c>
      <c r="E638" t="s">
        <v>42</v>
      </c>
      <c r="F638" t="s">
        <v>1582</v>
      </c>
      <c r="G638" t="s">
        <v>1583</v>
      </c>
      <c r="H638">
        <v>157</v>
      </c>
      <c r="I638">
        <v>108</v>
      </c>
      <c r="J638">
        <v>66</v>
      </c>
      <c r="K638">
        <v>199</v>
      </c>
      <c r="L638">
        <v>100</v>
      </c>
      <c r="M638" s="2">
        <v>1856.78</v>
      </c>
      <c r="N638">
        <v>7</v>
      </c>
      <c r="O638">
        <v>0</v>
      </c>
      <c r="P638" t="s">
        <v>33</v>
      </c>
      <c r="Q638" t="s">
        <v>34</v>
      </c>
      <c r="R638" t="s">
        <v>26</v>
      </c>
      <c r="S638" s="2">
        <f t="shared" si="9"/>
        <v>369499.22</v>
      </c>
    </row>
    <row r="639" spans="1:19" x14ac:dyDescent="0.3">
      <c r="A639" t="s">
        <v>700</v>
      </c>
      <c r="B639" s="1">
        <v>46036</v>
      </c>
      <c r="C639" t="s">
        <v>52</v>
      </c>
      <c r="D639" t="s">
        <v>53</v>
      </c>
      <c r="E639" t="s">
        <v>58</v>
      </c>
      <c r="F639" t="s">
        <v>37</v>
      </c>
      <c r="G639" t="s">
        <v>38</v>
      </c>
      <c r="H639">
        <v>62</v>
      </c>
      <c r="I639">
        <v>36</v>
      </c>
      <c r="J639">
        <v>32</v>
      </c>
      <c r="K639">
        <v>66</v>
      </c>
      <c r="L639">
        <v>45</v>
      </c>
      <c r="M639" s="2">
        <v>609.79999999999995</v>
      </c>
      <c r="N639">
        <v>8</v>
      </c>
      <c r="O639">
        <v>0</v>
      </c>
      <c r="P639" t="s">
        <v>24</v>
      </c>
      <c r="Q639" t="s">
        <v>34</v>
      </c>
      <c r="R639" t="s">
        <v>81</v>
      </c>
      <c r="S639" s="2">
        <f t="shared" si="9"/>
        <v>40246.799999999996</v>
      </c>
    </row>
    <row r="640" spans="1:19" x14ac:dyDescent="0.3">
      <c r="A640" t="s">
        <v>701</v>
      </c>
      <c r="B640" s="1">
        <v>46098</v>
      </c>
      <c r="C640" t="s">
        <v>36</v>
      </c>
      <c r="D640" t="s">
        <v>29</v>
      </c>
      <c r="E640" t="s">
        <v>42</v>
      </c>
      <c r="F640" t="s">
        <v>22</v>
      </c>
      <c r="G640" t="s">
        <v>23</v>
      </c>
      <c r="H640">
        <v>151</v>
      </c>
      <c r="I640">
        <v>127</v>
      </c>
      <c r="J640">
        <v>95</v>
      </c>
      <c r="K640">
        <v>183</v>
      </c>
      <c r="L640">
        <v>99</v>
      </c>
      <c r="M640" s="2">
        <v>2539.21</v>
      </c>
      <c r="N640">
        <v>3</v>
      </c>
      <c r="O640">
        <v>0</v>
      </c>
      <c r="P640" t="s">
        <v>24</v>
      </c>
      <c r="Q640" t="s">
        <v>34</v>
      </c>
      <c r="R640" t="s">
        <v>59</v>
      </c>
      <c r="S640" s="2">
        <f t="shared" si="9"/>
        <v>464675.43</v>
      </c>
    </row>
    <row r="641" spans="1:19" x14ac:dyDescent="0.3">
      <c r="A641" t="s">
        <v>702</v>
      </c>
      <c r="B641" s="1">
        <v>46126</v>
      </c>
      <c r="C641" t="s">
        <v>55</v>
      </c>
      <c r="D641" t="s">
        <v>50</v>
      </c>
      <c r="E641" t="s">
        <v>75</v>
      </c>
      <c r="F641" t="s">
        <v>31</v>
      </c>
      <c r="G641" t="s">
        <v>32</v>
      </c>
      <c r="H641">
        <v>82</v>
      </c>
      <c r="I641">
        <v>39</v>
      </c>
      <c r="J641">
        <v>109</v>
      </c>
      <c r="K641">
        <v>12</v>
      </c>
      <c r="L641">
        <v>89</v>
      </c>
      <c r="M641" s="2">
        <v>989.05</v>
      </c>
      <c r="N641">
        <v>5</v>
      </c>
      <c r="O641">
        <v>8</v>
      </c>
      <c r="P641" t="s">
        <v>33</v>
      </c>
      <c r="Q641" t="s">
        <v>25</v>
      </c>
      <c r="R641" t="s">
        <v>26</v>
      </c>
      <c r="S641" s="2">
        <f t="shared" si="9"/>
        <v>11868.599999999999</v>
      </c>
    </row>
    <row r="642" spans="1:19" x14ac:dyDescent="0.3">
      <c r="A642" t="s">
        <v>703</v>
      </c>
      <c r="B642" s="1">
        <v>46227</v>
      </c>
      <c r="C642" t="s">
        <v>146</v>
      </c>
      <c r="D642" t="s">
        <v>46</v>
      </c>
      <c r="E642" t="s">
        <v>75</v>
      </c>
      <c r="F642" t="s">
        <v>37</v>
      </c>
      <c r="G642" t="s">
        <v>38</v>
      </c>
      <c r="H642">
        <v>42</v>
      </c>
      <c r="I642">
        <v>33</v>
      </c>
      <c r="J642">
        <v>95</v>
      </c>
      <c r="K642">
        <v>0</v>
      </c>
      <c r="L642">
        <v>99</v>
      </c>
      <c r="M642" s="2">
        <v>1563.93</v>
      </c>
      <c r="N642">
        <v>5</v>
      </c>
      <c r="O642">
        <v>5</v>
      </c>
      <c r="P642" t="s">
        <v>33</v>
      </c>
      <c r="Q642" t="s">
        <v>25</v>
      </c>
      <c r="R642" t="s">
        <v>26</v>
      </c>
      <c r="S642" s="2">
        <f t="shared" ref="S642:S705" si="10">K642*M642</f>
        <v>0</v>
      </c>
    </row>
    <row r="643" spans="1:19" x14ac:dyDescent="0.3">
      <c r="A643" t="s">
        <v>704</v>
      </c>
      <c r="B643" s="1">
        <v>46265</v>
      </c>
      <c r="C643" t="s">
        <v>55</v>
      </c>
      <c r="D643" t="s">
        <v>50</v>
      </c>
      <c r="E643" t="s">
        <v>42</v>
      </c>
      <c r="F643" t="s">
        <v>31</v>
      </c>
      <c r="G643" t="s">
        <v>32</v>
      </c>
      <c r="H643">
        <v>175</v>
      </c>
      <c r="I643">
        <v>22</v>
      </c>
      <c r="J643">
        <v>69</v>
      </c>
      <c r="K643">
        <v>128</v>
      </c>
      <c r="L643">
        <v>81</v>
      </c>
      <c r="M643" s="2">
        <v>963.17</v>
      </c>
      <c r="N643">
        <v>2</v>
      </c>
      <c r="O643">
        <v>0</v>
      </c>
      <c r="P643" t="s">
        <v>33</v>
      </c>
      <c r="Q643" t="s">
        <v>34</v>
      </c>
      <c r="R643" t="s">
        <v>26</v>
      </c>
      <c r="S643" s="2">
        <f t="shared" si="10"/>
        <v>123285.75999999999</v>
      </c>
    </row>
    <row r="644" spans="1:19" x14ac:dyDescent="0.3">
      <c r="A644" t="s">
        <v>705</v>
      </c>
      <c r="B644" s="1">
        <v>46141</v>
      </c>
      <c r="C644" t="s">
        <v>40</v>
      </c>
      <c r="D644" t="s">
        <v>20</v>
      </c>
      <c r="E644" t="s">
        <v>30</v>
      </c>
      <c r="F644" t="s">
        <v>37</v>
      </c>
      <c r="G644" t="s">
        <v>38</v>
      </c>
      <c r="H644">
        <v>154</v>
      </c>
      <c r="I644">
        <v>109</v>
      </c>
      <c r="J644">
        <v>70</v>
      </c>
      <c r="K644">
        <v>193</v>
      </c>
      <c r="L644">
        <v>46</v>
      </c>
      <c r="M644" s="2">
        <v>839.04</v>
      </c>
      <c r="N644">
        <v>7</v>
      </c>
      <c r="O644">
        <v>0</v>
      </c>
      <c r="P644" t="s">
        <v>33</v>
      </c>
      <c r="Q644" t="s">
        <v>47</v>
      </c>
      <c r="R644" t="s">
        <v>26</v>
      </c>
      <c r="S644" s="2">
        <f t="shared" si="10"/>
        <v>161934.72</v>
      </c>
    </row>
    <row r="645" spans="1:19" x14ac:dyDescent="0.3">
      <c r="A645" t="s">
        <v>706</v>
      </c>
      <c r="B645" s="1">
        <v>46236</v>
      </c>
      <c r="C645" t="s">
        <v>87</v>
      </c>
      <c r="D645" t="s">
        <v>53</v>
      </c>
      <c r="E645" t="s">
        <v>30</v>
      </c>
      <c r="F645" t="s">
        <v>37</v>
      </c>
      <c r="G645" t="s">
        <v>38</v>
      </c>
      <c r="H645">
        <v>194</v>
      </c>
      <c r="I645">
        <v>129</v>
      </c>
      <c r="J645">
        <v>106</v>
      </c>
      <c r="K645">
        <v>217</v>
      </c>
      <c r="L645">
        <v>87</v>
      </c>
      <c r="M645" s="2">
        <v>447.16</v>
      </c>
      <c r="N645">
        <v>4</v>
      </c>
      <c r="O645">
        <v>0</v>
      </c>
      <c r="P645" t="s">
        <v>33</v>
      </c>
      <c r="Q645" t="s">
        <v>47</v>
      </c>
      <c r="R645" t="s">
        <v>26</v>
      </c>
      <c r="S645" s="2">
        <f t="shared" si="10"/>
        <v>97033.72</v>
      </c>
    </row>
    <row r="646" spans="1:19" x14ac:dyDescent="0.3">
      <c r="A646" t="s">
        <v>707</v>
      </c>
      <c r="B646" s="1">
        <v>46274</v>
      </c>
      <c r="C646" t="s">
        <v>146</v>
      </c>
      <c r="D646" t="s">
        <v>46</v>
      </c>
      <c r="E646" t="s">
        <v>42</v>
      </c>
      <c r="F646" t="s">
        <v>22</v>
      </c>
      <c r="G646" t="s">
        <v>23</v>
      </c>
      <c r="H646">
        <v>112</v>
      </c>
      <c r="I646">
        <v>108</v>
      </c>
      <c r="J646">
        <v>110</v>
      </c>
      <c r="K646">
        <v>110</v>
      </c>
      <c r="L646">
        <v>50</v>
      </c>
      <c r="M646" s="2">
        <v>1550.12</v>
      </c>
      <c r="N646">
        <v>3</v>
      </c>
      <c r="O646">
        <v>0</v>
      </c>
      <c r="P646" t="s">
        <v>33</v>
      </c>
      <c r="Q646" t="s">
        <v>34</v>
      </c>
      <c r="R646" t="s">
        <v>26</v>
      </c>
      <c r="S646" s="2">
        <f t="shared" si="10"/>
        <v>170513.19999999998</v>
      </c>
    </row>
    <row r="647" spans="1:19" x14ac:dyDescent="0.3">
      <c r="A647" t="s">
        <v>708</v>
      </c>
      <c r="B647" s="1">
        <v>46104</v>
      </c>
      <c r="C647" t="s">
        <v>40</v>
      </c>
      <c r="D647" t="s">
        <v>20</v>
      </c>
      <c r="E647" t="s">
        <v>58</v>
      </c>
      <c r="F647" t="s">
        <v>37</v>
      </c>
      <c r="G647" t="s">
        <v>38</v>
      </c>
      <c r="H647">
        <v>100</v>
      </c>
      <c r="I647">
        <v>46</v>
      </c>
      <c r="J647">
        <v>86</v>
      </c>
      <c r="K647">
        <v>60</v>
      </c>
      <c r="L647">
        <v>48</v>
      </c>
      <c r="M647" s="2">
        <v>989.87</v>
      </c>
      <c r="N647">
        <v>4</v>
      </c>
      <c r="O647">
        <v>0</v>
      </c>
      <c r="P647" t="s">
        <v>33</v>
      </c>
      <c r="Q647" t="s">
        <v>34</v>
      </c>
      <c r="R647" t="s">
        <v>26</v>
      </c>
      <c r="S647" s="2">
        <f t="shared" si="10"/>
        <v>59392.2</v>
      </c>
    </row>
    <row r="648" spans="1:19" x14ac:dyDescent="0.3">
      <c r="A648" t="s">
        <v>709</v>
      </c>
      <c r="B648" s="1">
        <v>46204</v>
      </c>
      <c r="C648" t="s">
        <v>62</v>
      </c>
      <c r="D648" t="s">
        <v>29</v>
      </c>
      <c r="E648" t="s">
        <v>75</v>
      </c>
      <c r="F648" t="s">
        <v>37</v>
      </c>
      <c r="G648" t="s">
        <v>38</v>
      </c>
      <c r="H648">
        <v>150</v>
      </c>
      <c r="I648">
        <v>34</v>
      </c>
      <c r="J648">
        <v>94</v>
      </c>
      <c r="K648">
        <v>90</v>
      </c>
      <c r="L648">
        <v>59</v>
      </c>
      <c r="M648" s="2">
        <v>646.9</v>
      </c>
      <c r="N648">
        <v>3</v>
      </c>
      <c r="O648">
        <v>0</v>
      </c>
      <c r="P648" t="s">
        <v>33</v>
      </c>
      <c r="Q648" t="s">
        <v>34</v>
      </c>
      <c r="R648" t="s">
        <v>81</v>
      </c>
      <c r="S648" s="2">
        <f t="shared" si="10"/>
        <v>58221</v>
      </c>
    </row>
    <row r="649" spans="1:19" x14ac:dyDescent="0.3">
      <c r="A649" t="s">
        <v>710</v>
      </c>
      <c r="B649" s="1">
        <v>46335</v>
      </c>
      <c r="C649" t="s">
        <v>89</v>
      </c>
      <c r="D649" t="s">
        <v>20</v>
      </c>
      <c r="E649" t="s">
        <v>42</v>
      </c>
      <c r="F649" t="s">
        <v>31</v>
      </c>
      <c r="G649" t="s">
        <v>32</v>
      </c>
      <c r="H649">
        <v>220</v>
      </c>
      <c r="I649">
        <v>26</v>
      </c>
      <c r="J649">
        <v>71</v>
      </c>
      <c r="K649">
        <v>175</v>
      </c>
      <c r="L649">
        <v>96</v>
      </c>
      <c r="M649" s="2">
        <v>1189.71</v>
      </c>
      <c r="N649">
        <v>8</v>
      </c>
      <c r="O649">
        <v>0</v>
      </c>
      <c r="P649" t="s">
        <v>33</v>
      </c>
      <c r="Q649" t="s">
        <v>34</v>
      </c>
      <c r="R649" t="s">
        <v>81</v>
      </c>
      <c r="S649" s="2">
        <f t="shared" si="10"/>
        <v>208199.25</v>
      </c>
    </row>
    <row r="650" spans="1:19" x14ac:dyDescent="0.3">
      <c r="A650" t="s">
        <v>711</v>
      </c>
      <c r="B650" s="1">
        <v>46172</v>
      </c>
      <c r="C650" t="s">
        <v>77</v>
      </c>
      <c r="D650" t="s">
        <v>53</v>
      </c>
      <c r="E650" t="s">
        <v>30</v>
      </c>
      <c r="F650" t="s">
        <v>31</v>
      </c>
      <c r="G650" t="s">
        <v>32</v>
      </c>
      <c r="H650">
        <v>169</v>
      </c>
      <c r="I650">
        <v>33</v>
      </c>
      <c r="J650">
        <v>36</v>
      </c>
      <c r="K650">
        <v>166</v>
      </c>
      <c r="L650">
        <v>85</v>
      </c>
      <c r="M650" s="2">
        <v>461.81</v>
      </c>
      <c r="N650">
        <v>3</v>
      </c>
      <c r="O650">
        <v>0</v>
      </c>
      <c r="P650" t="s">
        <v>33</v>
      </c>
      <c r="Q650" t="s">
        <v>34</v>
      </c>
      <c r="R650" t="s">
        <v>26</v>
      </c>
      <c r="S650" s="2">
        <f t="shared" si="10"/>
        <v>76660.460000000006</v>
      </c>
    </row>
    <row r="651" spans="1:19" x14ac:dyDescent="0.3">
      <c r="A651" t="s">
        <v>712</v>
      </c>
      <c r="B651" s="1">
        <v>46026</v>
      </c>
      <c r="C651" t="s">
        <v>55</v>
      </c>
      <c r="D651" t="s">
        <v>50</v>
      </c>
      <c r="E651" t="s">
        <v>75</v>
      </c>
      <c r="F651" t="s">
        <v>22</v>
      </c>
      <c r="G651" t="s">
        <v>23</v>
      </c>
      <c r="H651">
        <v>205</v>
      </c>
      <c r="I651">
        <v>66</v>
      </c>
      <c r="J651">
        <v>57</v>
      </c>
      <c r="K651">
        <v>214</v>
      </c>
      <c r="L651">
        <v>97</v>
      </c>
      <c r="M651" s="2">
        <v>927.55</v>
      </c>
      <c r="N651">
        <v>8</v>
      </c>
      <c r="O651">
        <v>0</v>
      </c>
      <c r="P651" t="s">
        <v>33</v>
      </c>
      <c r="Q651" t="s">
        <v>47</v>
      </c>
      <c r="R651" t="s">
        <v>81</v>
      </c>
      <c r="S651" s="2">
        <f t="shared" si="10"/>
        <v>198495.69999999998</v>
      </c>
    </row>
    <row r="652" spans="1:19" x14ac:dyDescent="0.3">
      <c r="A652" t="s">
        <v>713</v>
      </c>
      <c r="B652" s="1">
        <v>46148</v>
      </c>
      <c r="C652" t="s">
        <v>36</v>
      </c>
      <c r="D652" t="s">
        <v>29</v>
      </c>
      <c r="E652" t="s">
        <v>21</v>
      </c>
      <c r="F652" t="s">
        <v>37</v>
      </c>
      <c r="G652" t="s">
        <v>38</v>
      </c>
      <c r="H652">
        <v>169</v>
      </c>
      <c r="I652">
        <v>41</v>
      </c>
      <c r="J652">
        <v>25</v>
      </c>
      <c r="K652">
        <v>185</v>
      </c>
      <c r="L652">
        <v>62</v>
      </c>
      <c r="M652" s="2">
        <v>2338.77</v>
      </c>
      <c r="N652">
        <v>8</v>
      </c>
      <c r="O652">
        <v>0</v>
      </c>
      <c r="P652" t="s">
        <v>33</v>
      </c>
      <c r="Q652" t="s">
        <v>47</v>
      </c>
      <c r="R652" t="s">
        <v>26</v>
      </c>
      <c r="S652" s="2">
        <f t="shared" si="10"/>
        <v>432672.45</v>
      </c>
    </row>
    <row r="653" spans="1:19" x14ac:dyDescent="0.3">
      <c r="A653" t="s">
        <v>714</v>
      </c>
      <c r="B653" s="1">
        <v>46038</v>
      </c>
      <c r="C653" t="s">
        <v>36</v>
      </c>
      <c r="D653" t="s">
        <v>29</v>
      </c>
      <c r="E653" t="s">
        <v>42</v>
      </c>
      <c r="F653" t="s">
        <v>22</v>
      </c>
      <c r="G653" t="s">
        <v>23</v>
      </c>
      <c r="H653">
        <v>149</v>
      </c>
      <c r="I653">
        <v>72</v>
      </c>
      <c r="J653">
        <v>67</v>
      </c>
      <c r="K653">
        <v>154</v>
      </c>
      <c r="L653">
        <v>74</v>
      </c>
      <c r="M653" s="2">
        <v>2616.88</v>
      </c>
      <c r="N653">
        <v>6</v>
      </c>
      <c r="O653">
        <v>0</v>
      </c>
      <c r="P653" t="s">
        <v>33</v>
      </c>
      <c r="Q653" t="s">
        <v>34</v>
      </c>
      <c r="R653" t="s">
        <v>26</v>
      </c>
      <c r="S653" s="2">
        <f t="shared" si="10"/>
        <v>402999.52</v>
      </c>
    </row>
    <row r="654" spans="1:19" x14ac:dyDescent="0.3">
      <c r="A654" t="s">
        <v>715</v>
      </c>
      <c r="B654" s="1">
        <v>46361</v>
      </c>
      <c r="C654" t="s">
        <v>72</v>
      </c>
      <c r="D654" t="s">
        <v>50</v>
      </c>
      <c r="E654" t="s">
        <v>75</v>
      </c>
      <c r="F654" t="s">
        <v>31</v>
      </c>
      <c r="G654" t="s">
        <v>32</v>
      </c>
      <c r="H654">
        <v>61</v>
      </c>
      <c r="I654">
        <v>63</v>
      </c>
      <c r="J654">
        <v>55</v>
      </c>
      <c r="K654">
        <v>69</v>
      </c>
      <c r="L654">
        <v>70</v>
      </c>
      <c r="M654" s="2">
        <v>2412.06</v>
      </c>
      <c r="N654">
        <v>3</v>
      </c>
      <c r="O654">
        <v>7</v>
      </c>
      <c r="P654" t="s">
        <v>33</v>
      </c>
      <c r="Q654" t="s">
        <v>34</v>
      </c>
      <c r="R654" t="s">
        <v>59</v>
      </c>
      <c r="S654" s="2">
        <f t="shared" si="10"/>
        <v>166432.13999999998</v>
      </c>
    </row>
    <row r="655" spans="1:19" x14ac:dyDescent="0.3">
      <c r="A655" t="s">
        <v>716</v>
      </c>
      <c r="B655" s="1">
        <v>46199</v>
      </c>
      <c r="C655" t="s">
        <v>62</v>
      </c>
      <c r="D655" t="s">
        <v>29</v>
      </c>
      <c r="E655" t="s">
        <v>30</v>
      </c>
      <c r="F655" t="s">
        <v>37</v>
      </c>
      <c r="G655" t="s">
        <v>38</v>
      </c>
      <c r="H655">
        <v>147</v>
      </c>
      <c r="I655">
        <v>71</v>
      </c>
      <c r="J655">
        <v>102</v>
      </c>
      <c r="K655">
        <v>116</v>
      </c>
      <c r="L655">
        <v>89</v>
      </c>
      <c r="M655" s="2">
        <v>707.51</v>
      </c>
      <c r="N655">
        <v>4</v>
      </c>
      <c r="O655">
        <v>0</v>
      </c>
      <c r="P655" t="s">
        <v>33</v>
      </c>
      <c r="Q655" t="s">
        <v>34</v>
      </c>
      <c r="R655" t="s">
        <v>26</v>
      </c>
      <c r="S655" s="2">
        <f t="shared" si="10"/>
        <v>82071.16</v>
      </c>
    </row>
    <row r="656" spans="1:19" x14ac:dyDescent="0.3">
      <c r="A656" t="s">
        <v>717</v>
      </c>
      <c r="B656" s="1">
        <v>46249</v>
      </c>
      <c r="C656" t="s">
        <v>89</v>
      </c>
      <c r="D656" t="s">
        <v>20</v>
      </c>
      <c r="E656" t="s">
        <v>30</v>
      </c>
      <c r="F656" t="s">
        <v>22</v>
      </c>
      <c r="G656" t="s">
        <v>23</v>
      </c>
      <c r="H656">
        <v>219</v>
      </c>
      <c r="I656">
        <v>71</v>
      </c>
      <c r="J656">
        <v>72</v>
      </c>
      <c r="K656">
        <v>218</v>
      </c>
      <c r="L656">
        <v>86</v>
      </c>
      <c r="M656" s="2">
        <v>1129.23</v>
      </c>
      <c r="N656">
        <v>6</v>
      </c>
      <c r="O656">
        <v>0</v>
      </c>
      <c r="P656" t="s">
        <v>33</v>
      </c>
      <c r="Q656" t="s">
        <v>47</v>
      </c>
      <c r="R656" t="s">
        <v>26</v>
      </c>
      <c r="S656" s="2">
        <f t="shared" si="10"/>
        <v>246172.14</v>
      </c>
    </row>
    <row r="657" spans="1:19" x14ac:dyDescent="0.3">
      <c r="A657" t="s">
        <v>718</v>
      </c>
      <c r="B657" s="1">
        <v>46299</v>
      </c>
      <c r="C657" t="s">
        <v>146</v>
      </c>
      <c r="D657" t="s">
        <v>46</v>
      </c>
      <c r="E657" t="s">
        <v>42</v>
      </c>
      <c r="F657" t="s">
        <v>37</v>
      </c>
      <c r="G657" t="s">
        <v>38</v>
      </c>
      <c r="H657">
        <v>61</v>
      </c>
      <c r="I657">
        <v>24</v>
      </c>
      <c r="J657">
        <v>83</v>
      </c>
      <c r="K657">
        <v>2</v>
      </c>
      <c r="L657">
        <v>66</v>
      </c>
      <c r="M657" s="2">
        <v>1467</v>
      </c>
      <c r="N657">
        <v>7</v>
      </c>
      <c r="O657">
        <v>3</v>
      </c>
      <c r="P657" t="s">
        <v>33</v>
      </c>
      <c r="Q657" t="s">
        <v>25</v>
      </c>
      <c r="R657" t="s">
        <v>26</v>
      </c>
      <c r="S657" s="2">
        <f t="shared" si="10"/>
        <v>2934</v>
      </c>
    </row>
    <row r="658" spans="1:19" x14ac:dyDescent="0.3">
      <c r="A658" t="s">
        <v>719</v>
      </c>
      <c r="B658" s="1">
        <v>46178</v>
      </c>
      <c r="C658" t="s">
        <v>80</v>
      </c>
      <c r="D658" t="s">
        <v>46</v>
      </c>
      <c r="E658" t="s">
        <v>75</v>
      </c>
      <c r="F658" t="s">
        <v>37</v>
      </c>
      <c r="G658" t="s">
        <v>38</v>
      </c>
      <c r="H658">
        <v>173</v>
      </c>
      <c r="I658">
        <v>63</v>
      </c>
      <c r="J658">
        <v>96</v>
      </c>
      <c r="K658">
        <v>140</v>
      </c>
      <c r="L658">
        <v>55</v>
      </c>
      <c r="M658" s="2">
        <v>995.15</v>
      </c>
      <c r="N658">
        <v>8</v>
      </c>
      <c r="O658">
        <v>0</v>
      </c>
      <c r="P658" t="s">
        <v>33</v>
      </c>
      <c r="Q658" t="s">
        <v>47</v>
      </c>
      <c r="R658" t="s">
        <v>26</v>
      </c>
      <c r="S658" s="2">
        <f t="shared" si="10"/>
        <v>139321</v>
      </c>
    </row>
    <row r="659" spans="1:19" x14ac:dyDescent="0.3">
      <c r="A659" t="s">
        <v>720</v>
      </c>
      <c r="B659" s="1">
        <v>46175</v>
      </c>
      <c r="C659" t="s">
        <v>57</v>
      </c>
      <c r="D659" t="s">
        <v>50</v>
      </c>
      <c r="E659" t="s">
        <v>75</v>
      </c>
      <c r="F659" t="s">
        <v>37</v>
      </c>
      <c r="G659" t="s">
        <v>38</v>
      </c>
      <c r="H659">
        <v>106</v>
      </c>
      <c r="I659">
        <v>100</v>
      </c>
      <c r="J659">
        <v>79</v>
      </c>
      <c r="K659">
        <v>127</v>
      </c>
      <c r="L659">
        <v>67</v>
      </c>
      <c r="M659" s="2">
        <v>2589.34</v>
      </c>
      <c r="N659">
        <v>8</v>
      </c>
      <c r="O659">
        <v>0</v>
      </c>
      <c r="P659" t="s">
        <v>33</v>
      </c>
      <c r="Q659" t="s">
        <v>34</v>
      </c>
      <c r="R659" t="s">
        <v>26</v>
      </c>
      <c r="S659" s="2">
        <f t="shared" si="10"/>
        <v>328846.18</v>
      </c>
    </row>
    <row r="660" spans="1:19" x14ac:dyDescent="0.3">
      <c r="A660" t="s">
        <v>721</v>
      </c>
      <c r="B660" s="1">
        <v>46142</v>
      </c>
      <c r="C660" t="s">
        <v>77</v>
      </c>
      <c r="D660" t="s">
        <v>53</v>
      </c>
      <c r="E660" t="s">
        <v>58</v>
      </c>
      <c r="F660" t="s">
        <v>37</v>
      </c>
      <c r="G660" t="s">
        <v>38</v>
      </c>
      <c r="H660">
        <v>100</v>
      </c>
      <c r="I660">
        <v>123</v>
      </c>
      <c r="J660">
        <v>110</v>
      </c>
      <c r="K660">
        <v>113</v>
      </c>
      <c r="L660">
        <v>82</v>
      </c>
      <c r="M660" s="2">
        <v>506.56</v>
      </c>
      <c r="N660">
        <v>7</v>
      </c>
      <c r="O660">
        <v>0</v>
      </c>
      <c r="P660" t="s">
        <v>33</v>
      </c>
      <c r="Q660" t="s">
        <v>34</v>
      </c>
      <c r="R660" t="s">
        <v>43</v>
      </c>
      <c r="S660" s="2">
        <f t="shared" si="10"/>
        <v>57241.279999999999</v>
      </c>
    </row>
    <row r="661" spans="1:19" x14ac:dyDescent="0.3">
      <c r="A661" t="s">
        <v>722</v>
      </c>
      <c r="B661" s="1">
        <v>46207</v>
      </c>
      <c r="C661" t="s">
        <v>45</v>
      </c>
      <c r="D661" t="s">
        <v>46</v>
      </c>
      <c r="E661" t="s">
        <v>21</v>
      </c>
      <c r="F661" t="s">
        <v>22</v>
      </c>
      <c r="G661" t="s">
        <v>23</v>
      </c>
      <c r="H661">
        <v>136</v>
      </c>
      <c r="I661">
        <v>86</v>
      </c>
      <c r="J661">
        <v>109</v>
      </c>
      <c r="K661">
        <v>113</v>
      </c>
      <c r="L661">
        <v>60</v>
      </c>
      <c r="M661" s="2">
        <v>736.84</v>
      </c>
      <c r="N661">
        <v>6</v>
      </c>
      <c r="O661">
        <v>0</v>
      </c>
      <c r="P661" t="s">
        <v>33</v>
      </c>
      <c r="Q661" t="s">
        <v>34</v>
      </c>
      <c r="R661" t="s">
        <v>43</v>
      </c>
      <c r="S661" s="2">
        <f t="shared" si="10"/>
        <v>83262.92</v>
      </c>
    </row>
    <row r="662" spans="1:19" x14ac:dyDescent="0.3">
      <c r="A662" t="s">
        <v>723</v>
      </c>
      <c r="B662" s="1">
        <v>46212</v>
      </c>
      <c r="C662" t="s">
        <v>57</v>
      </c>
      <c r="D662" t="s">
        <v>50</v>
      </c>
      <c r="E662" t="s">
        <v>42</v>
      </c>
      <c r="F662" t="s">
        <v>1582</v>
      </c>
      <c r="G662" t="s">
        <v>1583</v>
      </c>
      <c r="H662">
        <v>145</v>
      </c>
      <c r="I662">
        <v>30</v>
      </c>
      <c r="J662">
        <v>26</v>
      </c>
      <c r="K662">
        <v>149</v>
      </c>
      <c r="L662">
        <v>48</v>
      </c>
      <c r="M662" s="2">
        <v>2757.94</v>
      </c>
      <c r="N662">
        <v>3</v>
      </c>
      <c r="O662">
        <v>0</v>
      </c>
      <c r="P662" t="s">
        <v>33</v>
      </c>
      <c r="Q662" t="s">
        <v>47</v>
      </c>
      <c r="R662" t="s">
        <v>26</v>
      </c>
      <c r="S662" s="2">
        <f t="shared" si="10"/>
        <v>410933.06</v>
      </c>
    </row>
    <row r="663" spans="1:19" x14ac:dyDescent="0.3">
      <c r="A663" t="s">
        <v>724</v>
      </c>
      <c r="B663" s="1">
        <v>46236</v>
      </c>
      <c r="C663" t="s">
        <v>68</v>
      </c>
      <c r="D663" t="s">
        <v>53</v>
      </c>
      <c r="E663" t="s">
        <v>30</v>
      </c>
      <c r="F663" t="s">
        <v>1582</v>
      </c>
      <c r="G663" t="s">
        <v>1583</v>
      </c>
      <c r="H663">
        <v>107</v>
      </c>
      <c r="I663">
        <v>94</v>
      </c>
      <c r="J663">
        <v>78</v>
      </c>
      <c r="K663">
        <v>123</v>
      </c>
      <c r="L663">
        <v>85</v>
      </c>
      <c r="M663" s="2">
        <v>590.80999999999995</v>
      </c>
      <c r="N663">
        <v>5</v>
      </c>
      <c r="O663">
        <v>0</v>
      </c>
      <c r="P663" t="s">
        <v>33</v>
      </c>
      <c r="Q663" t="s">
        <v>34</v>
      </c>
      <c r="R663" t="s">
        <v>81</v>
      </c>
      <c r="S663" s="2">
        <f t="shared" si="10"/>
        <v>72669.62999999999</v>
      </c>
    </row>
    <row r="664" spans="1:19" x14ac:dyDescent="0.3">
      <c r="A664" t="s">
        <v>725</v>
      </c>
      <c r="B664" s="1">
        <v>46131</v>
      </c>
      <c r="C664" t="s">
        <v>28</v>
      </c>
      <c r="D664" t="s">
        <v>29</v>
      </c>
      <c r="E664" t="s">
        <v>30</v>
      </c>
      <c r="F664" t="s">
        <v>22</v>
      </c>
      <c r="G664" t="s">
        <v>23</v>
      </c>
      <c r="H664">
        <v>164</v>
      </c>
      <c r="I664">
        <v>111</v>
      </c>
      <c r="J664">
        <v>73</v>
      </c>
      <c r="K664">
        <v>202</v>
      </c>
      <c r="L664">
        <v>53</v>
      </c>
      <c r="M664" s="2">
        <v>1421.69</v>
      </c>
      <c r="N664">
        <v>6</v>
      </c>
      <c r="O664">
        <v>0</v>
      </c>
      <c r="P664" t="s">
        <v>33</v>
      </c>
      <c r="Q664" t="s">
        <v>47</v>
      </c>
      <c r="R664" t="s">
        <v>26</v>
      </c>
      <c r="S664" s="2">
        <f t="shared" si="10"/>
        <v>287181.38</v>
      </c>
    </row>
    <row r="665" spans="1:19" x14ac:dyDescent="0.3">
      <c r="A665" t="s">
        <v>726</v>
      </c>
      <c r="B665" s="1">
        <v>46043</v>
      </c>
      <c r="C665" t="s">
        <v>55</v>
      </c>
      <c r="D665" t="s">
        <v>50</v>
      </c>
      <c r="E665" t="s">
        <v>75</v>
      </c>
      <c r="F665" t="s">
        <v>22</v>
      </c>
      <c r="G665" t="s">
        <v>23</v>
      </c>
      <c r="H665">
        <v>183</v>
      </c>
      <c r="I665">
        <v>67</v>
      </c>
      <c r="J665">
        <v>30</v>
      </c>
      <c r="K665">
        <v>220</v>
      </c>
      <c r="L665">
        <v>83</v>
      </c>
      <c r="M665" s="2">
        <v>1070.46</v>
      </c>
      <c r="N665">
        <v>2</v>
      </c>
      <c r="O665">
        <v>0</v>
      </c>
      <c r="P665" t="s">
        <v>24</v>
      </c>
      <c r="Q665" t="s">
        <v>47</v>
      </c>
      <c r="R665" t="s">
        <v>26</v>
      </c>
      <c r="S665" s="2">
        <f t="shared" si="10"/>
        <v>235501.2</v>
      </c>
    </row>
    <row r="666" spans="1:19" x14ac:dyDescent="0.3">
      <c r="A666" t="s">
        <v>727</v>
      </c>
      <c r="B666" s="1">
        <v>46238</v>
      </c>
      <c r="C666" t="s">
        <v>87</v>
      </c>
      <c r="D666" t="s">
        <v>53</v>
      </c>
      <c r="E666" t="s">
        <v>75</v>
      </c>
      <c r="F666" t="s">
        <v>37</v>
      </c>
      <c r="G666" t="s">
        <v>38</v>
      </c>
      <c r="H666">
        <v>118</v>
      </c>
      <c r="I666">
        <v>67</v>
      </c>
      <c r="J666">
        <v>53</v>
      </c>
      <c r="K666">
        <v>132</v>
      </c>
      <c r="L666">
        <v>63</v>
      </c>
      <c r="M666" s="2">
        <v>448.73</v>
      </c>
      <c r="N666">
        <v>8</v>
      </c>
      <c r="O666">
        <v>0</v>
      </c>
      <c r="P666" t="s">
        <v>24</v>
      </c>
      <c r="Q666" t="s">
        <v>34</v>
      </c>
      <c r="R666" t="s">
        <v>59</v>
      </c>
      <c r="S666" s="2">
        <f t="shared" si="10"/>
        <v>59232.36</v>
      </c>
    </row>
    <row r="667" spans="1:19" x14ac:dyDescent="0.3">
      <c r="A667" t="s">
        <v>728</v>
      </c>
      <c r="B667" s="1">
        <v>46236</v>
      </c>
      <c r="C667" t="s">
        <v>89</v>
      </c>
      <c r="D667" t="s">
        <v>20</v>
      </c>
      <c r="E667" t="s">
        <v>21</v>
      </c>
      <c r="F667" t="s">
        <v>22</v>
      </c>
      <c r="G667" t="s">
        <v>23</v>
      </c>
      <c r="H667">
        <v>86</v>
      </c>
      <c r="I667">
        <v>124</v>
      </c>
      <c r="J667">
        <v>109</v>
      </c>
      <c r="K667">
        <v>101</v>
      </c>
      <c r="L667">
        <v>76</v>
      </c>
      <c r="M667" s="2">
        <v>1080.5</v>
      </c>
      <c r="N667">
        <v>6</v>
      </c>
      <c r="O667">
        <v>0</v>
      </c>
      <c r="P667" t="s">
        <v>33</v>
      </c>
      <c r="Q667" t="s">
        <v>34</v>
      </c>
      <c r="R667" t="s">
        <v>43</v>
      </c>
      <c r="S667" s="2">
        <f t="shared" si="10"/>
        <v>109130.5</v>
      </c>
    </row>
    <row r="668" spans="1:19" x14ac:dyDescent="0.3">
      <c r="A668" t="s">
        <v>729</v>
      </c>
      <c r="B668" s="1">
        <v>46281</v>
      </c>
      <c r="C668" t="s">
        <v>49</v>
      </c>
      <c r="D668" t="s">
        <v>50</v>
      </c>
      <c r="E668" t="s">
        <v>30</v>
      </c>
      <c r="F668" t="s">
        <v>1582</v>
      </c>
      <c r="G668" t="s">
        <v>1583</v>
      </c>
      <c r="H668">
        <v>126</v>
      </c>
      <c r="I668">
        <v>120</v>
      </c>
      <c r="J668">
        <v>63</v>
      </c>
      <c r="K668">
        <v>183</v>
      </c>
      <c r="L668">
        <v>75</v>
      </c>
      <c r="M668" s="2">
        <v>1386.96</v>
      </c>
      <c r="N668">
        <v>8</v>
      </c>
      <c r="O668">
        <v>0</v>
      </c>
      <c r="P668" t="s">
        <v>33</v>
      </c>
      <c r="Q668" t="s">
        <v>47</v>
      </c>
      <c r="R668" t="s">
        <v>59</v>
      </c>
      <c r="S668" s="2">
        <f t="shared" si="10"/>
        <v>253813.68</v>
      </c>
    </row>
    <row r="669" spans="1:19" x14ac:dyDescent="0.3">
      <c r="A669" t="s">
        <v>730</v>
      </c>
      <c r="B669" s="1">
        <v>46046</v>
      </c>
      <c r="C669" t="s">
        <v>55</v>
      </c>
      <c r="D669" t="s">
        <v>50</v>
      </c>
      <c r="E669" t="s">
        <v>58</v>
      </c>
      <c r="F669" t="s">
        <v>22</v>
      </c>
      <c r="G669" t="s">
        <v>23</v>
      </c>
      <c r="H669">
        <v>123</v>
      </c>
      <c r="I669">
        <v>31</v>
      </c>
      <c r="J669">
        <v>94</v>
      </c>
      <c r="K669">
        <v>60</v>
      </c>
      <c r="L669">
        <v>87</v>
      </c>
      <c r="M669" s="2">
        <v>1024.72</v>
      </c>
      <c r="N669">
        <v>5</v>
      </c>
      <c r="O669">
        <v>7</v>
      </c>
      <c r="P669" t="s">
        <v>33</v>
      </c>
      <c r="Q669" t="s">
        <v>34</v>
      </c>
      <c r="R669" t="s">
        <v>26</v>
      </c>
      <c r="S669" s="2">
        <f t="shared" si="10"/>
        <v>61483.200000000004</v>
      </c>
    </row>
    <row r="670" spans="1:19" x14ac:dyDescent="0.3">
      <c r="A670" t="s">
        <v>731</v>
      </c>
      <c r="B670" s="1">
        <v>46066</v>
      </c>
      <c r="C670" t="s">
        <v>49</v>
      </c>
      <c r="D670" t="s">
        <v>50</v>
      </c>
      <c r="E670" t="s">
        <v>75</v>
      </c>
      <c r="F670" t="s">
        <v>22</v>
      </c>
      <c r="G670" t="s">
        <v>23</v>
      </c>
      <c r="H670">
        <v>46</v>
      </c>
      <c r="I670">
        <v>93</v>
      </c>
      <c r="J670">
        <v>95</v>
      </c>
      <c r="K670">
        <v>44</v>
      </c>
      <c r="L670">
        <v>95</v>
      </c>
      <c r="M670" s="2">
        <v>1370.61</v>
      </c>
      <c r="N670">
        <v>4</v>
      </c>
      <c r="O670">
        <v>2</v>
      </c>
      <c r="P670" t="s">
        <v>33</v>
      </c>
      <c r="Q670" t="s">
        <v>25</v>
      </c>
      <c r="R670" t="s">
        <v>26</v>
      </c>
      <c r="S670" s="2">
        <f t="shared" si="10"/>
        <v>60306.84</v>
      </c>
    </row>
    <row r="671" spans="1:19" x14ac:dyDescent="0.3">
      <c r="A671" t="s">
        <v>732</v>
      </c>
      <c r="B671" s="1">
        <v>46128</v>
      </c>
      <c r="C671" t="s">
        <v>62</v>
      </c>
      <c r="D671" t="s">
        <v>29</v>
      </c>
      <c r="E671" t="s">
        <v>30</v>
      </c>
      <c r="F671" t="s">
        <v>22</v>
      </c>
      <c r="G671" t="s">
        <v>23</v>
      </c>
      <c r="H671">
        <v>161</v>
      </c>
      <c r="I671">
        <v>84</v>
      </c>
      <c r="J671">
        <v>17</v>
      </c>
      <c r="K671">
        <v>228</v>
      </c>
      <c r="L671">
        <v>52</v>
      </c>
      <c r="M671" s="2">
        <v>722.16</v>
      </c>
      <c r="N671">
        <v>6</v>
      </c>
      <c r="O671">
        <v>0</v>
      </c>
      <c r="P671" t="s">
        <v>33</v>
      </c>
      <c r="Q671" t="s">
        <v>47</v>
      </c>
      <c r="R671" t="s">
        <v>26</v>
      </c>
      <c r="S671" s="2">
        <f t="shared" si="10"/>
        <v>164652.47999999998</v>
      </c>
    </row>
    <row r="672" spans="1:19" x14ac:dyDescent="0.3">
      <c r="A672" t="s">
        <v>733</v>
      </c>
      <c r="B672" s="1">
        <v>46035</v>
      </c>
      <c r="C672" t="s">
        <v>36</v>
      </c>
      <c r="D672" t="s">
        <v>29</v>
      </c>
      <c r="E672" t="s">
        <v>75</v>
      </c>
      <c r="F672" t="s">
        <v>37</v>
      </c>
      <c r="G672" t="s">
        <v>38</v>
      </c>
      <c r="H672">
        <v>142</v>
      </c>
      <c r="I672">
        <v>95</v>
      </c>
      <c r="J672">
        <v>20</v>
      </c>
      <c r="K672">
        <v>217</v>
      </c>
      <c r="L672">
        <v>76</v>
      </c>
      <c r="M672" s="2">
        <v>2573.75</v>
      </c>
      <c r="N672">
        <v>2</v>
      </c>
      <c r="O672">
        <v>0</v>
      </c>
      <c r="P672" t="s">
        <v>33</v>
      </c>
      <c r="Q672" t="s">
        <v>47</v>
      </c>
      <c r="R672" t="s">
        <v>26</v>
      </c>
      <c r="S672" s="2">
        <f t="shared" si="10"/>
        <v>558503.75</v>
      </c>
    </row>
    <row r="673" spans="1:19" x14ac:dyDescent="0.3">
      <c r="A673" t="s">
        <v>734</v>
      </c>
      <c r="B673" s="1">
        <v>46231</v>
      </c>
      <c r="C673" t="s">
        <v>52</v>
      </c>
      <c r="D673" t="s">
        <v>53</v>
      </c>
      <c r="E673" t="s">
        <v>58</v>
      </c>
      <c r="F673" t="s">
        <v>37</v>
      </c>
      <c r="G673" t="s">
        <v>38</v>
      </c>
      <c r="H673">
        <v>63</v>
      </c>
      <c r="I673">
        <v>34</v>
      </c>
      <c r="J673">
        <v>27</v>
      </c>
      <c r="K673">
        <v>70</v>
      </c>
      <c r="L673">
        <v>79</v>
      </c>
      <c r="M673" s="2">
        <v>606.86</v>
      </c>
      <c r="N673">
        <v>3</v>
      </c>
      <c r="O673">
        <v>2</v>
      </c>
      <c r="P673" t="s">
        <v>33</v>
      </c>
      <c r="Q673" t="s">
        <v>34</v>
      </c>
      <c r="R673" t="s">
        <v>26</v>
      </c>
      <c r="S673" s="2">
        <f t="shared" si="10"/>
        <v>42480.200000000004</v>
      </c>
    </row>
    <row r="674" spans="1:19" x14ac:dyDescent="0.3">
      <c r="A674" t="s">
        <v>735</v>
      </c>
      <c r="B674" s="1">
        <v>46155</v>
      </c>
      <c r="C674" t="s">
        <v>62</v>
      </c>
      <c r="D674" t="s">
        <v>29</v>
      </c>
      <c r="E674" t="s">
        <v>30</v>
      </c>
      <c r="F674" t="s">
        <v>37</v>
      </c>
      <c r="G674" t="s">
        <v>38</v>
      </c>
      <c r="H674">
        <v>86</v>
      </c>
      <c r="I674">
        <v>23</v>
      </c>
      <c r="J674">
        <v>106</v>
      </c>
      <c r="K674">
        <v>3</v>
      </c>
      <c r="L674">
        <v>48</v>
      </c>
      <c r="M674" s="2">
        <v>671.72</v>
      </c>
      <c r="N674">
        <v>2</v>
      </c>
      <c r="O674">
        <v>7</v>
      </c>
      <c r="P674" t="s">
        <v>33</v>
      </c>
      <c r="Q674" t="s">
        <v>25</v>
      </c>
      <c r="R674" t="s">
        <v>43</v>
      </c>
      <c r="S674" s="2">
        <f t="shared" si="10"/>
        <v>2015.16</v>
      </c>
    </row>
    <row r="675" spans="1:19" x14ac:dyDescent="0.3">
      <c r="A675" t="s">
        <v>736</v>
      </c>
      <c r="B675" s="1">
        <v>46081</v>
      </c>
      <c r="C675" t="s">
        <v>57</v>
      </c>
      <c r="D675" t="s">
        <v>50</v>
      </c>
      <c r="E675" t="s">
        <v>75</v>
      </c>
      <c r="F675" t="s">
        <v>22</v>
      </c>
      <c r="G675" t="s">
        <v>23</v>
      </c>
      <c r="H675">
        <v>101</v>
      </c>
      <c r="I675">
        <v>116</v>
      </c>
      <c r="J675">
        <v>91</v>
      </c>
      <c r="K675">
        <v>126</v>
      </c>
      <c r="L675">
        <v>82</v>
      </c>
      <c r="M675" s="2">
        <v>2652.44</v>
      </c>
      <c r="N675">
        <v>6</v>
      </c>
      <c r="O675">
        <v>0</v>
      </c>
      <c r="P675" t="s">
        <v>33</v>
      </c>
      <c r="Q675" t="s">
        <v>34</v>
      </c>
      <c r="R675" t="s">
        <v>26</v>
      </c>
      <c r="S675" s="2">
        <f t="shared" si="10"/>
        <v>334207.44</v>
      </c>
    </row>
    <row r="676" spans="1:19" x14ac:dyDescent="0.3">
      <c r="A676" t="s">
        <v>737</v>
      </c>
      <c r="B676" s="1">
        <v>46160</v>
      </c>
      <c r="C676" t="s">
        <v>109</v>
      </c>
      <c r="D676" t="s">
        <v>46</v>
      </c>
      <c r="E676" t="s">
        <v>21</v>
      </c>
      <c r="F676" t="s">
        <v>1582</v>
      </c>
      <c r="G676" t="s">
        <v>1583</v>
      </c>
      <c r="H676">
        <v>181</v>
      </c>
      <c r="I676">
        <v>72</v>
      </c>
      <c r="J676">
        <v>23</v>
      </c>
      <c r="K676">
        <v>230</v>
      </c>
      <c r="L676">
        <v>75</v>
      </c>
      <c r="M676" s="2">
        <v>2898.5</v>
      </c>
      <c r="N676">
        <v>7</v>
      </c>
      <c r="O676">
        <v>0</v>
      </c>
      <c r="P676" t="s">
        <v>33</v>
      </c>
      <c r="Q676" t="s">
        <v>47</v>
      </c>
      <c r="R676" t="s">
        <v>43</v>
      </c>
      <c r="S676" s="2">
        <f t="shared" si="10"/>
        <v>666655</v>
      </c>
    </row>
    <row r="677" spans="1:19" x14ac:dyDescent="0.3">
      <c r="A677" t="s">
        <v>738</v>
      </c>
      <c r="B677" s="1">
        <v>46095</v>
      </c>
      <c r="C677" t="s">
        <v>77</v>
      </c>
      <c r="D677" t="s">
        <v>53</v>
      </c>
      <c r="E677" t="s">
        <v>42</v>
      </c>
      <c r="F677" t="s">
        <v>22</v>
      </c>
      <c r="G677" t="s">
        <v>23</v>
      </c>
      <c r="H677">
        <v>117</v>
      </c>
      <c r="I677">
        <v>92</v>
      </c>
      <c r="J677">
        <v>67</v>
      </c>
      <c r="K677">
        <v>142</v>
      </c>
      <c r="L677">
        <v>73</v>
      </c>
      <c r="M677" s="2">
        <v>458.39</v>
      </c>
      <c r="N677">
        <v>7</v>
      </c>
      <c r="O677">
        <v>0</v>
      </c>
      <c r="P677" t="s">
        <v>33</v>
      </c>
      <c r="Q677" t="s">
        <v>34</v>
      </c>
      <c r="R677" t="s">
        <v>59</v>
      </c>
      <c r="S677" s="2">
        <f t="shared" si="10"/>
        <v>65091.38</v>
      </c>
    </row>
    <row r="678" spans="1:19" x14ac:dyDescent="0.3">
      <c r="A678" t="s">
        <v>739</v>
      </c>
      <c r="B678" s="1">
        <v>46108</v>
      </c>
      <c r="C678" t="s">
        <v>80</v>
      </c>
      <c r="D678" t="s">
        <v>46</v>
      </c>
      <c r="E678" t="s">
        <v>42</v>
      </c>
      <c r="F678" t="s">
        <v>1582</v>
      </c>
      <c r="G678" t="s">
        <v>1583</v>
      </c>
      <c r="H678">
        <v>182</v>
      </c>
      <c r="I678">
        <v>77</v>
      </c>
      <c r="J678">
        <v>20</v>
      </c>
      <c r="K678">
        <v>239</v>
      </c>
      <c r="L678">
        <v>45</v>
      </c>
      <c r="M678" s="2">
        <v>1168.78</v>
      </c>
      <c r="N678">
        <v>8</v>
      </c>
      <c r="O678">
        <v>0</v>
      </c>
      <c r="P678" t="s">
        <v>33</v>
      </c>
      <c r="Q678" t="s">
        <v>47</v>
      </c>
      <c r="R678" t="s">
        <v>26</v>
      </c>
      <c r="S678" s="2">
        <f t="shared" si="10"/>
        <v>279338.42</v>
      </c>
    </row>
    <row r="679" spans="1:19" x14ac:dyDescent="0.3">
      <c r="A679" t="s">
        <v>740</v>
      </c>
      <c r="B679" s="1">
        <v>46284</v>
      </c>
      <c r="C679" t="s">
        <v>19</v>
      </c>
      <c r="D679" t="s">
        <v>20</v>
      </c>
      <c r="E679" t="s">
        <v>58</v>
      </c>
      <c r="F679" t="s">
        <v>37</v>
      </c>
      <c r="G679" t="s">
        <v>38</v>
      </c>
      <c r="H679">
        <v>193</v>
      </c>
      <c r="I679">
        <v>52</v>
      </c>
      <c r="J679">
        <v>102</v>
      </c>
      <c r="K679">
        <v>143</v>
      </c>
      <c r="L679">
        <v>69</v>
      </c>
      <c r="M679" s="2">
        <v>1979.73</v>
      </c>
      <c r="N679">
        <v>8</v>
      </c>
      <c r="O679">
        <v>0</v>
      </c>
      <c r="P679" t="s">
        <v>33</v>
      </c>
      <c r="Q679" t="s">
        <v>34</v>
      </c>
      <c r="R679" t="s">
        <v>26</v>
      </c>
      <c r="S679" s="2">
        <f t="shared" si="10"/>
        <v>283101.39</v>
      </c>
    </row>
    <row r="680" spans="1:19" x14ac:dyDescent="0.3">
      <c r="A680" t="s">
        <v>741</v>
      </c>
      <c r="B680" s="1">
        <v>46130</v>
      </c>
      <c r="C680" t="s">
        <v>109</v>
      </c>
      <c r="D680" t="s">
        <v>46</v>
      </c>
      <c r="E680" t="s">
        <v>42</v>
      </c>
      <c r="F680" t="s">
        <v>31</v>
      </c>
      <c r="G680" t="s">
        <v>32</v>
      </c>
      <c r="H680">
        <v>116</v>
      </c>
      <c r="I680">
        <v>31</v>
      </c>
      <c r="J680">
        <v>65</v>
      </c>
      <c r="K680">
        <v>82</v>
      </c>
      <c r="L680">
        <v>89</v>
      </c>
      <c r="M680" s="2">
        <v>2958.71</v>
      </c>
      <c r="N680">
        <v>3</v>
      </c>
      <c r="O680">
        <v>5</v>
      </c>
      <c r="P680" t="s">
        <v>33</v>
      </c>
      <c r="Q680" t="s">
        <v>34</v>
      </c>
      <c r="R680" t="s">
        <v>43</v>
      </c>
      <c r="S680" s="2">
        <f t="shared" si="10"/>
        <v>242614.22</v>
      </c>
    </row>
    <row r="681" spans="1:19" x14ac:dyDescent="0.3">
      <c r="A681" t="s">
        <v>742</v>
      </c>
      <c r="B681" s="1">
        <v>46191</v>
      </c>
      <c r="C681" t="s">
        <v>52</v>
      </c>
      <c r="D681" t="s">
        <v>53</v>
      </c>
      <c r="E681" t="s">
        <v>21</v>
      </c>
      <c r="F681" t="s">
        <v>37</v>
      </c>
      <c r="G681" t="s">
        <v>38</v>
      </c>
      <c r="H681">
        <v>155</v>
      </c>
      <c r="I681">
        <v>54</v>
      </c>
      <c r="J681">
        <v>46</v>
      </c>
      <c r="K681">
        <v>163</v>
      </c>
      <c r="L681">
        <v>87</v>
      </c>
      <c r="M681" s="2">
        <v>712.79</v>
      </c>
      <c r="N681">
        <v>4</v>
      </c>
      <c r="O681">
        <v>0</v>
      </c>
      <c r="P681" t="s">
        <v>33</v>
      </c>
      <c r="Q681" t="s">
        <v>34</v>
      </c>
      <c r="R681" t="s">
        <v>81</v>
      </c>
      <c r="S681" s="2">
        <f t="shared" si="10"/>
        <v>116184.76999999999</v>
      </c>
    </row>
    <row r="682" spans="1:19" x14ac:dyDescent="0.3">
      <c r="A682" t="s">
        <v>743</v>
      </c>
      <c r="B682" s="1">
        <v>46355</v>
      </c>
      <c r="C682" t="s">
        <v>98</v>
      </c>
      <c r="D682" t="s">
        <v>20</v>
      </c>
      <c r="E682" t="s">
        <v>75</v>
      </c>
      <c r="F682" t="s">
        <v>1582</v>
      </c>
      <c r="G682" t="s">
        <v>1583</v>
      </c>
      <c r="H682">
        <v>41</v>
      </c>
      <c r="I682">
        <v>21</v>
      </c>
      <c r="J682">
        <v>101</v>
      </c>
      <c r="K682">
        <v>0</v>
      </c>
      <c r="L682">
        <v>56</v>
      </c>
      <c r="M682" s="2">
        <v>1375.69</v>
      </c>
      <c r="N682">
        <v>7</v>
      </c>
      <c r="O682">
        <v>7</v>
      </c>
      <c r="P682" t="s">
        <v>33</v>
      </c>
      <c r="Q682" t="s">
        <v>25</v>
      </c>
      <c r="R682" t="s">
        <v>26</v>
      </c>
      <c r="S682" s="2">
        <f t="shared" si="10"/>
        <v>0</v>
      </c>
    </row>
    <row r="683" spans="1:19" x14ac:dyDescent="0.3">
      <c r="A683" t="s">
        <v>744</v>
      </c>
      <c r="B683" s="1">
        <v>46379</v>
      </c>
      <c r="C683" t="s">
        <v>19</v>
      </c>
      <c r="D683" t="s">
        <v>20</v>
      </c>
      <c r="E683" t="s">
        <v>58</v>
      </c>
      <c r="F683" t="s">
        <v>31</v>
      </c>
      <c r="G683" t="s">
        <v>32</v>
      </c>
      <c r="H683">
        <v>130</v>
      </c>
      <c r="I683">
        <v>124</v>
      </c>
      <c r="J683">
        <v>63</v>
      </c>
      <c r="K683">
        <v>191</v>
      </c>
      <c r="L683">
        <v>97</v>
      </c>
      <c r="M683" s="2">
        <v>1836.47</v>
      </c>
      <c r="N683">
        <v>5</v>
      </c>
      <c r="O683">
        <v>0</v>
      </c>
      <c r="P683" t="s">
        <v>33</v>
      </c>
      <c r="Q683" t="s">
        <v>34</v>
      </c>
      <c r="R683" t="s">
        <v>59</v>
      </c>
      <c r="S683" s="2">
        <f t="shared" si="10"/>
        <v>350765.77</v>
      </c>
    </row>
    <row r="684" spans="1:19" x14ac:dyDescent="0.3">
      <c r="A684" t="s">
        <v>745</v>
      </c>
      <c r="B684" s="1">
        <v>46206</v>
      </c>
      <c r="C684" t="s">
        <v>19</v>
      </c>
      <c r="D684" t="s">
        <v>20</v>
      </c>
      <c r="E684" t="s">
        <v>58</v>
      </c>
      <c r="F684" t="s">
        <v>37</v>
      </c>
      <c r="G684" t="s">
        <v>38</v>
      </c>
      <c r="H684">
        <v>89</v>
      </c>
      <c r="I684">
        <v>76</v>
      </c>
      <c r="J684">
        <v>16</v>
      </c>
      <c r="K684">
        <v>149</v>
      </c>
      <c r="L684">
        <v>59</v>
      </c>
      <c r="M684" s="2">
        <v>1887.53</v>
      </c>
      <c r="N684">
        <v>8</v>
      </c>
      <c r="O684">
        <v>0</v>
      </c>
      <c r="P684" t="s">
        <v>33</v>
      </c>
      <c r="Q684" t="s">
        <v>47</v>
      </c>
      <c r="R684" t="s">
        <v>81</v>
      </c>
      <c r="S684" s="2">
        <f t="shared" si="10"/>
        <v>281241.96999999997</v>
      </c>
    </row>
    <row r="685" spans="1:19" x14ac:dyDescent="0.3">
      <c r="A685" t="s">
        <v>746</v>
      </c>
      <c r="B685" s="1">
        <v>46349</v>
      </c>
      <c r="C685" t="s">
        <v>62</v>
      </c>
      <c r="D685" t="s">
        <v>29</v>
      </c>
      <c r="E685" t="s">
        <v>30</v>
      </c>
      <c r="F685" t="s">
        <v>37</v>
      </c>
      <c r="G685" t="s">
        <v>38</v>
      </c>
      <c r="H685">
        <v>96</v>
      </c>
      <c r="I685">
        <v>49</v>
      </c>
      <c r="J685">
        <v>78</v>
      </c>
      <c r="K685">
        <v>67</v>
      </c>
      <c r="L685">
        <v>68</v>
      </c>
      <c r="M685" s="2">
        <v>635.15</v>
      </c>
      <c r="N685">
        <v>5</v>
      </c>
      <c r="O685">
        <v>4</v>
      </c>
      <c r="P685" t="s">
        <v>33</v>
      </c>
      <c r="Q685" t="s">
        <v>34</v>
      </c>
      <c r="R685" t="s">
        <v>26</v>
      </c>
      <c r="S685" s="2">
        <f t="shared" si="10"/>
        <v>42555.049999999996</v>
      </c>
    </row>
    <row r="686" spans="1:19" x14ac:dyDescent="0.3">
      <c r="A686" t="s">
        <v>747</v>
      </c>
      <c r="B686" s="1">
        <v>46056</v>
      </c>
      <c r="C686" t="s">
        <v>57</v>
      </c>
      <c r="D686" t="s">
        <v>50</v>
      </c>
      <c r="E686" t="s">
        <v>21</v>
      </c>
      <c r="F686" t="s">
        <v>1582</v>
      </c>
      <c r="G686" t="s">
        <v>1583</v>
      </c>
      <c r="H686">
        <v>83</v>
      </c>
      <c r="I686">
        <v>90</v>
      </c>
      <c r="J686">
        <v>39</v>
      </c>
      <c r="K686">
        <v>134</v>
      </c>
      <c r="L686">
        <v>87</v>
      </c>
      <c r="M686" s="2">
        <v>2933.74</v>
      </c>
      <c r="N686">
        <v>7</v>
      </c>
      <c r="O686">
        <v>0</v>
      </c>
      <c r="P686" t="s">
        <v>33</v>
      </c>
      <c r="Q686" t="s">
        <v>34</v>
      </c>
      <c r="R686" t="s">
        <v>26</v>
      </c>
      <c r="S686" s="2">
        <f t="shared" si="10"/>
        <v>393121.16</v>
      </c>
    </row>
    <row r="687" spans="1:19" x14ac:dyDescent="0.3">
      <c r="A687" t="s">
        <v>748</v>
      </c>
      <c r="B687" s="1">
        <v>46377</v>
      </c>
      <c r="C687" t="s">
        <v>87</v>
      </c>
      <c r="D687" t="s">
        <v>53</v>
      </c>
      <c r="E687" t="s">
        <v>75</v>
      </c>
      <c r="F687" t="s">
        <v>22</v>
      </c>
      <c r="G687" t="s">
        <v>23</v>
      </c>
      <c r="H687">
        <v>106</v>
      </c>
      <c r="I687">
        <v>92</v>
      </c>
      <c r="J687">
        <v>44</v>
      </c>
      <c r="K687">
        <v>154</v>
      </c>
      <c r="L687">
        <v>78</v>
      </c>
      <c r="M687" s="2">
        <v>470.6</v>
      </c>
      <c r="N687">
        <v>4</v>
      </c>
      <c r="O687">
        <v>0</v>
      </c>
      <c r="P687" t="s">
        <v>33</v>
      </c>
      <c r="Q687" t="s">
        <v>34</v>
      </c>
      <c r="R687" t="s">
        <v>26</v>
      </c>
      <c r="S687" s="2">
        <f t="shared" si="10"/>
        <v>72472.400000000009</v>
      </c>
    </row>
    <row r="688" spans="1:19" x14ac:dyDescent="0.3">
      <c r="A688" t="s">
        <v>749</v>
      </c>
      <c r="B688" s="1">
        <v>46231</v>
      </c>
      <c r="C688" t="s">
        <v>52</v>
      </c>
      <c r="D688" t="s">
        <v>53</v>
      </c>
      <c r="E688" t="s">
        <v>30</v>
      </c>
      <c r="F688" t="s">
        <v>1582</v>
      </c>
      <c r="G688" t="s">
        <v>1583</v>
      </c>
      <c r="H688">
        <v>40</v>
      </c>
      <c r="I688">
        <v>74</v>
      </c>
      <c r="J688">
        <v>97</v>
      </c>
      <c r="K688">
        <v>17</v>
      </c>
      <c r="L688">
        <v>88</v>
      </c>
      <c r="M688" s="2">
        <v>707.6</v>
      </c>
      <c r="N688">
        <v>2</v>
      </c>
      <c r="O688">
        <v>6</v>
      </c>
      <c r="P688" t="s">
        <v>33</v>
      </c>
      <c r="Q688" t="s">
        <v>25</v>
      </c>
      <c r="R688" t="s">
        <v>26</v>
      </c>
      <c r="S688" s="2">
        <f t="shared" si="10"/>
        <v>12029.2</v>
      </c>
    </row>
    <row r="689" spans="1:19" x14ac:dyDescent="0.3">
      <c r="A689" t="s">
        <v>750</v>
      </c>
      <c r="B689" s="1">
        <v>46238</v>
      </c>
      <c r="C689" t="s">
        <v>109</v>
      </c>
      <c r="D689" t="s">
        <v>46</v>
      </c>
      <c r="E689" t="s">
        <v>30</v>
      </c>
      <c r="F689" t="s">
        <v>1582</v>
      </c>
      <c r="G689" t="s">
        <v>1583</v>
      </c>
      <c r="H689">
        <v>166</v>
      </c>
      <c r="I689">
        <v>66</v>
      </c>
      <c r="J689">
        <v>81</v>
      </c>
      <c r="K689">
        <v>151</v>
      </c>
      <c r="L689">
        <v>93</v>
      </c>
      <c r="M689" s="2">
        <v>2907.82</v>
      </c>
      <c r="N689">
        <v>7</v>
      </c>
      <c r="O689">
        <v>0</v>
      </c>
      <c r="P689" t="s">
        <v>33</v>
      </c>
      <c r="Q689" t="s">
        <v>34</v>
      </c>
      <c r="R689" t="s">
        <v>26</v>
      </c>
      <c r="S689" s="2">
        <f t="shared" si="10"/>
        <v>439080.82</v>
      </c>
    </row>
    <row r="690" spans="1:19" x14ac:dyDescent="0.3">
      <c r="A690" t="s">
        <v>751</v>
      </c>
      <c r="B690" s="1">
        <v>46376</v>
      </c>
      <c r="C690" t="s">
        <v>68</v>
      </c>
      <c r="D690" t="s">
        <v>53</v>
      </c>
      <c r="E690" t="s">
        <v>21</v>
      </c>
      <c r="F690" t="s">
        <v>31</v>
      </c>
      <c r="G690" t="s">
        <v>32</v>
      </c>
      <c r="H690">
        <v>140</v>
      </c>
      <c r="I690">
        <v>44</v>
      </c>
      <c r="J690">
        <v>57</v>
      </c>
      <c r="K690">
        <v>127</v>
      </c>
      <c r="L690">
        <v>50</v>
      </c>
      <c r="M690" s="2">
        <v>645.61</v>
      </c>
      <c r="N690">
        <v>8</v>
      </c>
      <c r="O690">
        <v>0</v>
      </c>
      <c r="P690" t="s">
        <v>24</v>
      </c>
      <c r="Q690" t="s">
        <v>47</v>
      </c>
      <c r="R690" t="s">
        <v>59</v>
      </c>
      <c r="S690" s="2">
        <f t="shared" si="10"/>
        <v>81992.47</v>
      </c>
    </row>
    <row r="691" spans="1:19" x14ac:dyDescent="0.3">
      <c r="A691" t="s">
        <v>752</v>
      </c>
      <c r="B691" s="1">
        <v>46035</v>
      </c>
      <c r="C691" t="s">
        <v>57</v>
      </c>
      <c r="D691" t="s">
        <v>50</v>
      </c>
      <c r="E691" t="s">
        <v>42</v>
      </c>
      <c r="F691" t="s">
        <v>22</v>
      </c>
      <c r="G691" t="s">
        <v>23</v>
      </c>
      <c r="H691">
        <v>82</v>
      </c>
      <c r="I691">
        <v>62</v>
      </c>
      <c r="J691">
        <v>54</v>
      </c>
      <c r="K691">
        <v>90</v>
      </c>
      <c r="L691">
        <v>49</v>
      </c>
      <c r="M691" s="2">
        <v>2870.56</v>
      </c>
      <c r="N691">
        <v>2</v>
      </c>
      <c r="O691">
        <v>0</v>
      </c>
      <c r="P691" t="s">
        <v>24</v>
      </c>
      <c r="Q691" t="s">
        <v>34</v>
      </c>
      <c r="R691" t="s">
        <v>26</v>
      </c>
      <c r="S691" s="2">
        <f t="shared" si="10"/>
        <v>258350.4</v>
      </c>
    </row>
    <row r="692" spans="1:19" x14ac:dyDescent="0.3">
      <c r="A692" t="s">
        <v>753</v>
      </c>
      <c r="B692" s="1">
        <v>46060</v>
      </c>
      <c r="C692" t="s">
        <v>52</v>
      </c>
      <c r="D692" t="s">
        <v>53</v>
      </c>
      <c r="E692" t="s">
        <v>21</v>
      </c>
      <c r="F692" t="s">
        <v>22</v>
      </c>
      <c r="G692" t="s">
        <v>23</v>
      </c>
      <c r="H692">
        <v>67</v>
      </c>
      <c r="I692">
        <v>80</v>
      </c>
      <c r="J692">
        <v>45</v>
      </c>
      <c r="K692">
        <v>102</v>
      </c>
      <c r="L692">
        <v>66</v>
      </c>
      <c r="M692" s="2">
        <v>693.23</v>
      </c>
      <c r="N692">
        <v>8</v>
      </c>
      <c r="O692">
        <v>0</v>
      </c>
      <c r="P692" t="s">
        <v>33</v>
      </c>
      <c r="Q692" t="s">
        <v>34</v>
      </c>
      <c r="R692" t="s">
        <v>59</v>
      </c>
      <c r="S692" s="2">
        <f t="shared" si="10"/>
        <v>70709.460000000006</v>
      </c>
    </row>
    <row r="693" spans="1:19" x14ac:dyDescent="0.3">
      <c r="A693" t="s">
        <v>754</v>
      </c>
      <c r="B693" s="1">
        <v>46056</v>
      </c>
      <c r="C693" t="s">
        <v>68</v>
      </c>
      <c r="D693" t="s">
        <v>53</v>
      </c>
      <c r="E693" t="s">
        <v>75</v>
      </c>
      <c r="F693" t="s">
        <v>1582</v>
      </c>
      <c r="G693" t="s">
        <v>1583</v>
      </c>
      <c r="H693">
        <v>188</v>
      </c>
      <c r="I693">
        <v>35</v>
      </c>
      <c r="J693">
        <v>25</v>
      </c>
      <c r="K693">
        <v>198</v>
      </c>
      <c r="L693">
        <v>48</v>
      </c>
      <c r="M693" s="2">
        <v>650.01</v>
      </c>
      <c r="N693">
        <v>5</v>
      </c>
      <c r="O693">
        <v>0</v>
      </c>
      <c r="P693" t="s">
        <v>33</v>
      </c>
      <c r="Q693" t="s">
        <v>47</v>
      </c>
      <c r="R693" t="s">
        <v>43</v>
      </c>
      <c r="S693" s="2">
        <f t="shared" si="10"/>
        <v>128701.98</v>
      </c>
    </row>
    <row r="694" spans="1:19" x14ac:dyDescent="0.3">
      <c r="A694" t="s">
        <v>755</v>
      </c>
      <c r="B694" s="1">
        <v>46218</v>
      </c>
      <c r="C694" t="s">
        <v>62</v>
      </c>
      <c r="D694" t="s">
        <v>29</v>
      </c>
      <c r="E694" t="s">
        <v>58</v>
      </c>
      <c r="F694" t="s">
        <v>31</v>
      </c>
      <c r="G694" t="s">
        <v>32</v>
      </c>
      <c r="H694">
        <v>117</v>
      </c>
      <c r="I694">
        <v>98</v>
      </c>
      <c r="J694">
        <v>95</v>
      </c>
      <c r="K694">
        <v>120</v>
      </c>
      <c r="L694">
        <v>72</v>
      </c>
      <c r="M694" s="2">
        <v>639.21</v>
      </c>
      <c r="N694">
        <v>7</v>
      </c>
      <c r="O694">
        <v>0</v>
      </c>
      <c r="P694" t="s">
        <v>24</v>
      </c>
      <c r="Q694" t="s">
        <v>34</v>
      </c>
      <c r="R694" t="s">
        <v>26</v>
      </c>
      <c r="S694" s="2">
        <f t="shared" si="10"/>
        <v>76705.200000000012</v>
      </c>
    </row>
    <row r="695" spans="1:19" x14ac:dyDescent="0.3">
      <c r="A695" t="s">
        <v>756</v>
      </c>
      <c r="B695" s="1">
        <v>46242</v>
      </c>
      <c r="C695" t="s">
        <v>57</v>
      </c>
      <c r="D695" t="s">
        <v>50</v>
      </c>
      <c r="E695" t="s">
        <v>30</v>
      </c>
      <c r="F695" t="s">
        <v>1582</v>
      </c>
      <c r="G695" t="s">
        <v>1583</v>
      </c>
      <c r="H695">
        <v>99</v>
      </c>
      <c r="I695">
        <v>130</v>
      </c>
      <c r="J695">
        <v>91</v>
      </c>
      <c r="K695">
        <v>138</v>
      </c>
      <c r="L695">
        <v>95</v>
      </c>
      <c r="M695" s="2">
        <v>2889.45</v>
      </c>
      <c r="N695">
        <v>2</v>
      </c>
      <c r="O695">
        <v>0</v>
      </c>
      <c r="P695" t="s">
        <v>33</v>
      </c>
      <c r="Q695" t="s">
        <v>34</v>
      </c>
      <c r="R695" t="s">
        <v>26</v>
      </c>
      <c r="S695" s="2">
        <f t="shared" si="10"/>
        <v>398744.1</v>
      </c>
    </row>
    <row r="696" spans="1:19" x14ac:dyDescent="0.3">
      <c r="A696" t="s">
        <v>757</v>
      </c>
      <c r="B696" s="1">
        <v>46326</v>
      </c>
      <c r="C696" t="s">
        <v>77</v>
      </c>
      <c r="D696" t="s">
        <v>53</v>
      </c>
      <c r="E696" t="s">
        <v>21</v>
      </c>
      <c r="F696" t="s">
        <v>31</v>
      </c>
      <c r="G696" t="s">
        <v>32</v>
      </c>
      <c r="H696">
        <v>156</v>
      </c>
      <c r="I696">
        <v>86</v>
      </c>
      <c r="J696">
        <v>57</v>
      </c>
      <c r="K696">
        <v>185</v>
      </c>
      <c r="L696">
        <v>82</v>
      </c>
      <c r="M696" s="2">
        <v>469.25</v>
      </c>
      <c r="N696">
        <v>2</v>
      </c>
      <c r="O696">
        <v>0</v>
      </c>
      <c r="P696" t="s">
        <v>24</v>
      </c>
      <c r="Q696" t="s">
        <v>47</v>
      </c>
      <c r="R696" t="s">
        <v>59</v>
      </c>
      <c r="S696" s="2">
        <f t="shared" si="10"/>
        <v>86811.25</v>
      </c>
    </row>
    <row r="697" spans="1:19" x14ac:dyDescent="0.3">
      <c r="A697" t="s">
        <v>758</v>
      </c>
      <c r="B697" s="1">
        <v>46053</v>
      </c>
      <c r="C697" t="s">
        <v>28</v>
      </c>
      <c r="D697" t="s">
        <v>29</v>
      </c>
      <c r="E697" t="s">
        <v>30</v>
      </c>
      <c r="F697" t="s">
        <v>37</v>
      </c>
      <c r="G697" t="s">
        <v>38</v>
      </c>
      <c r="H697">
        <v>130</v>
      </c>
      <c r="I697">
        <v>73</v>
      </c>
      <c r="J697">
        <v>76</v>
      </c>
      <c r="K697">
        <v>127</v>
      </c>
      <c r="L697">
        <v>91</v>
      </c>
      <c r="M697" s="2">
        <v>1331.42</v>
      </c>
      <c r="N697">
        <v>3</v>
      </c>
      <c r="O697">
        <v>0</v>
      </c>
      <c r="P697" t="s">
        <v>33</v>
      </c>
      <c r="Q697" t="s">
        <v>34</v>
      </c>
      <c r="R697" t="s">
        <v>59</v>
      </c>
      <c r="S697" s="2">
        <f t="shared" si="10"/>
        <v>169090.34</v>
      </c>
    </row>
    <row r="698" spans="1:19" x14ac:dyDescent="0.3">
      <c r="A698" t="s">
        <v>759</v>
      </c>
      <c r="B698" s="1">
        <v>46181</v>
      </c>
      <c r="C698" t="s">
        <v>83</v>
      </c>
      <c r="D698" t="s">
        <v>29</v>
      </c>
      <c r="E698" t="s">
        <v>30</v>
      </c>
      <c r="F698" t="s">
        <v>1582</v>
      </c>
      <c r="G698" t="s">
        <v>1583</v>
      </c>
      <c r="H698">
        <v>171</v>
      </c>
      <c r="I698">
        <v>103</v>
      </c>
      <c r="J698">
        <v>60</v>
      </c>
      <c r="K698">
        <v>214</v>
      </c>
      <c r="L698">
        <v>64</v>
      </c>
      <c r="M698" s="2">
        <v>1626.77</v>
      </c>
      <c r="N698">
        <v>6</v>
      </c>
      <c r="O698">
        <v>0</v>
      </c>
      <c r="P698" t="s">
        <v>33</v>
      </c>
      <c r="Q698" t="s">
        <v>47</v>
      </c>
      <c r="R698" t="s">
        <v>26</v>
      </c>
      <c r="S698" s="2">
        <f t="shared" si="10"/>
        <v>348128.77999999997</v>
      </c>
    </row>
    <row r="699" spans="1:19" x14ac:dyDescent="0.3">
      <c r="A699" t="s">
        <v>760</v>
      </c>
      <c r="B699" s="1">
        <v>46123</v>
      </c>
      <c r="C699" t="s">
        <v>52</v>
      </c>
      <c r="D699" t="s">
        <v>53</v>
      </c>
      <c r="E699" t="s">
        <v>21</v>
      </c>
      <c r="F699" t="s">
        <v>37</v>
      </c>
      <c r="G699" t="s">
        <v>38</v>
      </c>
      <c r="H699">
        <v>42</v>
      </c>
      <c r="I699">
        <v>86</v>
      </c>
      <c r="J699">
        <v>90</v>
      </c>
      <c r="K699">
        <v>38</v>
      </c>
      <c r="L699">
        <v>87</v>
      </c>
      <c r="M699" s="2">
        <v>673.18</v>
      </c>
      <c r="N699">
        <v>2</v>
      </c>
      <c r="O699">
        <v>1</v>
      </c>
      <c r="P699" t="s">
        <v>33</v>
      </c>
      <c r="Q699" t="s">
        <v>25</v>
      </c>
      <c r="R699" t="s">
        <v>26</v>
      </c>
      <c r="S699" s="2">
        <f t="shared" si="10"/>
        <v>25580.839999999997</v>
      </c>
    </row>
    <row r="700" spans="1:19" x14ac:dyDescent="0.3">
      <c r="A700" t="s">
        <v>761</v>
      </c>
      <c r="B700" s="1">
        <v>46319</v>
      </c>
      <c r="C700" t="s">
        <v>28</v>
      </c>
      <c r="D700" t="s">
        <v>29</v>
      </c>
      <c r="E700" t="s">
        <v>75</v>
      </c>
      <c r="F700" t="s">
        <v>37</v>
      </c>
      <c r="G700" t="s">
        <v>38</v>
      </c>
      <c r="H700">
        <v>88</v>
      </c>
      <c r="I700">
        <v>105</v>
      </c>
      <c r="J700">
        <v>75</v>
      </c>
      <c r="K700">
        <v>118</v>
      </c>
      <c r="L700">
        <v>89</v>
      </c>
      <c r="M700" s="2">
        <v>1349.88</v>
      </c>
      <c r="N700">
        <v>5</v>
      </c>
      <c r="O700">
        <v>0</v>
      </c>
      <c r="P700" t="s">
        <v>33</v>
      </c>
      <c r="Q700" t="s">
        <v>34</v>
      </c>
      <c r="R700" t="s">
        <v>26</v>
      </c>
      <c r="S700" s="2">
        <f t="shared" si="10"/>
        <v>159285.84000000003</v>
      </c>
    </row>
    <row r="701" spans="1:19" x14ac:dyDescent="0.3">
      <c r="A701" t="s">
        <v>762</v>
      </c>
      <c r="B701" s="1">
        <v>46024</v>
      </c>
      <c r="C701" t="s">
        <v>52</v>
      </c>
      <c r="D701" t="s">
        <v>53</v>
      </c>
      <c r="E701" t="s">
        <v>30</v>
      </c>
      <c r="F701" t="s">
        <v>37</v>
      </c>
      <c r="G701" t="s">
        <v>38</v>
      </c>
      <c r="H701">
        <v>147</v>
      </c>
      <c r="I701">
        <v>62</v>
      </c>
      <c r="J701">
        <v>35</v>
      </c>
      <c r="K701">
        <v>174</v>
      </c>
      <c r="L701">
        <v>51</v>
      </c>
      <c r="M701" s="2">
        <v>644.05999999999995</v>
      </c>
      <c r="N701">
        <v>8</v>
      </c>
      <c r="O701">
        <v>0</v>
      </c>
      <c r="P701" t="s">
        <v>33</v>
      </c>
      <c r="Q701" t="s">
        <v>47</v>
      </c>
      <c r="R701" t="s">
        <v>26</v>
      </c>
      <c r="S701" s="2">
        <f t="shared" si="10"/>
        <v>112066.43999999999</v>
      </c>
    </row>
    <row r="702" spans="1:19" x14ac:dyDescent="0.3">
      <c r="A702" t="s">
        <v>763</v>
      </c>
      <c r="B702" s="1">
        <v>46117</v>
      </c>
      <c r="C702" t="s">
        <v>28</v>
      </c>
      <c r="D702" t="s">
        <v>29</v>
      </c>
      <c r="E702" t="s">
        <v>58</v>
      </c>
      <c r="F702" t="s">
        <v>22</v>
      </c>
      <c r="G702" t="s">
        <v>23</v>
      </c>
      <c r="H702">
        <v>101</v>
      </c>
      <c r="I702">
        <v>81</v>
      </c>
      <c r="J702">
        <v>109</v>
      </c>
      <c r="K702">
        <v>73</v>
      </c>
      <c r="L702">
        <v>94</v>
      </c>
      <c r="M702" s="2">
        <v>1417.67</v>
      </c>
      <c r="N702">
        <v>4</v>
      </c>
      <c r="O702">
        <v>7</v>
      </c>
      <c r="P702" t="s">
        <v>33</v>
      </c>
      <c r="Q702" t="s">
        <v>34</v>
      </c>
      <c r="R702" t="s">
        <v>26</v>
      </c>
      <c r="S702" s="2">
        <f t="shared" si="10"/>
        <v>103489.91</v>
      </c>
    </row>
    <row r="703" spans="1:19" x14ac:dyDescent="0.3">
      <c r="A703" t="s">
        <v>764</v>
      </c>
      <c r="B703" s="1">
        <v>46207</v>
      </c>
      <c r="C703" t="s">
        <v>89</v>
      </c>
      <c r="D703" t="s">
        <v>20</v>
      </c>
      <c r="E703" t="s">
        <v>75</v>
      </c>
      <c r="F703" t="s">
        <v>31</v>
      </c>
      <c r="G703" t="s">
        <v>32</v>
      </c>
      <c r="H703">
        <v>131</v>
      </c>
      <c r="I703">
        <v>23</v>
      </c>
      <c r="J703">
        <v>86</v>
      </c>
      <c r="K703">
        <v>68</v>
      </c>
      <c r="L703">
        <v>52</v>
      </c>
      <c r="M703" s="2">
        <v>1114.18</v>
      </c>
      <c r="N703">
        <v>5</v>
      </c>
      <c r="O703">
        <v>0</v>
      </c>
      <c r="P703" t="s">
        <v>33</v>
      </c>
      <c r="Q703" t="s">
        <v>34</v>
      </c>
      <c r="R703" t="s">
        <v>26</v>
      </c>
      <c r="S703" s="2">
        <f t="shared" si="10"/>
        <v>75764.240000000005</v>
      </c>
    </row>
    <row r="704" spans="1:19" x14ac:dyDescent="0.3">
      <c r="A704" t="s">
        <v>765</v>
      </c>
      <c r="B704" s="1">
        <v>46123</v>
      </c>
      <c r="C704" t="s">
        <v>19</v>
      </c>
      <c r="D704" t="s">
        <v>20</v>
      </c>
      <c r="E704" t="s">
        <v>42</v>
      </c>
      <c r="F704" t="s">
        <v>22</v>
      </c>
      <c r="G704" t="s">
        <v>23</v>
      </c>
      <c r="H704">
        <v>112</v>
      </c>
      <c r="I704">
        <v>42</v>
      </c>
      <c r="J704">
        <v>43</v>
      </c>
      <c r="K704">
        <v>111</v>
      </c>
      <c r="L704">
        <v>61</v>
      </c>
      <c r="M704" s="2">
        <v>1878.78</v>
      </c>
      <c r="N704">
        <v>4</v>
      </c>
      <c r="O704">
        <v>0</v>
      </c>
      <c r="P704" t="s">
        <v>33</v>
      </c>
      <c r="Q704" t="s">
        <v>34</v>
      </c>
      <c r="R704" t="s">
        <v>26</v>
      </c>
      <c r="S704" s="2">
        <f t="shared" si="10"/>
        <v>208544.58</v>
      </c>
    </row>
    <row r="705" spans="1:19" x14ac:dyDescent="0.3">
      <c r="A705" t="s">
        <v>766</v>
      </c>
      <c r="B705" s="1">
        <v>46130</v>
      </c>
      <c r="C705" t="s">
        <v>98</v>
      </c>
      <c r="D705" t="s">
        <v>20</v>
      </c>
      <c r="E705" t="s">
        <v>21</v>
      </c>
      <c r="F705" t="s">
        <v>31</v>
      </c>
      <c r="G705" t="s">
        <v>32</v>
      </c>
      <c r="H705">
        <v>45</v>
      </c>
      <c r="I705">
        <v>126</v>
      </c>
      <c r="J705">
        <v>101</v>
      </c>
      <c r="K705">
        <v>70</v>
      </c>
      <c r="L705">
        <v>53</v>
      </c>
      <c r="M705" s="2">
        <v>1366.1</v>
      </c>
      <c r="N705">
        <v>8</v>
      </c>
      <c r="O705">
        <v>0</v>
      </c>
      <c r="P705" t="s">
        <v>33</v>
      </c>
      <c r="Q705" t="s">
        <v>34</v>
      </c>
      <c r="R705" t="s">
        <v>26</v>
      </c>
      <c r="S705" s="2">
        <f t="shared" si="10"/>
        <v>95627</v>
      </c>
    </row>
    <row r="706" spans="1:19" x14ac:dyDescent="0.3">
      <c r="A706" t="s">
        <v>767</v>
      </c>
      <c r="B706" s="1">
        <v>46056</v>
      </c>
      <c r="C706" t="s">
        <v>146</v>
      </c>
      <c r="D706" t="s">
        <v>46</v>
      </c>
      <c r="E706" t="s">
        <v>42</v>
      </c>
      <c r="F706" t="s">
        <v>37</v>
      </c>
      <c r="G706" t="s">
        <v>38</v>
      </c>
      <c r="H706">
        <v>135</v>
      </c>
      <c r="I706">
        <v>104</v>
      </c>
      <c r="J706">
        <v>36</v>
      </c>
      <c r="K706">
        <v>203</v>
      </c>
      <c r="L706">
        <v>78</v>
      </c>
      <c r="M706" s="2">
        <v>1643.13</v>
      </c>
      <c r="N706">
        <v>6</v>
      </c>
      <c r="O706">
        <v>0</v>
      </c>
      <c r="P706" t="s">
        <v>33</v>
      </c>
      <c r="Q706" t="s">
        <v>47</v>
      </c>
      <c r="R706" t="s">
        <v>43</v>
      </c>
      <c r="S706" s="2">
        <f t="shared" ref="S706:S769" si="11">K706*M706</f>
        <v>333555.39</v>
      </c>
    </row>
    <row r="707" spans="1:19" x14ac:dyDescent="0.3">
      <c r="A707" t="s">
        <v>768</v>
      </c>
      <c r="B707" s="1">
        <v>46046</v>
      </c>
      <c r="C707" t="s">
        <v>98</v>
      </c>
      <c r="D707" t="s">
        <v>20</v>
      </c>
      <c r="E707" t="s">
        <v>42</v>
      </c>
      <c r="F707" t="s">
        <v>22</v>
      </c>
      <c r="G707" t="s">
        <v>23</v>
      </c>
      <c r="H707">
        <v>89</v>
      </c>
      <c r="I707">
        <v>88</v>
      </c>
      <c r="J707">
        <v>63</v>
      </c>
      <c r="K707">
        <v>114</v>
      </c>
      <c r="L707">
        <v>89</v>
      </c>
      <c r="M707" s="2">
        <v>1364.79</v>
      </c>
      <c r="N707">
        <v>6</v>
      </c>
      <c r="O707">
        <v>0</v>
      </c>
      <c r="P707" t="s">
        <v>33</v>
      </c>
      <c r="Q707" t="s">
        <v>34</v>
      </c>
      <c r="R707" t="s">
        <v>26</v>
      </c>
      <c r="S707" s="2">
        <f t="shared" si="11"/>
        <v>155586.06</v>
      </c>
    </row>
    <row r="708" spans="1:19" x14ac:dyDescent="0.3">
      <c r="A708" t="s">
        <v>769</v>
      </c>
      <c r="B708" s="1">
        <v>46322</v>
      </c>
      <c r="C708" t="s">
        <v>87</v>
      </c>
      <c r="D708" t="s">
        <v>53</v>
      </c>
      <c r="E708" t="s">
        <v>30</v>
      </c>
      <c r="F708" t="s">
        <v>37</v>
      </c>
      <c r="G708" t="s">
        <v>38</v>
      </c>
      <c r="H708">
        <v>78</v>
      </c>
      <c r="I708">
        <v>61</v>
      </c>
      <c r="J708">
        <v>46</v>
      </c>
      <c r="K708">
        <v>93</v>
      </c>
      <c r="L708">
        <v>48</v>
      </c>
      <c r="M708" s="2">
        <v>461.65</v>
      </c>
      <c r="N708">
        <v>4</v>
      </c>
      <c r="O708">
        <v>0</v>
      </c>
      <c r="P708" t="s">
        <v>33</v>
      </c>
      <c r="Q708" t="s">
        <v>34</v>
      </c>
      <c r="R708" t="s">
        <v>43</v>
      </c>
      <c r="S708" s="2">
        <f t="shared" si="11"/>
        <v>42933.45</v>
      </c>
    </row>
    <row r="709" spans="1:19" x14ac:dyDescent="0.3">
      <c r="A709" t="s">
        <v>770</v>
      </c>
      <c r="B709" s="1">
        <v>46214</v>
      </c>
      <c r="C709" t="s">
        <v>72</v>
      </c>
      <c r="D709" t="s">
        <v>50</v>
      </c>
      <c r="E709" t="s">
        <v>75</v>
      </c>
      <c r="F709" t="s">
        <v>1582</v>
      </c>
      <c r="G709" t="s">
        <v>1583</v>
      </c>
      <c r="H709">
        <v>209</v>
      </c>
      <c r="I709">
        <v>98</v>
      </c>
      <c r="J709">
        <v>23</v>
      </c>
      <c r="K709">
        <v>284</v>
      </c>
      <c r="L709">
        <v>55</v>
      </c>
      <c r="M709" s="2">
        <v>2203.79</v>
      </c>
      <c r="N709">
        <v>8</v>
      </c>
      <c r="O709">
        <v>0</v>
      </c>
      <c r="P709" t="s">
        <v>33</v>
      </c>
      <c r="Q709" t="s">
        <v>47</v>
      </c>
      <c r="R709" t="s">
        <v>59</v>
      </c>
      <c r="S709" s="2">
        <f t="shared" si="11"/>
        <v>625876.36</v>
      </c>
    </row>
    <row r="710" spans="1:19" x14ac:dyDescent="0.3">
      <c r="A710" t="s">
        <v>771</v>
      </c>
      <c r="B710" s="1">
        <v>46349</v>
      </c>
      <c r="C710" t="s">
        <v>55</v>
      </c>
      <c r="D710" t="s">
        <v>50</v>
      </c>
      <c r="E710" t="s">
        <v>42</v>
      </c>
      <c r="F710" t="s">
        <v>37</v>
      </c>
      <c r="G710" t="s">
        <v>38</v>
      </c>
      <c r="H710">
        <v>135</v>
      </c>
      <c r="I710">
        <v>87</v>
      </c>
      <c r="J710">
        <v>103</v>
      </c>
      <c r="K710">
        <v>119</v>
      </c>
      <c r="L710">
        <v>75</v>
      </c>
      <c r="M710" s="2">
        <v>1043.1300000000001</v>
      </c>
      <c r="N710">
        <v>5</v>
      </c>
      <c r="O710">
        <v>0</v>
      </c>
      <c r="P710" t="s">
        <v>33</v>
      </c>
      <c r="Q710" t="s">
        <v>34</v>
      </c>
      <c r="R710" t="s">
        <v>26</v>
      </c>
      <c r="S710" s="2">
        <f t="shared" si="11"/>
        <v>124132.47000000002</v>
      </c>
    </row>
    <row r="711" spans="1:19" x14ac:dyDescent="0.3">
      <c r="A711" t="s">
        <v>772</v>
      </c>
      <c r="B711" s="1">
        <v>46214</v>
      </c>
      <c r="C711" t="s">
        <v>77</v>
      </c>
      <c r="D711" t="s">
        <v>53</v>
      </c>
      <c r="E711" t="s">
        <v>42</v>
      </c>
      <c r="F711" t="s">
        <v>22</v>
      </c>
      <c r="G711" t="s">
        <v>23</v>
      </c>
      <c r="H711">
        <v>91</v>
      </c>
      <c r="I711">
        <v>77</v>
      </c>
      <c r="J711">
        <v>45</v>
      </c>
      <c r="K711">
        <v>123</v>
      </c>
      <c r="L711">
        <v>70</v>
      </c>
      <c r="M711" s="2">
        <v>471.86</v>
      </c>
      <c r="N711">
        <v>5</v>
      </c>
      <c r="O711">
        <v>0</v>
      </c>
      <c r="P711" t="s">
        <v>33</v>
      </c>
      <c r="Q711" t="s">
        <v>34</v>
      </c>
      <c r="R711" t="s">
        <v>26</v>
      </c>
      <c r="S711" s="2">
        <f t="shared" si="11"/>
        <v>58038.78</v>
      </c>
    </row>
    <row r="712" spans="1:19" x14ac:dyDescent="0.3">
      <c r="A712" t="s">
        <v>773</v>
      </c>
      <c r="B712" s="1">
        <v>46241</v>
      </c>
      <c r="C712" t="s">
        <v>109</v>
      </c>
      <c r="D712" t="s">
        <v>46</v>
      </c>
      <c r="E712" t="s">
        <v>42</v>
      </c>
      <c r="F712" t="s">
        <v>31</v>
      </c>
      <c r="G712" t="s">
        <v>32</v>
      </c>
      <c r="H712">
        <v>115</v>
      </c>
      <c r="I712">
        <v>76</v>
      </c>
      <c r="J712">
        <v>81</v>
      </c>
      <c r="K712">
        <v>110</v>
      </c>
      <c r="L712">
        <v>67</v>
      </c>
      <c r="M712" s="2">
        <v>3027.31</v>
      </c>
      <c r="N712">
        <v>2</v>
      </c>
      <c r="O712">
        <v>0</v>
      </c>
      <c r="P712" t="s">
        <v>33</v>
      </c>
      <c r="Q712" t="s">
        <v>34</v>
      </c>
      <c r="R712" t="s">
        <v>26</v>
      </c>
      <c r="S712" s="2">
        <f t="shared" si="11"/>
        <v>333004.09999999998</v>
      </c>
    </row>
    <row r="713" spans="1:19" x14ac:dyDescent="0.3">
      <c r="A713" t="s">
        <v>774</v>
      </c>
      <c r="B713" s="1">
        <v>46353</v>
      </c>
      <c r="C713" t="s">
        <v>55</v>
      </c>
      <c r="D713" t="s">
        <v>50</v>
      </c>
      <c r="E713" t="s">
        <v>58</v>
      </c>
      <c r="F713" t="s">
        <v>1582</v>
      </c>
      <c r="G713" t="s">
        <v>1583</v>
      </c>
      <c r="H713">
        <v>134</v>
      </c>
      <c r="I713">
        <v>122</v>
      </c>
      <c r="J713">
        <v>78</v>
      </c>
      <c r="K713">
        <v>178</v>
      </c>
      <c r="L713">
        <v>65</v>
      </c>
      <c r="M713" s="2">
        <v>954.6</v>
      </c>
      <c r="N713">
        <v>2</v>
      </c>
      <c r="O713">
        <v>0</v>
      </c>
      <c r="P713" t="s">
        <v>33</v>
      </c>
      <c r="Q713" t="s">
        <v>47</v>
      </c>
      <c r="R713" t="s">
        <v>26</v>
      </c>
      <c r="S713" s="2">
        <f t="shared" si="11"/>
        <v>169918.80000000002</v>
      </c>
    </row>
    <row r="714" spans="1:19" x14ac:dyDescent="0.3">
      <c r="A714" t="s">
        <v>775</v>
      </c>
      <c r="B714" s="1">
        <v>46059</v>
      </c>
      <c r="C714" t="s">
        <v>89</v>
      </c>
      <c r="D714" t="s">
        <v>20</v>
      </c>
      <c r="E714" t="s">
        <v>75</v>
      </c>
      <c r="F714" t="s">
        <v>37</v>
      </c>
      <c r="G714" t="s">
        <v>38</v>
      </c>
      <c r="H714">
        <v>168</v>
      </c>
      <c r="I714">
        <v>85</v>
      </c>
      <c r="J714">
        <v>84</v>
      </c>
      <c r="K714">
        <v>169</v>
      </c>
      <c r="L714">
        <v>86</v>
      </c>
      <c r="M714" s="2">
        <v>1098.76</v>
      </c>
      <c r="N714">
        <v>4</v>
      </c>
      <c r="O714">
        <v>0</v>
      </c>
      <c r="P714" t="s">
        <v>33</v>
      </c>
      <c r="Q714" t="s">
        <v>34</v>
      </c>
      <c r="R714" t="s">
        <v>26</v>
      </c>
      <c r="S714" s="2">
        <f t="shared" si="11"/>
        <v>185690.44</v>
      </c>
    </row>
    <row r="715" spans="1:19" x14ac:dyDescent="0.3">
      <c r="A715" t="s">
        <v>776</v>
      </c>
      <c r="B715" s="1">
        <v>46163</v>
      </c>
      <c r="C715" t="s">
        <v>109</v>
      </c>
      <c r="D715" t="s">
        <v>46</v>
      </c>
      <c r="E715" t="s">
        <v>30</v>
      </c>
      <c r="F715" t="s">
        <v>22</v>
      </c>
      <c r="G715" t="s">
        <v>23</v>
      </c>
      <c r="H715">
        <v>125</v>
      </c>
      <c r="I715">
        <v>45</v>
      </c>
      <c r="J715">
        <v>101</v>
      </c>
      <c r="K715">
        <v>69</v>
      </c>
      <c r="L715">
        <v>66</v>
      </c>
      <c r="M715" s="2">
        <v>3040.02</v>
      </c>
      <c r="N715">
        <v>7</v>
      </c>
      <c r="O715">
        <v>0</v>
      </c>
      <c r="P715" t="s">
        <v>33</v>
      </c>
      <c r="Q715" t="s">
        <v>34</v>
      </c>
      <c r="R715" t="s">
        <v>59</v>
      </c>
      <c r="S715" s="2">
        <f t="shared" si="11"/>
        <v>209761.38</v>
      </c>
    </row>
    <row r="716" spans="1:19" x14ac:dyDescent="0.3">
      <c r="A716" t="s">
        <v>777</v>
      </c>
      <c r="B716" s="1">
        <v>46319</v>
      </c>
      <c r="C716" t="s">
        <v>28</v>
      </c>
      <c r="D716" t="s">
        <v>29</v>
      </c>
      <c r="E716" t="s">
        <v>30</v>
      </c>
      <c r="F716" t="s">
        <v>37</v>
      </c>
      <c r="G716" t="s">
        <v>38</v>
      </c>
      <c r="H716">
        <v>42</v>
      </c>
      <c r="I716">
        <v>118</v>
      </c>
      <c r="J716">
        <v>53</v>
      </c>
      <c r="K716">
        <v>107</v>
      </c>
      <c r="L716">
        <v>63</v>
      </c>
      <c r="M716" s="2">
        <v>1383.8</v>
      </c>
      <c r="N716">
        <v>8</v>
      </c>
      <c r="O716">
        <v>0</v>
      </c>
      <c r="P716" t="s">
        <v>33</v>
      </c>
      <c r="Q716" t="s">
        <v>34</v>
      </c>
      <c r="R716" t="s">
        <v>81</v>
      </c>
      <c r="S716" s="2">
        <f t="shared" si="11"/>
        <v>148066.6</v>
      </c>
    </row>
    <row r="717" spans="1:19" x14ac:dyDescent="0.3">
      <c r="A717" t="s">
        <v>778</v>
      </c>
      <c r="B717" s="1">
        <v>46305</v>
      </c>
      <c r="C717" t="s">
        <v>40</v>
      </c>
      <c r="D717" t="s">
        <v>20</v>
      </c>
      <c r="E717" t="s">
        <v>30</v>
      </c>
      <c r="F717" t="s">
        <v>22</v>
      </c>
      <c r="G717" t="s">
        <v>23</v>
      </c>
      <c r="H717">
        <v>141</v>
      </c>
      <c r="I717">
        <v>49</v>
      </c>
      <c r="J717">
        <v>44</v>
      </c>
      <c r="K717">
        <v>146</v>
      </c>
      <c r="L717">
        <v>91</v>
      </c>
      <c r="M717" s="2">
        <v>944.84</v>
      </c>
      <c r="N717">
        <v>5</v>
      </c>
      <c r="O717">
        <v>0</v>
      </c>
      <c r="P717" t="s">
        <v>33</v>
      </c>
      <c r="Q717" t="s">
        <v>34</v>
      </c>
      <c r="R717" t="s">
        <v>26</v>
      </c>
      <c r="S717" s="2">
        <f t="shared" si="11"/>
        <v>137946.64000000001</v>
      </c>
    </row>
    <row r="718" spans="1:19" x14ac:dyDescent="0.3">
      <c r="A718" t="s">
        <v>779</v>
      </c>
      <c r="B718" s="1">
        <v>46308</v>
      </c>
      <c r="C718" t="s">
        <v>55</v>
      </c>
      <c r="D718" t="s">
        <v>50</v>
      </c>
      <c r="E718" t="s">
        <v>21</v>
      </c>
      <c r="F718" t="s">
        <v>31</v>
      </c>
      <c r="G718" t="s">
        <v>32</v>
      </c>
      <c r="H718">
        <v>120</v>
      </c>
      <c r="I718">
        <v>128</v>
      </c>
      <c r="J718">
        <v>39</v>
      </c>
      <c r="K718">
        <v>209</v>
      </c>
      <c r="L718">
        <v>72</v>
      </c>
      <c r="M718" s="2">
        <v>1054.03</v>
      </c>
      <c r="N718">
        <v>7</v>
      </c>
      <c r="O718">
        <v>0</v>
      </c>
      <c r="P718" t="s">
        <v>33</v>
      </c>
      <c r="Q718" t="s">
        <v>47</v>
      </c>
      <c r="R718" t="s">
        <v>26</v>
      </c>
      <c r="S718" s="2">
        <f t="shared" si="11"/>
        <v>220292.27</v>
      </c>
    </row>
    <row r="719" spans="1:19" x14ac:dyDescent="0.3">
      <c r="A719" t="s">
        <v>780</v>
      </c>
      <c r="B719" s="1">
        <v>46240</v>
      </c>
      <c r="C719" t="s">
        <v>89</v>
      </c>
      <c r="D719" t="s">
        <v>20</v>
      </c>
      <c r="E719" t="s">
        <v>42</v>
      </c>
      <c r="F719" t="s">
        <v>22</v>
      </c>
      <c r="G719" t="s">
        <v>23</v>
      </c>
      <c r="H719">
        <v>118</v>
      </c>
      <c r="I719">
        <v>114</v>
      </c>
      <c r="J719">
        <v>16</v>
      </c>
      <c r="K719">
        <v>216</v>
      </c>
      <c r="L719">
        <v>76</v>
      </c>
      <c r="M719" s="2">
        <v>1274.5</v>
      </c>
      <c r="N719">
        <v>8</v>
      </c>
      <c r="O719">
        <v>0</v>
      </c>
      <c r="P719" t="s">
        <v>33</v>
      </c>
      <c r="Q719" t="s">
        <v>47</v>
      </c>
      <c r="R719" t="s">
        <v>26</v>
      </c>
      <c r="S719" s="2">
        <f t="shared" si="11"/>
        <v>275292</v>
      </c>
    </row>
    <row r="720" spans="1:19" x14ac:dyDescent="0.3">
      <c r="A720" t="s">
        <v>781</v>
      </c>
      <c r="B720" s="1">
        <v>46334</v>
      </c>
      <c r="C720" t="s">
        <v>49</v>
      </c>
      <c r="D720" t="s">
        <v>50</v>
      </c>
      <c r="E720" t="s">
        <v>21</v>
      </c>
      <c r="F720" t="s">
        <v>31</v>
      </c>
      <c r="G720" t="s">
        <v>32</v>
      </c>
      <c r="H720">
        <v>185</v>
      </c>
      <c r="I720">
        <v>120</v>
      </c>
      <c r="J720">
        <v>19</v>
      </c>
      <c r="K720">
        <v>286</v>
      </c>
      <c r="L720">
        <v>53</v>
      </c>
      <c r="M720" s="2">
        <v>1209.96</v>
      </c>
      <c r="N720">
        <v>4</v>
      </c>
      <c r="O720">
        <v>0</v>
      </c>
      <c r="P720" t="s">
        <v>33</v>
      </c>
      <c r="Q720" t="s">
        <v>47</v>
      </c>
      <c r="R720" t="s">
        <v>59</v>
      </c>
      <c r="S720" s="2">
        <f t="shared" si="11"/>
        <v>346048.56</v>
      </c>
    </row>
    <row r="721" spans="1:19" x14ac:dyDescent="0.3">
      <c r="A721" t="s">
        <v>782</v>
      </c>
      <c r="B721" s="1">
        <v>46350</v>
      </c>
      <c r="C721" t="s">
        <v>68</v>
      </c>
      <c r="D721" t="s">
        <v>53</v>
      </c>
      <c r="E721" t="s">
        <v>58</v>
      </c>
      <c r="F721" t="s">
        <v>22</v>
      </c>
      <c r="G721" t="s">
        <v>23</v>
      </c>
      <c r="H721">
        <v>140</v>
      </c>
      <c r="I721">
        <v>28</v>
      </c>
      <c r="J721">
        <v>83</v>
      </c>
      <c r="K721">
        <v>85</v>
      </c>
      <c r="L721">
        <v>69</v>
      </c>
      <c r="M721" s="2">
        <v>562.6</v>
      </c>
      <c r="N721">
        <v>2</v>
      </c>
      <c r="O721">
        <v>0</v>
      </c>
      <c r="P721" t="s">
        <v>33</v>
      </c>
      <c r="Q721" t="s">
        <v>34</v>
      </c>
      <c r="R721" t="s">
        <v>81</v>
      </c>
      <c r="S721" s="2">
        <f t="shared" si="11"/>
        <v>47821</v>
      </c>
    </row>
    <row r="722" spans="1:19" x14ac:dyDescent="0.3">
      <c r="A722" t="s">
        <v>783</v>
      </c>
      <c r="B722" s="1">
        <v>46058</v>
      </c>
      <c r="C722" t="s">
        <v>109</v>
      </c>
      <c r="D722" t="s">
        <v>46</v>
      </c>
      <c r="E722" t="s">
        <v>42</v>
      </c>
      <c r="F722" t="s">
        <v>31</v>
      </c>
      <c r="G722" t="s">
        <v>32</v>
      </c>
      <c r="H722">
        <v>212</v>
      </c>
      <c r="I722">
        <v>90</v>
      </c>
      <c r="J722">
        <v>37</v>
      </c>
      <c r="K722">
        <v>265</v>
      </c>
      <c r="L722">
        <v>47</v>
      </c>
      <c r="M722" s="2">
        <v>3408.94</v>
      </c>
      <c r="N722">
        <v>6</v>
      </c>
      <c r="O722">
        <v>0</v>
      </c>
      <c r="P722" t="s">
        <v>33</v>
      </c>
      <c r="Q722" t="s">
        <v>47</v>
      </c>
      <c r="R722" t="s">
        <v>26</v>
      </c>
      <c r="S722" s="2">
        <f t="shared" si="11"/>
        <v>903369.1</v>
      </c>
    </row>
    <row r="723" spans="1:19" x14ac:dyDescent="0.3">
      <c r="A723" t="s">
        <v>784</v>
      </c>
      <c r="B723" s="1">
        <v>46233</v>
      </c>
      <c r="C723" t="s">
        <v>49</v>
      </c>
      <c r="D723" t="s">
        <v>50</v>
      </c>
      <c r="E723" t="s">
        <v>42</v>
      </c>
      <c r="F723" t="s">
        <v>22</v>
      </c>
      <c r="G723" t="s">
        <v>23</v>
      </c>
      <c r="H723">
        <v>114</v>
      </c>
      <c r="I723">
        <v>104</v>
      </c>
      <c r="J723">
        <v>82</v>
      </c>
      <c r="K723">
        <v>136</v>
      </c>
      <c r="L723">
        <v>49</v>
      </c>
      <c r="M723" s="2">
        <v>1288.21</v>
      </c>
      <c r="N723">
        <v>4</v>
      </c>
      <c r="O723">
        <v>0</v>
      </c>
      <c r="P723" t="s">
        <v>33</v>
      </c>
      <c r="Q723" t="s">
        <v>47</v>
      </c>
      <c r="R723" t="s">
        <v>26</v>
      </c>
      <c r="S723" s="2">
        <f t="shared" si="11"/>
        <v>175196.56</v>
      </c>
    </row>
    <row r="724" spans="1:19" x14ac:dyDescent="0.3">
      <c r="A724" t="s">
        <v>785</v>
      </c>
      <c r="B724" s="1">
        <v>46181</v>
      </c>
      <c r="C724" t="s">
        <v>72</v>
      </c>
      <c r="D724" t="s">
        <v>50</v>
      </c>
      <c r="E724" t="s">
        <v>75</v>
      </c>
      <c r="F724" t="s">
        <v>22</v>
      </c>
      <c r="G724" t="s">
        <v>23</v>
      </c>
      <c r="H724">
        <v>177</v>
      </c>
      <c r="I724">
        <v>73</v>
      </c>
      <c r="J724">
        <v>76</v>
      </c>
      <c r="K724">
        <v>174</v>
      </c>
      <c r="L724">
        <v>92</v>
      </c>
      <c r="M724" s="2">
        <v>2010.26</v>
      </c>
      <c r="N724">
        <v>8</v>
      </c>
      <c r="O724">
        <v>0</v>
      </c>
      <c r="P724" t="s">
        <v>33</v>
      </c>
      <c r="Q724" t="s">
        <v>34</v>
      </c>
      <c r="R724" t="s">
        <v>43</v>
      </c>
      <c r="S724" s="2">
        <f t="shared" si="11"/>
        <v>349785.24</v>
      </c>
    </row>
    <row r="725" spans="1:19" x14ac:dyDescent="0.3">
      <c r="A725" t="s">
        <v>786</v>
      </c>
      <c r="B725" s="1">
        <v>46251</v>
      </c>
      <c r="C725" t="s">
        <v>55</v>
      </c>
      <c r="D725" t="s">
        <v>50</v>
      </c>
      <c r="E725" t="s">
        <v>42</v>
      </c>
      <c r="F725" t="s">
        <v>37</v>
      </c>
      <c r="G725" t="s">
        <v>38</v>
      </c>
      <c r="H725">
        <v>190</v>
      </c>
      <c r="I725">
        <v>45</v>
      </c>
      <c r="J725">
        <v>79</v>
      </c>
      <c r="K725">
        <v>156</v>
      </c>
      <c r="L725">
        <v>90</v>
      </c>
      <c r="M725" s="2">
        <v>1036.97</v>
      </c>
      <c r="N725">
        <v>4</v>
      </c>
      <c r="O725">
        <v>0</v>
      </c>
      <c r="P725" t="s">
        <v>33</v>
      </c>
      <c r="Q725" t="s">
        <v>34</v>
      </c>
      <c r="R725" t="s">
        <v>81</v>
      </c>
      <c r="S725" s="2">
        <f t="shared" si="11"/>
        <v>161767.32</v>
      </c>
    </row>
    <row r="726" spans="1:19" x14ac:dyDescent="0.3">
      <c r="A726" t="s">
        <v>787</v>
      </c>
      <c r="B726" s="1">
        <v>46353</v>
      </c>
      <c r="C726" t="s">
        <v>40</v>
      </c>
      <c r="D726" t="s">
        <v>20</v>
      </c>
      <c r="E726" t="s">
        <v>30</v>
      </c>
      <c r="F726" t="s">
        <v>22</v>
      </c>
      <c r="G726" t="s">
        <v>23</v>
      </c>
      <c r="H726">
        <v>174</v>
      </c>
      <c r="I726">
        <v>62</v>
      </c>
      <c r="J726">
        <v>87</v>
      </c>
      <c r="K726">
        <v>149</v>
      </c>
      <c r="L726">
        <v>76</v>
      </c>
      <c r="M726" s="2">
        <v>892.84</v>
      </c>
      <c r="N726">
        <v>6</v>
      </c>
      <c r="O726">
        <v>0</v>
      </c>
      <c r="P726" t="s">
        <v>24</v>
      </c>
      <c r="Q726" t="s">
        <v>34</v>
      </c>
      <c r="R726" t="s">
        <v>26</v>
      </c>
      <c r="S726" s="2">
        <f t="shared" si="11"/>
        <v>133033.16</v>
      </c>
    </row>
    <row r="727" spans="1:19" x14ac:dyDescent="0.3">
      <c r="A727" t="s">
        <v>788</v>
      </c>
      <c r="B727" s="1">
        <v>46360</v>
      </c>
      <c r="C727" t="s">
        <v>49</v>
      </c>
      <c r="D727" t="s">
        <v>50</v>
      </c>
      <c r="E727" t="s">
        <v>21</v>
      </c>
      <c r="F727" t="s">
        <v>1582</v>
      </c>
      <c r="G727" t="s">
        <v>1583</v>
      </c>
      <c r="H727">
        <v>196</v>
      </c>
      <c r="I727">
        <v>125</v>
      </c>
      <c r="J727">
        <v>37</v>
      </c>
      <c r="K727">
        <v>284</v>
      </c>
      <c r="L727">
        <v>71</v>
      </c>
      <c r="M727" s="2">
        <v>1234.78</v>
      </c>
      <c r="N727">
        <v>6</v>
      </c>
      <c r="O727">
        <v>0</v>
      </c>
      <c r="P727" t="s">
        <v>33</v>
      </c>
      <c r="Q727" t="s">
        <v>47</v>
      </c>
      <c r="R727" t="s">
        <v>26</v>
      </c>
      <c r="S727" s="2">
        <f t="shared" si="11"/>
        <v>350677.52</v>
      </c>
    </row>
    <row r="728" spans="1:19" x14ac:dyDescent="0.3">
      <c r="A728" t="s">
        <v>789</v>
      </c>
      <c r="B728" s="1">
        <v>46134</v>
      </c>
      <c r="C728" t="s">
        <v>62</v>
      </c>
      <c r="D728" t="s">
        <v>29</v>
      </c>
      <c r="E728" t="s">
        <v>58</v>
      </c>
      <c r="F728" t="s">
        <v>31</v>
      </c>
      <c r="G728" t="s">
        <v>32</v>
      </c>
      <c r="H728">
        <v>101</v>
      </c>
      <c r="I728">
        <v>40</v>
      </c>
      <c r="J728">
        <v>50</v>
      </c>
      <c r="K728">
        <v>91</v>
      </c>
      <c r="L728">
        <v>85</v>
      </c>
      <c r="M728" s="2">
        <v>705.28</v>
      </c>
      <c r="N728">
        <v>7</v>
      </c>
      <c r="O728">
        <v>0</v>
      </c>
      <c r="P728" t="s">
        <v>33</v>
      </c>
      <c r="Q728" t="s">
        <v>34</v>
      </c>
      <c r="R728" t="s">
        <v>59</v>
      </c>
      <c r="S728" s="2">
        <f t="shared" si="11"/>
        <v>64180.479999999996</v>
      </c>
    </row>
    <row r="729" spans="1:19" x14ac:dyDescent="0.3">
      <c r="A729" t="s">
        <v>790</v>
      </c>
      <c r="B729" s="1">
        <v>46129</v>
      </c>
      <c r="C729" t="s">
        <v>55</v>
      </c>
      <c r="D729" t="s">
        <v>50</v>
      </c>
      <c r="E729" t="s">
        <v>30</v>
      </c>
      <c r="F729" t="s">
        <v>31</v>
      </c>
      <c r="G729" t="s">
        <v>32</v>
      </c>
      <c r="H729">
        <v>134</v>
      </c>
      <c r="I729">
        <v>29</v>
      </c>
      <c r="J729">
        <v>28</v>
      </c>
      <c r="K729">
        <v>135</v>
      </c>
      <c r="L729">
        <v>77</v>
      </c>
      <c r="M729" s="2">
        <v>1053.31</v>
      </c>
      <c r="N729">
        <v>4</v>
      </c>
      <c r="O729">
        <v>0</v>
      </c>
      <c r="P729" t="s">
        <v>33</v>
      </c>
      <c r="Q729" t="s">
        <v>34</v>
      </c>
      <c r="R729" t="s">
        <v>26</v>
      </c>
      <c r="S729" s="2">
        <f t="shared" si="11"/>
        <v>142196.85</v>
      </c>
    </row>
    <row r="730" spans="1:19" x14ac:dyDescent="0.3">
      <c r="A730" t="s">
        <v>791</v>
      </c>
      <c r="B730" s="1">
        <v>46226</v>
      </c>
      <c r="C730" t="s">
        <v>77</v>
      </c>
      <c r="D730" t="s">
        <v>53</v>
      </c>
      <c r="E730" t="s">
        <v>58</v>
      </c>
      <c r="F730" t="s">
        <v>31</v>
      </c>
      <c r="G730" t="s">
        <v>32</v>
      </c>
      <c r="H730">
        <v>58</v>
      </c>
      <c r="I730">
        <v>101</v>
      </c>
      <c r="J730">
        <v>103</v>
      </c>
      <c r="K730">
        <v>56</v>
      </c>
      <c r="L730">
        <v>88</v>
      </c>
      <c r="M730" s="2">
        <v>524.97</v>
      </c>
      <c r="N730">
        <v>5</v>
      </c>
      <c r="O730">
        <v>7</v>
      </c>
      <c r="P730" t="s">
        <v>33</v>
      </c>
      <c r="Q730" t="s">
        <v>25</v>
      </c>
      <c r="R730" t="s">
        <v>43</v>
      </c>
      <c r="S730" s="2">
        <f t="shared" si="11"/>
        <v>29398.32</v>
      </c>
    </row>
    <row r="731" spans="1:19" x14ac:dyDescent="0.3">
      <c r="A731" t="s">
        <v>792</v>
      </c>
      <c r="B731" s="1">
        <v>46247</v>
      </c>
      <c r="C731" t="s">
        <v>19</v>
      </c>
      <c r="D731" t="s">
        <v>20</v>
      </c>
      <c r="E731" t="s">
        <v>21</v>
      </c>
      <c r="F731" t="s">
        <v>31</v>
      </c>
      <c r="G731" t="s">
        <v>32</v>
      </c>
      <c r="H731">
        <v>74</v>
      </c>
      <c r="I731">
        <v>61</v>
      </c>
      <c r="J731">
        <v>100</v>
      </c>
      <c r="K731">
        <v>35</v>
      </c>
      <c r="L731">
        <v>92</v>
      </c>
      <c r="M731" s="2">
        <v>1787.13</v>
      </c>
      <c r="N731">
        <v>5</v>
      </c>
      <c r="O731">
        <v>4</v>
      </c>
      <c r="P731" t="s">
        <v>24</v>
      </c>
      <c r="Q731" t="s">
        <v>25</v>
      </c>
      <c r="R731" t="s">
        <v>59</v>
      </c>
      <c r="S731" s="2">
        <f t="shared" si="11"/>
        <v>62549.55</v>
      </c>
    </row>
    <row r="732" spans="1:19" x14ac:dyDescent="0.3">
      <c r="A732" t="s">
        <v>793</v>
      </c>
      <c r="B732" s="1">
        <v>46109</v>
      </c>
      <c r="C732" t="s">
        <v>36</v>
      </c>
      <c r="D732" t="s">
        <v>29</v>
      </c>
      <c r="E732" t="s">
        <v>21</v>
      </c>
      <c r="F732" t="s">
        <v>22</v>
      </c>
      <c r="G732" t="s">
        <v>23</v>
      </c>
      <c r="H732">
        <v>83</v>
      </c>
      <c r="I732">
        <v>127</v>
      </c>
      <c r="J732">
        <v>17</v>
      </c>
      <c r="K732">
        <v>193</v>
      </c>
      <c r="L732">
        <v>83</v>
      </c>
      <c r="M732" s="2">
        <v>2208.25</v>
      </c>
      <c r="N732">
        <v>4</v>
      </c>
      <c r="O732">
        <v>0</v>
      </c>
      <c r="P732" t="s">
        <v>24</v>
      </c>
      <c r="Q732" t="s">
        <v>47</v>
      </c>
      <c r="R732" t="s">
        <v>59</v>
      </c>
      <c r="S732" s="2">
        <f t="shared" si="11"/>
        <v>426192.25</v>
      </c>
    </row>
    <row r="733" spans="1:19" x14ac:dyDescent="0.3">
      <c r="A733" t="s">
        <v>794</v>
      </c>
      <c r="B733" s="1">
        <v>46047</v>
      </c>
      <c r="C733" t="s">
        <v>19</v>
      </c>
      <c r="D733" t="s">
        <v>20</v>
      </c>
      <c r="E733" t="s">
        <v>21</v>
      </c>
      <c r="F733" t="s">
        <v>22</v>
      </c>
      <c r="G733" t="s">
        <v>23</v>
      </c>
      <c r="H733">
        <v>152</v>
      </c>
      <c r="I733">
        <v>65</v>
      </c>
      <c r="J733">
        <v>37</v>
      </c>
      <c r="K733">
        <v>180</v>
      </c>
      <c r="L733">
        <v>58</v>
      </c>
      <c r="M733" s="2">
        <v>1877.19</v>
      </c>
      <c r="N733">
        <v>7</v>
      </c>
      <c r="O733">
        <v>0</v>
      </c>
      <c r="P733" t="s">
        <v>33</v>
      </c>
      <c r="Q733" t="s">
        <v>47</v>
      </c>
      <c r="R733" t="s">
        <v>26</v>
      </c>
      <c r="S733" s="2">
        <f t="shared" si="11"/>
        <v>337894.2</v>
      </c>
    </row>
    <row r="734" spans="1:19" x14ac:dyDescent="0.3">
      <c r="A734" t="s">
        <v>795</v>
      </c>
      <c r="B734" s="1">
        <v>46214</v>
      </c>
      <c r="C734" t="s">
        <v>77</v>
      </c>
      <c r="D734" t="s">
        <v>53</v>
      </c>
      <c r="E734" t="s">
        <v>58</v>
      </c>
      <c r="F734" t="s">
        <v>37</v>
      </c>
      <c r="G734" t="s">
        <v>38</v>
      </c>
      <c r="H734">
        <v>153</v>
      </c>
      <c r="I734">
        <v>26</v>
      </c>
      <c r="J734">
        <v>91</v>
      </c>
      <c r="K734">
        <v>88</v>
      </c>
      <c r="L734">
        <v>45</v>
      </c>
      <c r="M734" s="2">
        <v>454.87</v>
      </c>
      <c r="N734">
        <v>5</v>
      </c>
      <c r="O734">
        <v>0</v>
      </c>
      <c r="P734" t="s">
        <v>33</v>
      </c>
      <c r="Q734" t="s">
        <v>34</v>
      </c>
      <c r="R734" t="s">
        <v>81</v>
      </c>
      <c r="S734" s="2">
        <f t="shared" si="11"/>
        <v>40028.559999999998</v>
      </c>
    </row>
    <row r="735" spans="1:19" x14ac:dyDescent="0.3">
      <c r="A735" t="s">
        <v>796</v>
      </c>
      <c r="B735" s="1">
        <v>46072</v>
      </c>
      <c r="C735" t="s">
        <v>28</v>
      </c>
      <c r="D735" t="s">
        <v>29</v>
      </c>
      <c r="E735" t="s">
        <v>75</v>
      </c>
      <c r="F735" t="s">
        <v>31</v>
      </c>
      <c r="G735" t="s">
        <v>32</v>
      </c>
      <c r="H735">
        <v>147</v>
      </c>
      <c r="I735">
        <v>23</v>
      </c>
      <c r="J735">
        <v>16</v>
      </c>
      <c r="K735">
        <v>154</v>
      </c>
      <c r="L735">
        <v>66</v>
      </c>
      <c r="M735" s="2">
        <v>1383.34</v>
      </c>
      <c r="N735">
        <v>7</v>
      </c>
      <c r="O735">
        <v>0</v>
      </c>
      <c r="P735" t="s">
        <v>33</v>
      </c>
      <c r="Q735" t="s">
        <v>47</v>
      </c>
      <c r="R735" t="s">
        <v>26</v>
      </c>
      <c r="S735" s="2">
        <f t="shared" si="11"/>
        <v>213034.36</v>
      </c>
    </row>
    <row r="736" spans="1:19" x14ac:dyDescent="0.3">
      <c r="A736" t="s">
        <v>797</v>
      </c>
      <c r="B736" s="1">
        <v>46225</v>
      </c>
      <c r="C736" t="s">
        <v>28</v>
      </c>
      <c r="D736" t="s">
        <v>29</v>
      </c>
      <c r="E736" t="s">
        <v>75</v>
      </c>
      <c r="F736" t="s">
        <v>1582</v>
      </c>
      <c r="G736" t="s">
        <v>1583</v>
      </c>
      <c r="H736">
        <v>171</v>
      </c>
      <c r="I736">
        <v>33</v>
      </c>
      <c r="J736">
        <v>56</v>
      </c>
      <c r="K736">
        <v>148</v>
      </c>
      <c r="L736">
        <v>65</v>
      </c>
      <c r="M736" s="2">
        <v>1316.13</v>
      </c>
      <c r="N736">
        <v>3</v>
      </c>
      <c r="O736">
        <v>0</v>
      </c>
      <c r="P736" t="s">
        <v>33</v>
      </c>
      <c r="Q736" t="s">
        <v>47</v>
      </c>
      <c r="R736" t="s">
        <v>81</v>
      </c>
      <c r="S736" s="2">
        <f t="shared" si="11"/>
        <v>194787.24000000002</v>
      </c>
    </row>
    <row r="737" spans="1:19" x14ac:dyDescent="0.3">
      <c r="A737" t="s">
        <v>798</v>
      </c>
      <c r="B737" s="1">
        <v>46257</v>
      </c>
      <c r="C737" t="s">
        <v>57</v>
      </c>
      <c r="D737" t="s">
        <v>50</v>
      </c>
      <c r="E737" t="s">
        <v>42</v>
      </c>
      <c r="F737" t="s">
        <v>22</v>
      </c>
      <c r="G737" t="s">
        <v>23</v>
      </c>
      <c r="H737">
        <v>67</v>
      </c>
      <c r="I737">
        <v>65</v>
      </c>
      <c r="J737">
        <v>56</v>
      </c>
      <c r="K737">
        <v>76</v>
      </c>
      <c r="L737">
        <v>56</v>
      </c>
      <c r="M737" s="2">
        <v>2528.4</v>
      </c>
      <c r="N737">
        <v>7</v>
      </c>
      <c r="O737">
        <v>0</v>
      </c>
      <c r="P737" t="s">
        <v>33</v>
      </c>
      <c r="Q737" t="s">
        <v>34</v>
      </c>
      <c r="R737" t="s">
        <v>26</v>
      </c>
      <c r="S737" s="2">
        <f t="shared" si="11"/>
        <v>192158.4</v>
      </c>
    </row>
    <row r="738" spans="1:19" x14ac:dyDescent="0.3">
      <c r="A738" t="s">
        <v>799</v>
      </c>
      <c r="B738" s="1">
        <v>46314</v>
      </c>
      <c r="C738" t="s">
        <v>62</v>
      </c>
      <c r="D738" t="s">
        <v>29</v>
      </c>
      <c r="E738" t="s">
        <v>21</v>
      </c>
      <c r="F738" t="s">
        <v>37</v>
      </c>
      <c r="G738" t="s">
        <v>38</v>
      </c>
      <c r="H738">
        <v>51</v>
      </c>
      <c r="I738">
        <v>28</v>
      </c>
      <c r="J738">
        <v>42</v>
      </c>
      <c r="K738">
        <v>37</v>
      </c>
      <c r="L738">
        <v>71</v>
      </c>
      <c r="M738" s="2">
        <v>672.21</v>
      </c>
      <c r="N738">
        <v>6</v>
      </c>
      <c r="O738">
        <v>2</v>
      </c>
      <c r="P738" t="s">
        <v>33</v>
      </c>
      <c r="Q738" t="s">
        <v>25</v>
      </c>
      <c r="R738" t="s">
        <v>59</v>
      </c>
      <c r="S738" s="2">
        <f t="shared" si="11"/>
        <v>24871.77</v>
      </c>
    </row>
    <row r="739" spans="1:19" x14ac:dyDescent="0.3">
      <c r="A739" t="s">
        <v>800</v>
      </c>
      <c r="B739" s="1">
        <v>46348</v>
      </c>
      <c r="C739" t="s">
        <v>83</v>
      </c>
      <c r="D739" t="s">
        <v>29</v>
      </c>
      <c r="E739" t="s">
        <v>75</v>
      </c>
      <c r="F739" t="s">
        <v>37</v>
      </c>
      <c r="G739" t="s">
        <v>38</v>
      </c>
      <c r="H739">
        <v>201</v>
      </c>
      <c r="I739">
        <v>109</v>
      </c>
      <c r="J739">
        <v>64</v>
      </c>
      <c r="K739">
        <v>246</v>
      </c>
      <c r="L739">
        <v>88</v>
      </c>
      <c r="M739" s="2">
        <v>1735.86</v>
      </c>
      <c r="N739">
        <v>8</v>
      </c>
      <c r="O739">
        <v>0</v>
      </c>
      <c r="P739" t="s">
        <v>33</v>
      </c>
      <c r="Q739" t="s">
        <v>47</v>
      </c>
      <c r="R739" t="s">
        <v>26</v>
      </c>
      <c r="S739" s="2">
        <f t="shared" si="11"/>
        <v>427021.56</v>
      </c>
    </row>
    <row r="740" spans="1:19" x14ac:dyDescent="0.3">
      <c r="A740" t="s">
        <v>801</v>
      </c>
      <c r="B740" s="1">
        <v>46338</v>
      </c>
      <c r="C740" t="s">
        <v>146</v>
      </c>
      <c r="D740" t="s">
        <v>46</v>
      </c>
      <c r="E740" t="s">
        <v>75</v>
      </c>
      <c r="F740" t="s">
        <v>37</v>
      </c>
      <c r="G740" t="s">
        <v>38</v>
      </c>
      <c r="H740">
        <v>44</v>
      </c>
      <c r="I740">
        <v>97</v>
      </c>
      <c r="J740">
        <v>89</v>
      </c>
      <c r="K740">
        <v>52</v>
      </c>
      <c r="L740">
        <v>73</v>
      </c>
      <c r="M740" s="2">
        <v>1464.71</v>
      </c>
      <c r="N740">
        <v>7</v>
      </c>
      <c r="O740">
        <v>1</v>
      </c>
      <c r="P740" t="s">
        <v>33</v>
      </c>
      <c r="Q740" t="s">
        <v>34</v>
      </c>
      <c r="R740" t="s">
        <v>26</v>
      </c>
      <c r="S740" s="2">
        <f t="shared" si="11"/>
        <v>76164.92</v>
      </c>
    </row>
    <row r="741" spans="1:19" x14ac:dyDescent="0.3">
      <c r="A741" t="s">
        <v>802</v>
      </c>
      <c r="B741" s="1">
        <v>46127</v>
      </c>
      <c r="C741" t="s">
        <v>89</v>
      </c>
      <c r="D741" t="s">
        <v>20</v>
      </c>
      <c r="E741" t="s">
        <v>42</v>
      </c>
      <c r="F741" t="s">
        <v>1582</v>
      </c>
      <c r="G741" t="s">
        <v>1583</v>
      </c>
      <c r="H741">
        <v>102</v>
      </c>
      <c r="I741">
        <v>99</v>
      </c>
      <c r="J741">
        <v>25</v>
      </c>
      <c r="K741">
        <v>176</v>
      </c>
      <c r="L741">
        <v>48</v>
      </c>
      <c r="M741" s="2">
        <v>1113.01</v>
      </c>
      <c r="N741">
        <v>5</v>
      </c>
      <c r="O741">
        <v>0</v>
      </c>
      <c r="P741" t="s">
        <v>33</v>
      </c>
      <c r="Q741" t="s">
        <v>47</v>
      </c>
      <c r="R741" t="s">
        <v>26</v>
      </c>
      <c r="S741" s="2">
        <f t="shared" si="11"/>
        <v>195889.76</v>
      </c>
    </row>
    <row r="742" spans="1:19" x14ac:dyDescent="0.3">
      <c r="A742" t="s">
        <v>803</v>
      </c>
      <c r="B742" s="1">
        <v>46235</v>
      </c>
      <c r="C742" t="s">
        <v>98</v>
      </c>
      <c r="D742" t="s">
        <v>20</v>
      </c>
      <c r="E742" t="s">
        <v>30</v>
      </c>
      <c r="F742" t="s">
        <v>1582</v>
      </c>
      <c r="G742" t="s">
        <v>1583</v>
      </c>
      <c r="H742">
        <v>124</v>
      </c>
      <c r="I742">
        <v>37</v>
      </c>
      <c r="J742">
        <v>50</v>
      </c>
      <c r="K742">
        <v>111</v>
      </c>
      <c r="L742">
        <v>65</v>
      </c>
      <c r="M742" s="2">
        <v>1440.21</v>
      </c>
      <c r="N742">
        <v>8</v>
      </c>
      <c r="O742">
        <v>0</v>
      </c>
      <c r="P742" t="s">
        <v>24</v>
      </c>
      <c r="Q742" t="s">
        <v>34</v>
      </c>
      <c r="R742" t="s">
        <v>59</v>
      </c>
      <c r="S742" s="2">
        <f t="shared" si="11"/>
        <v>159863.31</v>
      </c>
    </row>
    <row r="743" spans="1:19" x14ac:dyDescent="0.3">
      <c r="A743" t="s">
        <v>804</v>
      </c>
      <c r="B743" s="1">
        <v>46379</v>
      </c>
      <c r="C743" t="s">
        <v>109</v>
      </c>
      <c r="D743" t="s">
        <v>46</v>
      </c>
      <c r="E743" t="s">
        <v>42</v>
      </c>
      <c r="F743" t="s">
        <v>37</v>
      </c>
      <c r="G743" t="s">
        <v>38</v>
      </c>
      <c r="H743">
        <v>127</v>
      </c>
      <c r="I743">
        <v>51</v>
      </c>
      <c r="J743">
        <v>41</v>
      </c>
      <c r="K743">
        <v>137</v>
      </c>
      <c r="L743">
        <v>79</v>
      </c>
      <c r="M743" s="2">
        <v>2914.61</v>
      </c>
      <c r="N743">
        <v>7</v>
      </c>
      <c r="O743">
        <v>0</v>
      </c>
      <c r="P743" t="s">
        <v>33</v>
      </c>
      <c r="Q743" t="s">
        <v>34</v>
      </c>
      <c r="R743" t="s">
        <v>43</v>
      </c>
      <c r="S743" s="2">
        <f t="shared" si="11"/>
        <v>399301.57</v>
      </c>
    </row>
    <row r="744" spans="1:19" x14ac:dyDescent="0.3">
      <c r="A744" t="s">
        <v>805</v>
      </c>
      <c r="B744" s="1">
        <v>46347</v>
      </c>
      <c r="C744" t="s">
        <v>36</v>
      </c>
      <c r="D744" t="s">
        <v>29</v>
      </c>
      <c r="E744" t="s">
        <v>30</v>
      </c>
      <c r="F744" t="s">
        <v>37</v>
      </c>
      <c r="G744" t="s">
        <v>38</v>
      </c>
      <c r="H744">
        <v>86</v>
      </c>
      <c r="I744">
        <v>76</v>
      </c>
      <c r="J744">
        <v>95</v>
      </c>
      <c r="K744">
        <v>67</v>
      </c>
      <c r="L744">
        <v>45</v>
      </c>
      <c r="M744" s="2">
        <v>2191.02</v>
      </c>
      <c r="N744">
        <v>5</v>
      </c>
      <c r="O744">
        <v>0</v>
      </c>
      <c r="P744" t="s">
        <v>24</v>
      </c>
      <c r="Q744" t="s">
        <v>34</v>
      </c>
      <c r="R744" t="s">
        <v>26</v>
      </c>
      <c r="S744" s="2">
        <f t="shared" si="11"/>
        <v>146798.34</v>
      </c>
    </row>
    <row r="745" spans="1:19" x14ac:dyDescent="0.3">
      <c r="A745" t="s">
        <v>806</v>
      </c>
      <c r="B745" s="1">
        <v>46262</v>
      </c>
      <c r="C745" t="s">
        <v>28</v>
      </c>
      <c r="D745" t="s">
        <v>29</v>
      </c>
      <c r="E745" t="s">
        <v>42</v>
      </c>
      <c r="F745" t="s">
        <v>31</v>
      </c>
      <c r="G745" t="s">
        <v>32</v>
      </c>
      <c r="H745">
        <v>84</v>
      </c>
      <c r="I745">
        <v>95</v>
      </c>
      <c r="J745">
        <v>85</v>
      </c>
      <c r="K745">
        <v>94</v>
      </c>
      <c r="L745">
        <v>98</v>
      </c>
      <c r="M745" s="2">
        <v>1376.76</v>
      </c>
      <c r="N745">
        <v>3</v>
      </c>
      <c r="O745">
        <v>2</v>
      </c>
      <c r="P745" t="s">
        <v>33</v>
      </c>
      <c r="Q745" t="s">
        <v>34</v>
      </c>
      <c r="R745" t="s">
        <v>26</v>
      </c>
      <c r="S745" s="2">
        <f t="shared" si="11"/>
        <v>129415.44</v>
      </c>
    </row>
    <row r="746" spans="1:19" x14ac:dyDescent="0.3">
      <c r="A746" t="s">
        <v>807</v>
      </c>
      <c r="B746" s="1">
        <v>46162</v>
      </c>
      <c r="C746" t="s">
        <v>80</v>
      </c>
      <c r="D746" t="s">
        <v>46</v>
      </c>
      <c r="E746" t="s">
        <v>42</v>
      </c>
      <c r="F746" t="s">
        <v>22</v>
      </c>
      <c r="G746" t="s">
        <v>23</v>
      </c>
      <c r="H746">
        <v>148</v>
      </c>
      <c r="I746">
        <v>42</v>
      </c>
      <c r="J746">
        <v>92</v>
      </c>
      <c r="K746">
        <v>98</v>
      </c>
      <c r="L746">
        <v>60</v>
      </c>
      <c r="M746" s="2">
        <v>1056.68</v>
      </c>
      <c r="N746">
        <v>6</v>
      </c>
      <c r="O746">
        <v>0</v>
      </c>
      <c r="P746" t="s">
        <v>33</v>
      </c>
      <c r="Q746" t="s">
        <v>34</v>
      </c>
      <c r="R746" t="s">
        <v>26</v>
      </c>
      <c r="S746" s="2">
        <f t="shared" si="11"/>
        <v>103554.64</v>
      </c>
    </row>
    <row r="747" spans="1:19" x14ac:dyDescent="0.3">
      <c r="A747" t="s">
        <v>808</v>
      </c>
      <c r="B747" s="1">
        <v>46269</v>
      </c>
      <c r="C747" t="s">
        <v>57</v>
      </c>
      <c r="D747" t="s">
        <v>50</v>
      </c>
      <c r="E747" t="s">
        <v>21</v>
      </c>
      <c r="F747" t="s">
        <v>1582</v>
      </c>
      <c r="G747" t="s">
        <v>1583</v>
      </c>
      <c r="H747">
        <v>136</v>
      </c>
      <c r="I747">
        <v>41</v>
      </c>
      <c r="J747">
        <v>75</v>
      </c>
      <c r="K747">
        <v>102</v>
      </c>
      <c r="L747">
        <v>73</v>
      </c>
      <c r="M747" s="2">
        <v>2756.71</v>
      </c>
      <c r="N747">
        <v>6</v>
      </c>
      <c r="O747">
        <v>0</v>
      </c>
      <c r="P747" t="s">
        <v>33</v>
      </c>
      <c r="Q747" t="s">
        <v>34</v>
      </c>
      <c r="R747" t="s">
        <v>59</v>
      </c>
      <c r="S747" s="2">
        <f t="shared" si="11"/>
        <v>281184.42</v>
      </c>
    </row>
    <row r="748" spans="1:19" x14ac:dyDescent="0.3">
      <c r="A748" t="s">
        <v>809</v>
      </c>
      <c r="B748" s="1">
        <v>46255</v>
      </c>
      <c r="C748" t="s">
        <v>40</v>
      </c>
      <c r="D748" t="s">
        <v>20</v>
      </c>
      <c r="E748" t="s">
        <v>58</v>
      </c>
      <c r="F748" t="s">
        <v>31</v>
      </c>
      <c r="G748" t="s">
        <v>32</v>
      </c>
      <c r="H748">
        <v>116</v>
      </c>
      <c r="I748">
        <v>96</v>
      </c>
      <c r="J748">
        <v>83</v>
      </c>
      <c r="K748">
        <v>129</v>
      </c>
      <c r="L748">
        <v>54</v>
      </c>
      <c r="M748" s="2">
        <v>909.51</v>
      </c>
      <c r="N748">
        <v>3</v>
      </c>
      <c r="O748">
        <v>0</v>
      </c>
      <c r="P748" t="s">
        <v>33</v>
      </c>
      <c r="Q748" t="s">
        <v>47</v>
      </c>
      <c r="R748" t="s">
        <v>26</v>
      </c>
      <c r="S748" s="2">
        <f t="shared" si="11"/>
        <v>117326.79</v>
      </c>
    </row>
    <row r="749" spans="1:19" x14ac:dyDescent="0.3">
      <c r="A749" t="s">
        <v>810</v>
      </c>
      <c r="B749" s="1">
        <v>46279</v>
      </c>
      <c r="C749" t="s">
        <v>146</v>
      </c>
      <c r="D749" t="s">
        <v>46</v>
      </c>
      <c r="E749" t="s">
        <v>30</v>
      </c>
      <c r="F749" t="s">
        <v>1582</v>
      </c>
      <c r="G749" t="s">
        <v>1583</v>
      </c>
      <c r="H749">
        <v>58</v>
      </c>
      <c r="I749">
        <v>62</v>
      </c>
      <c r="J749">
        <v>32</v>
      </c>
      <c r="K749">
        <v>88</v>
      </c>
      <c r="L749">
        <v>90</v>
      </c>
      <c r="M749" s="2">
        <v>1490.78</v>
      </c>
      <c r="N749">
        <v>3</v>
      </c>
      <c r="O749">
        <v>1</v>
      </c>
      <c r="P749" t="s">
        <v>33</v>
      </c>
      <c r="Q749" t="s">
        <v>34</v>
      </c>
      <c r="R749" t="s">
        <v>26</v>
      </c>
      <c r="S749" s="2">
        <f t="shared" si="11"/>
        <v>131188.63999999998</v>
      </c>
    </row>
    <row r="750" spans="1:19" x14ac:dyDescent="0.3">
      <c r="A750" t="s">
        <v>811</v>
      </c>
      <c r="B750" s="1">
        <v>46042</v>
      </c>
      <c r="C750" t="s">
        <v>146</v>
      </c>
      <c r="D750" t="s">
        <v>46</v>
      </c>
      <c r="E750" t="s">
        <v>58</v>
      </c>
      <c r="F750" t="s">
        <v>1582</v>
      </c>
      <c r="G750" t="s">
        <v>1583</v>
      </c>
      <c r="H750">
        <v>141</v>
      </c>
      <c r="I750">
        <v>115</v>
      </c>
      <c r="J750">
        <v>62</v>
      </c>
      <c r="K750">
        <v>194</v>
      </c>
      <c r="L750">
        <v>69</v>
      </c>
      <c r="M750" s="2">
        <v>1496.87</v>
      </c>
      <c r="N750">
        <v>7</v>
      </c>
      <c r="O750">
        <v>0</v>
      </c>
      <c r="P750" t="s">
        <v>33</v>
      </c>
      <c r="Q750" t="s">
        <v>47</v>
      </c>
      <c r="R750" t="s">
        <v>26</v>
      </c>
      <c r="S750" s="2">
        <f t="shared" si="11"/>
        <v>290392.77999999997</v>
      </c>
    </row>
    <row r="751" spans="1:19" x14ac:dyDescent="0.3">
      <c r="A751" t="s">
        <v>812</v>
      </c>
      <c r="B751" s="1">
        <v>46273</v>
      </c>
      <c r="C751" t="s">
        <v>40</v>
      </c>
      <c r="D751" t="s">
        <v>20</v>
      </c>
      <c r="E751" t="s">
        <v>30</v>
      </c>
      <c r="F751" t="s">
        <v>22</v>
      </c>
      <c r="G751" t="s">
        <v>23</v>
      </c>
      <c r="H751">
        <v>89</v>
      </c>
      <c r="I751">
        <v>117</v>
      </c>
      <c r="J751">
        <v>70</v>
      </c>
      <c r="K751">
        <v>136</v>
      </c>
      <c r="L751">
        <v>61</v>
      </c>
      <c r="M751" s="2">
        <v>948.83</v>
      </c>
      <c r="N751">
        <v>8</v>
      </c>
      <c r="O751">
        <v>0</v>
      </c>
      <c r="P751" t="s">
        <v>33</v>
      </c>
      <c r="Q751" t="s">
        <v>47</v>
      </c>
      <c r="R751" t="s">
        <v>26</v>
      </c>
      <c r="S751" s="2">
        <f t="shared" si="11"/>
        <v>129040.88</v>
      </c>
    </row>
    <row r="752" spans="1:19" x14ac:dyDescent="0.3">
      <c r="A752" t="s">
        <v>813</v>
      </c>
      <c r="B752" s="1">
        <v>46156</v>
      </c>
      <c r="C752" t="s">
        <v>109</v>
      </c>
      <c r="D752" t="s">
        <v>46</v>
      </c>
      <c r="E752" t="s">
        <v>58</v>
      </c>
      <c r="F752" t="s">
        <v>1582</v>
      </c>
      <c r="G752" t="s">
        <v>1583</v>
      </c>
      <c r="H752">
        <v>103</v>
      </c>
      <c r="I752">
        <v>51</v>
      </c>
      <c r="J752">
        <v>76</v>
      </c>
      <c r="K752">
        <v>78</v>
      </c>
      <c r="L752">
        <v>47</v>
      </c>
      <c r="M752" s="2">
        <v>3469.74</v>
      </c>
      <c r="N752">
        <v>8</v>
      </c>
      <c r="O752">
        <v>3</v>
      </c>
      <c r="P752" t="s">
        <v>33</v>
      </c>
      <c r="Q752" t="s">
        <v>34</v>
      </c>
      <c r="R752" t="s">
        <v>26</v>
      </c>
      <c r="S752" s="2">
        <f t="shared" si="11"/>
        <v>270639.71999999997</v>
      </c>
    </row>
    <row r="753" spans="1:19" x14ac:dyDescent="0.3">
      <c r="A753" t="s">
        <v>814</v>
      </c>
      <c r="B753" s="1">
        <v>46387</v>
      </c>
      <c r="C753" t="s">
        <v>68</v>
      </c>
      <c r="D753" t="s">
        <v>53</v>
      </c>
      <c r="E753" t="s">
        <v>42</v>
      </c>
      <c r="F753" t="s">
        <v>37</v>
      </c>
      <c r="G753" t="s">
        <v>38</v>
      </c>
      <c r="H753">
        <v>103</v>
      </c>
      <c r="I753">
        <v>97</v>
      </c>
      <c r="J753">
        <v>89</v>
      </c>
      <c r="K753">
        <v>111</v>
      </c>
      <c r="L753">
        <v>87</v>
      </c>
      <c r="M753" s="2">
        <v>640.98</v>
      </c>
      <c r="N753">
        <v>2</v>
      </c>
      <c r="O753">
        <v>0</v>
      </c>
      <c r="P753" t="s">
        <v>24</v>
      </c>
      <c r="Q753" t="s">
        <v>34</v>
      </c>
      <c r="R753" t="s">
        <v>26</v>
      </c>
      <c r="S753" s="2">
        <f t="shared" si="11"/>
        <v>71148.78</v>
      </c>
    </row>
    <row r="754" spans="1:19" x14ac:dyDescent="0.3">
      <c r="A754" t="s">
        <v>815</v>
      </c>
      <c r="B754" s="1">
        <v>46295</v>
      </c>
      <c r="C754" t="s">
        <v>55</v>
      </c>
      <c r="D754" t="s">
        <v>50</v>
      </c>
      <c r="E754" t="s">
        <v>30</v>
      </c>
      <c r="F754" t="s">
        <v>31</v>
      </c>
      <c r="G754" t="s">
        <v>32</v>
      </c>
      <c r="H754">
        <v>172</v>
      </c>
      <c r="I754">
        <v>44</v>
      </c>
      <c r="J754">
        <v>69</v>
      </c>
      <c r="K754">
        <v>147</v>
      </c>
      <c r="L754">
        <v>55</v>
      </c>
      <c r="M754" s="2">
        <v>1065.95</v>
      </c>
      <c r="N754">
        <v>4</v>
      </c>
      <c r="O754">
        <v>0</v>
      </c>
      <c r="P754" t="s">
        <v>33</v>
      </c>
      <c r="Q754" t="s">
        <v>47</v>
      </c>
      <c r="R754" t="s">
        <v>26</v>
      </c>
      <c r="S754" s="2">
        <f t="shared" si="11"/>
        <v>156694.65</v>
      </c>
    </row>
    <row r="755" spans="1:19" x14ac:dyDescent="0.3">
      <c r="A755" t="s">
        <v>816</v>
      </c>
      <c r="B755" s="1">
        <v>46226</v>
      </c>
      <c r="C755" t="s">
        <v>49</v>
      </c>
      <c r="D755" t="s">
        <v>50</v>
      </c>
      <c r="E755" t="s">
        <v>58</v>
      </c>
      <c r="F755" t="s">
        <v>31</v>
      </c>
      <c r="G755" t="s">
        <v>32</v>
      </c>
      <c r="H755">
        <v>67</v>
      </c>
      <c r="I755">
        <v>101</v>
      </c>
      <c r="J755">
        <v>88</v>
      </c>
      <c r="K755">
        <v>80</v>
      </c>
      <c r="L755">
        <v>94</v>
      </c>
      <c r="M755" s="2">
        <v>1377.36</v>
      </c>
      <c r="N755">
        <v>8</v>
      </c>
      <c r="O755">
        <v>4</v>
      </c>
      <c r="P755" t="s">
        <v>24</v>
      </c>
      <c r="Q755" t="s">
        <v>34</v>
      </c>
      <c r="R755" t="s">
        <v>81</v>
      </c>
      <c r="S755" s="2">
        <f t="shared" si="11"/>
        <v>110188.79999999999</v>
      </c>
    </row>
    <row r="756" spans="1:19" x14ac:dyDescent="0.3">
      <c r="A756" t="s">
        <v>817</v>
      </c>
      <c r="B756" s="1">
        <v>46110</v>
      </c>
      <c r="C756" t="s">
        <v>109</v>
      </c>
      <c r="D756" t="s">
        <v>46</v>
      </c>
      <c r="E756" t="s">
        <v>42</v>
      </c>
      <c r="F756" t="s">
        <v>1582</v>
      </c>
      <c r="G756" t="s">
        <v>1583</v>
      </c>
      <c r="H756">
        <v>40</v>
      </c>
      <c r="I756">
        <v>32</v>
      </c>
      <c r="J756">
        <v>23</v>
      </c>
      <c r="K756">
        <v>49</v>
      </c>
      <c r="L756">
        <v>94</v>
      </c>
      <c r="M756" s="2">
        <v>3325.64</v>
      </c>
      <c r="N756">
        <v>6</v>
      </c>
      <c r="O756">
        <v>5</v>
      </c>
      <c r="P756" t="s">
        <v>33</v>
      </c>
      <c r="Q756" t="s">
        <v>25</v>
      </c>
      <c r="R756" t="s">
        <v>59</v>
      </c>
      <c r="S756" s="2">
        <f t="shared" si="11"/>
        <v>162956.35999999999</v>
      </c>
    </row>
    <row r="757" spans="1:19" x14ac:dyDescent="0.3">
      <c r="A757" t="s">
        <v>818</v>
      </c>
      <c r="B757" s="1">
        <v>46125</v>
      </c>
      <c r="C757" t="s">
        <v>83</v>
      </c>
      <c r="D757" t="s">
        <v>29</v>
      </c>
      <c r="E757" t="s">
        <v>42</v>
      </c>
      <c r="F757" t="s">
        <v>22</v>
      </c>
      <c r="G757" t="s">
        <v>23</v>
      </c>
      <c r="H757">
        <v>90</v>
      </c>
      <c r="I757">
        <v>82</v>
      </c>
      <c r="J757">
        <v>38</v>
      </c>
      <c r="K757">
        <v>134</v>
      </c>
      <c r="L757">
        <v>77</v>
      </c>
      <c r="M757" s="2">
        <v>1743.51</v>
      </c>
      <c r="N757">
        <v>5</v>
      </c>
      <c r="O757">
        <v>0</v>
      </c>
      <c r="P757" t="s">
        <v>33</v>
      </c>
      <c r="Q757" t="s">
        <v>34</v>
      </c>
      <c r="R757" t="s">
        <v>26</v>
      </c>
      <c r="S757" s="2">
        <f t="shared" si="11"/>
        <v>233630.34</v>
      </c>
    </row>
    <row r="758" spans="1:19" x14ac:dyDescent="0.3">
      <c r="A758" t="s">
        <v>819</v>
      </c>
      <c r="B758" s="1">
        <v>46216</v>
      </c>
      <c r="C758" t="s">
        <v>98</v>
      </c>
      <c r="D758" t="s">
        <v>20</v>
      </c>
      <c r="E758" t="s">
        <v>42</v>
      </c>
      <c r="F758" t="s">
        <v>37</v>
      </c>
      <c r="G758" t="s">
        <v>38</v>
      </c>
      <c r="H758">
        <v>144</v>
      </c>
      <c r="I758">
        <v>76</v>
      </c>
      <c r="J758">
        <v>95</v>
      </c>
      <c r="K758">
        <v>125</v>
      </c>
      <c r="L758">
        <v>84</v>
      </c>
      <c r="M758" s="2">
        <v>1290.57</v>
      </c>
      <c r="N758">
        <v>7</v>
      </c>
      <c r="O758">
        <v>0</v>
      </c>
      <c r="P758" t="s">
        <v>24</v>
      </c>
      <c r="Q758" t="s">
        <v>34</v>
      </c>
      <c r="R758" t="s">
        <v>26</v>
      </c>
      <c r="S758" s="2">
        <f t="shared" si="11"/>
        <v>161321.25</v>
      </c>
    </row>
    <row r="759" spans="1:19" x14ac:dyDescent="0.3">
      <c r="A759" t="s">
        <v>820</v>
      </c>
      <c r="B759" s="1">
        <v>46026</v>
      </c>
      <c r="C759" t="s">
        <v>89</v>
      </c>
      <c r="D759" t="s">
        <v>20</v>
      </c>
      <c r="E759" t="s">
        <v>75</v>
      </c>
      <c r="F759" t="s">
        <v>37</v>
      </c>
      <c r="G759" t="s">
        <v>38</v>
      </c>
      <c r="H759">
        <v>47</v>
      </c>
      <c r="I759">
        <v>94</v>
      </c>
      <c r="J759">
        <v>45</v>
      </c>
      <c r="K759">
        <v>96</v>
      </c>
      <c r="L759">
        <v>75</v>
      </c>
      <c r="M759" s="2">
        <v>1196.45</v>
      </c>
      <c r="N759">
        <v>8</v>
      </c>
      <c r="O759">
        <v>0</v>
      </c>
      <c r="P759" t="s">
        <v>24</v>
      </c>
      <c r="Q759" t="s">
        <v>34</v>
      </c>
      <c r="R759" t="s">
        <v>26</v>
      </c>
      <c r="S759" s="2">
        <f t="shared" si="11"/>
        <v>114859.20000000001</v>
      </c>
    </row>
    <row r="760" spans="1:19" x14ac:dyDescent="0.3">
      <c r="A760" t="s">
        <v>821</v>
      </c>
      <c r="B760" s="1">
        <v>46195</v>
      </c>
      <c r="C760" t="s">
        <v>77</v>
      </c>
      <c r="D760" t="s">
        <v>53</v>
      </c>
      <c r="E760" t="s">
        <v>75</v>
      </c>
      <c r="F760" t="s">
        <v>22</v>
      </c>
      <c r="G760" t="s">
        <v>23</v>
      </c>
      <c r="H760">
        <v>173</v>
      </c>
      <c r="I760">
        <v>121</v>
      </c>
      <c r="J760">
        <v>15</v>
      </c>
      <c r="K760">
        <v>279</v>
      </c>
      <c r="L760">
        <v>69</v>
      </c>
      <c r="M760" s="2">
        <v>510.3</v>
      </c>
      <c r="N760">
        <v>8</v>
      </c>
      <c r="O760">
        <v>0</v>
      </c>
      <c r="P760" t="s">
        <v>33</v>
      </c>
      <c r="Q760" t="s">
        <v>47</v>
      </c>
      <c r="R760" t="s">
        <v>26</v>
      </c>
      <c r="S760" s="2">
        <f t="shared" si="11"/>
        <v>142373.70000000001</v>
      </c>
    </row>
    <row r="761" spans="1:19" x14ac:dyDescent="0.3">
      <c r="A761" t="s">
        <v>822</v>
      </c>
      <c r="B761" s="1">
        <v>46052</v>
      </c>
      <c r="C761" t="s">
        <v>68</v>
      </c>
      <c r="D761" t="s">
        <v>53</v>
      </c>
      <c r="E761" t="s">
        <v>21</v>
      </c>
      <c r="F761" t="s">
        <v>37</v>
      </c>
      <c r="G761" t="s">
        <v>38</v>
      </c>
      <c r="H761">
        <v>214</v>
      </c>
      <c r="I761">
        <v>63</v>
      </c>
      <c r="J761">
        <v>55</v>
      </c>
      <c r="K761">
        <v>222</v>
      </c>
      <c r="L761">
        <v>97</v>
      </c>
      <c r="M761" s="2">
        <v>568.75</v>
      </c>
      <c r="N761">
        <v>4</v>
      </c>
      <c r="O761">
        <v>0</v>
      </c>
      <c r="P761" t="s">
        <v>33</v>
      </c>
      <c r="Q761" t="s">
        <v>47</v>
      </c>
      <c r="R761" t="s">
        <v>26</v>
      </c>
      <c r="S761" s="2">
        <f t="shared" si="11"/>
        <v>126262.5</v>
      </c>
    </row>
    <row r="762" spans="1:19" x14ac:dyDescent="0.3">
      <c r="A762" t="s">
        <v>823</v>
      </c>
      <c r="B762" s="1">
        <v>46294</v>
      </c>
      <c r="C762" t="s">
        <v>45</v>
      </c>
      <c r="D762" t="s">
        <v>46</v>
      </c>
      <c r="E762" t="s">
        <v>75</v>
      </c>
      <c r="F762" t="s">
        <v>31</v>
      </c>
      <c r="G762" t="s">
        <v>32</v>
      </c>
      <c r="H762">
        <v>156</v>
      </c>
      <c r="I762">
        <v>109</v>
      </c>
      <c r="J762">
        <v>66</v>
      </c>
      <c r="K762">
        <v>199</v>
      </c>
      <c r="L762">
        <v>91</v>
      </c>
      <c r="M762" s="2">
        <v>853.67</v>
      </c>
      <c r="N762">
        <v>3</v>
      </c>
      <c r="O762">
        <v>0</v>
      </c>
      <c r="P762" t="s">
        <v>24</v>
      </c>
      <c r="Q762" t="s">
        <v>34</v>
      </c>
      <c r="R762" t="s">
        <v>26</v>
      </c>
      <c r="S762" s="2">
        <f t="shared" si="11"/>
        <v>169880.33</v>
      </c>
    </row>
    <row r="763" spans="1:19" x14ac:dyDescent="0.3">
      <c r="A763" t="s">
        <v>824</v>
      </c>
      <c r="B763" s="1">
        <v>46349</v>
      </c>
      <c r="C763" t="s">
        <v>80</v>
      </c>
      <c r="D763" t="s">
        <v>46</v>
      </c>
      <c r="E763" t="s">
        <v>21</v>
      </c>
      <c r="F763" t="s">
        <v>1582</v>
      </c>
      <c r="G763" t="s">
        <v>1583</v>
      </c>
      <c r="H763">
        <v>198</v>
      </c>
      <c r="I763">
        <v>107</v>
      </c>
      <c r="J763">
        <v>99</v>
      </c>
      <c r="K763">
        <v>206</v>
      </c>
      <c r="L763">
        <v>100</v>
      </c>
      <c r="M763" s="2">
        <v>1094.54</v>
      </c>
      <c r="N763">
        <v>5</v>
      </c>
      <c r="O763">
        <v>0</v>
      </c>
      <c r="P763" t="s">
        <v>33</v>
      </c>
      <c r="Q763" t="s">
        <v>34</v>
      </c>
      <c r="R763" t="s">
        <v>26</v>
      </c>
      <c r="S763" s="2">
        <f t="shared" si="11"/>
        <v>225475.24</v>
      </c>
    </row>
    <row r="764" spans="1:19" x14ac:dyDescent="0.3">
      <c r="A764" t="s">
        <v>825</v>
      </c>
      <c r="B764" s="1">
        <v>46201</v>
      </c>
      <c r="C764" t="s">
        <v>109</v>
      </c>
      <c r="D764" t="s">
        <v>46</v>
      </c>
      <c r="E764" t="s">
        <v>21</v>
      </c>
      <c r="F764" t="s">
        <v>31</v>
      </c>
      <c r="G764" t="s">
        <v>32</v>
      </c>
      <c r="H764">
        <v>123</v>
      </c>
      <c r="I764">
        <v>106</v>
      </c>
      <c r="J764">
        <v>71</v>
      </c>
      <c r="K764">
        <v>158</v>
      </c>
      <c r="L764">
        <v>59</v>
      </c>
      <c r="M764" s="2">
        <v>3268.33</v>
      </c>
      <c r="N764">
        <v>5</v>
      </c>
      <c r="O764">
        <v>0</v>
      </c>
      <c r="P764" t="s">
        <v>33</v>
      </c>
      <c r="Q764" t="s">
        <v>47</v>
      </c>
      <c r="R764" t="s">
        <v>59</v>
      </c>
      <c r="S764" s="2">
        <f t="shared" si="11"/>
        <v>516396.14</v>
      </c>
    </row>
    <row r="765" spans="1:19" x14ac:dyDescent="0.3">
      <c r="A765" t="s">
        <v>826</v>
      </c>
      <c r="B765" s="1">
        <v>46281</v>
      </c>
      <c r="C765" t="s">
        <v>55</v>
      </c>
      <c r="D765" t="s">
        <v>50</v>
      </c>
      <c r="E765" t="s">
        <v>75</v>
      </c>
      <c r="F765" t="s">
        <v>1582</v>
      </c>
      <c r="G765" t="s">
        <v>1583</v>
      </c>
      <c r="H765">
        <v>115</v>
      </c>
      <c r="I765">
        <v>97</v>
      </c>
      <c r="J765">
        <v>39</v>
      </c>
      <c r="K765">
        <v>173</v>
      </c>
      <c r="L765">
        <v>90</v>
      </c>
      <c r="M765" s="2">
        <v>928.63</v>
      </c>
      <c r="N765">
        <v>6</v>
      </c>
      <c r="O765">
        <v>0</v>
      </c>
      <c r="P765" t="s">
        <v>33</v>
      </c>
      <c r="Q765" t="s">
        <v>34</v>
      </c>
      <c r="R765" t="s">
        <v>59</v>
      </c>
      <c r="S765" s="2">
        <f t="shared" si="11"/>
        <v>160652.99</v>
      </c>
    </row>
    <row r="766" spans="1:19" x14ac:dyDescent="0.3">
      <c r="A766" t="s">
        <v>827</v>
      </c>
      <c r="B766" s="1">
        <v>46082</v>
      </c>
      <c r="C766" t="s">
        <v>98</v>
      </c>
      <c r="D766" t="s">
        <v>20</v>
      </c>
      <c r="E766" t="s">
        <v>58</v>
      </c>
      <c r="F766" t="s">
        <v>31</v>
      </c>
      <c r="G766" t="s">
        <v>32</v>
      </c>
      <c r="H766">
        <v>117</v>
      </c>
      <c r="I766">
        <v>126</v>
      </c>
      <c r="J766">
        <v>101</v>
      </c>
      <c r="K766">
        <v>142</v>
      </c>
      <c r="L766">
        <v>80</v>
      </c>
      <c r="M766" s="2">
        <v>1536.42</v>
      </c>
      <c r="N766">
        <v>5</v>
      </c>
      <c r="O766">
        <v>0</v>
      </c>
      <c r="P766" t="s">
        <v>24</v>
      </c>
      <c r="Q766" t="s">
        <v>34</v>
      </c>
      <c r="R766" t="s">
        <v>26</v>
      </c>
      <c r="S766" s="2">
        <f t="shared" si="11"/>
        <v>218171.64</v>
      </c>
    </row>
    <row r="767" spans="1:19" x14ac:dyDescent="0.3">
      <c r="A767" t="s">
        <v>828</v>
      </c>
      <c r="B767" s="1">
        <v>46219</v>
      </c>
      <c r="C767" t="s">
        <v>72</v>
      </c>
      <c r="D767" t="s">
        <v>50</v>
      </c>
      <c r="E767" t="s">
        <v>42</v>
      </c>
      <c r="F767" t="s">
        <v>22</v>
      </c>
      <c r="G767" t="s">
        <v>23</v>
      </c>
      <c r="H767">
        <v>83</v>
      </c>
      <c r="I767">
        <v>116</v>
      </c>
      <c r="J767">
        <v>99</v>
      </c>
      <c r="K767">
        <v>100</v>
      </c>
      <c r="L767">
        <v>89</v>
      </c>
      <c r="M767" s="2">
        <v>2019.35</v>
      </c>
      <c r="N767">
        <v>9</v>
      </c>
      <c r="O767">
        <v>0</v>
      </c>
      <c r="P767" t="s">
        <v>24</v>
      </c>
      <c r="Q767" t="s">
        <v>34</v>
      </c>
      <c r="R767" t="s">
        <v>26</v>
      </c>
      <c r="S767" s="2">
        <f t="shared" si="11"/>
        <v>201935</v>
      </c>
    </row>
    <row r="768" spans="1:19" x14ac:dyDescent="0.3">
      <c r="A768" t="s">
        <v>829</v>
      </c>
      <c r="B768" s="1">
        <v>46377</v>
      </c>
      <c r="C768" t="s">
        <v>80</v>
      </c>
      <c r="D768" t="s">
        <v>46</v>
      </c>
      <c r="E768" t="s">
        <v>21</v>
      </c>
      <c r="F768" t="s">
        <v>1582</v>
      </c>
      <c r="G768" t="s">
        <v>1583</v>
      </c>
      <c r="H768">
        <v>211</v>
      </c>
      <c r="I768">
        <v>35</v>
      </c>
      <c r="J768">
        <v>100</v>
      </c>
      <c r="K768">
        <v>146</v>
      </c>
      <c r="L768">
        <v>53</v>
      </c>
      <c r="M768" s="2">
        <v>1193</v>
      </c>
      <c r="N768">
        <v>7</v>
      </c>
      <c r="O768">
        <v>0</v>
      </c>
      <c r="P768" t="s">
        <v>33</v>
      </c>
      <c r="Q768" t="s">
        <v>47</v>
      </c>
      <c r="R768" t="s">
        <v>26</v>
      </c>
      <c r="S768" s="2">
        <f t="shared" si="11"/>
        <v>174178</v>
      </c>
    </row>
    <row r="769" spans="1:19" x14ac:dyDescent="0.3">
      <c r="A769" t="s">
        <v>830</v>
      </c>
      <c r="B769" s="1">
        <v>46310</v>
      </c>
      <c r="C769" t="s">
        <v>80</v>
      </c>
      <c r="D769" t="s">
        <v>46</v>
      </c>
      <c r="E769" t="s">
        <v>30</v>
      </c>
      <c r="F769" t="s">
        <v>31</v>
      </c>
      <c r="G769" t="s">
        <v>32</v>
      </c>
      <c r="H769">
        <v>204</v>
      </c>
      <c r="I769">
        <v>63</v>
      </c>
      <c r="J769">
        <v>63</v>
      </c>
      <c r="K769">
        <v>204</v>
      </c>
      <c r="L769">
        <v>90</v>
      </c>
      <c r="M769" s="2">
        <v>1153.45</v>
      </c>
      <c r="N769">
        <v>7</v>
      </c>
      <c r="O769">
        <v>0</v>
      </c>
      <c r="P769" t="s">
        <v>33</v>
      </c>
      <c r="Q769" t="s">
        <v>47</v>
      </c>
      <c r="R769" t="s">
        <v>26</v>
      </c>
      <c r="S769" s="2">
        <f t="shared" si="11"/>
        <v>235303.80000000002</v>
      </c>
    </row>
    <row r="770" spans="1:19" x14ac:dyDescent="0.3">
      <c r="A770" t="s">
        <v>831</v>
      </c>
      <c r="B770" s="1">
        <v>46211</v>
      </c>
      <c r="C770" t="s">
        <v>72</v>
      </c>
      <c r="D770" t="s">
        <v>50</v>
      </c>
      <c r="E770" t="s">
        <v>42</v>
      </c>
      <c r="F770" t="s">
        <v>37</v>
      </c>
      <c r="G770" t="s">
        <v>38</v>
      </c>
      <c r="H770">
        <v>69</v>
      </c>
      <c r="I770">
        <v>57</v>
      </c>
      <c r="J770">
        <v>26</v>
      </c>
      <c r="K770">
        <v>100</v>
      </c>
      <c r="L770">
        <v>52</v>
      </c>
      <c r="M770" s="2">
        <v>2019.22</v>
      </c>
      <c r="N770">
        <v>11</v>
      </c>
      <c r="O770">
        <v>0</v>
      </c>
      <c r="P770" t="s">
        <v>33</v>
      </c>
      <c r="Q770" t="s">
        <v>34</v>
      </c>
      <c r="R770" t="s">
        <v>26</v>
      </c>
      <c r="S770" s="2">
        <f t="shared" ref="S770:S833" si="12">K770*M770</f>
        <v>201922</v>
      </c>
    </row>
    <row r="771" spans="1:19" x14ac:dyDescent="0.3">
      <c r="A771" t="s">
        <v>832</v>
      </c>
      <c r="B771" s="1">
        <v>46370</v>
      </c>
      <c r="C771" t="s">
        <v>83</v>
      </c>
      <c r="D771" t="s">
        <v>29</v>
      </c>
      <c r="E771" t="s">
        <v>58</v>
      </c>
      <c r="F771" t="s">
        <v>31</v>
      </c>
      <c r="G771" t="s">
        <v>32</v>
      </c>
      <c r="H771">
        <v>119</v>
      </c>
      <c r="I771">
        <v>27</v>
      </c>
      <c r="J771">
        <v>90</v>
      </c>
      <c r="K771">
        <v>56</v>
      </c>
      <c r="L771">
        <v>79</v>
      </c>
      <c r="M771" s="2">
        <v>1500.75</v>
      </c>
      <c r="N771">
        <v>5</v>
      </c>
      <c r="O771">
        <v>6</v>
      </c>
      <c r="P771" t="s">
        <v>33</v>
      </c>
      <c r="Q771" t="s">
        <v>34</v>
      </c>
      <c r="R771" t="s">
        <v>59</v>
      </c>
      <c r="S771" s="2">
        <f t="shared" si="12"/>
        <v>84042</v>
      </c>
    </row>
    <row r="772" spans="1:19" x14ac:dyDescent="0.3">
      <c r="A772" t="s">
        <v>833</v>
      </c>
      <c r="B772" s="1">
        <v>46098</v>
      </c>
      <c r="C772" t="s">
        <v>28</v>
      </c>
      <c r="D772" t="s">
        <v>29</v>
      </c>
      <c r="E772" t="s">
        <v>75</v>
      </c>
      <c r="F772" t="s">
        <v>1582</v>
      </c>
      <c r="G772" t="s">
        <v>1583</v>
      </c>
      <c r="H772">
        <v>42</v>
      </c>
      <c r="I772">
        <v>88</v>
      </c>
      <c r="J772">
        <v>73</v>
      </c>
      <c r="K772">
        <v>57</v>
      </c>
      <c r="L772">
        <v>65</v>
      </c>
      <c r="M772" s="2">
        <v>1207.6199999999999</v>
      </c>
      <c r="N772">
        <v>4</v>
      </c>
      <c r="O772">
        <v>8</v>
      </c>
      <c r="P772" t="s">
        <v>33</v>
      </c>
      <c r="Q772" t="s">
        <v>34</v>
      </c>
      <c r="R772" t="s">
        <v>26</v>
      </c>
      <c r="S772" s="2">
        <f t="shared" si="12"/>
        <v>68834.34</v>
      </c>
    </row>
    <row r="773" spans="1:19" x14ac:dyDescent="0.3">
      <c r="A773" t="s">
        <v>834</v>
      </c>
      <c r="B773" s="1">
        <v>46316</v>
      </c>
      <c r="C773" t="s">
        <v>52</v>
      </c>
      <c r="D773" t="s">
        <v>53</v>
      </c>
      <c r="E773" t="s">
        <v>42</v>
      </c>
      <c r="F773" t="s">
        <v>31</v>
      </c>
      <c r="G773" t="s">
        <v>32</v>
      </c>
      <c r="H773">
        <v>193</v>
      </c>
      <c r="I773">
        <v>60</v>
      </c>
      <c r="J773">
        <v>54</v>
      </c>
      <c r="K773">
        <v>199</v>
      </c>
      <c r="L773">
        <v>77</v>
      </c>
      <c r="M773" s="2">
        <v>713.74</v>
      </c>
      <c r="N773">
        <v>2</v>
      </c>
      <c r="O773">
        <v>0</v>
      </c>
      <c r="P773" t="s">
        <v>33</v>
      </c>
      <c r="Q773" t="s">
        <v>47</v>
      </c>
      <c r="R773" t="s">
        <v>43</v>
      </c>
      <c r="S773" s="2">
        <f t="shared" si="12"/>
        <v>142034.26</v>
      </c>
    </row>
    <row r="774" spans="1:19" x14ac:dyDescent="0.3">
      <c r="A774" t="s">
        <v>835</v>
      </c>
      <c r="B774" s="1">
        <v>46138</v>
      </c>
      <c r="C774" t="s">
        <v>72</v>
      </c>
      <c r="D774" t="s">
        <v>50</v>
      </c>
      <c r="E774" t="s">
        <v>58</v>
      </c>
      <c r="F774" t="s">
        <v>37</v>
      </c>
      <c r="G774" t="s">
        <v>38</v>
      </c>
      <c r="H774">
        <v>220</v>
      </c>
      <c r="I774">
        <v>68</v>
      </c>
      <c r="J774">
        <v>22</v>
      </c>
      <c r="K774">
        <v>266</v>
      </c>
      <c r="L774">
        <v>96</v>
      </c>
      <c r="M774" s="2">
        <v>2126.58</v>
      </c>
      <c r="N774">
        <v>8</v>
      </c>
      <c r="O774">
        <v>0</v>
      </c>
      <c r="P774" t="s">
        <v>33</v>
      </c>
      <c r="Q774" t="s">
        <v>47</v>
      </c>
      <c r="R774" t="s">
        <v>43</v>
      </c>
      <c r="S774" s="2">
        <f t="shared" si="12"/>
        <v>565670.28</v>
      </c>
    </row>
    <row r="775" spans="1:19" x14ac:dyDescent="0.3">
      <c r="A775" t="s">
        <v>836</v>
      </c>
      <c r="B775" s="1">
        <v>46370</v>
      </c>
      <c r="C775" t="s">
        <v>98</v>
      </c>
      <c r="D775" t="s">
        <v>20</v>
      </c>
      <c r="E775" t="s">
        <v>58</v>
      </c>
      <c r="F775" t="s">
        <v>1582</v>
      </c>
      <c r="G775" t="s">
        <v>1583</v>
      </c>
      <c r="H775">
        <v>116</v>
      </c>
      <c r="I775">
        <v>124</v>
      </c>
      <c r="J775">
        <v>99</v>
      </c>
      <c r="K775">
        <v>141</v>
      </c>
      <c r="L775">
        <v>99</v>
      </c>
      <c r="M775" s="2">
        <v>1304.57</v>
      </c>
      <c r="N775">
        <v>2</v>
      </c>
      <c r="O775">
        <v>0</v>
      </c>
      <c r="P775" t="s">
        <v>33</v>
      </c>
      <c r="Q775" t="s">
        <v>34</v>
      </c>
      <c r="R775" t="s">
        <v>26</v>
      </c>
      <c r="S775" s="2">
        <f t="shared" si="12"/>
        <v>183944.37</v>
      </c>
    </row>
    <row r="776" spans="1:19" x14ac:dyDescent="0.3">
      <c r="A776" t="s">
        <v>837</v>
      </c>
      <c r="B776" s="1">
        <v>46188</v>
      </c>
      <c r="C776" t="s">
        <v>49</v>
      </c>
      <c r="D776" t="s">
        <v>50</v>
      </c>
      <c r="E776" t="s">
        <v>58</v>
      </c>
      <c r="F776" t="s">
        <v>1582</v>
      </c>
      <c r="G776" t="s">
        <v>1583</v>
      </c>
      <c r="H776">
        <v>58</v>
      </c>
      <c r="I776">
        <v>87</v>
      </c>
      <c r="J776">
        <v>108</v>
      </c>
      <c r="K776">
        <v>37</v>
      </c>
      <c r="L776">
        <v>63</v>
      </c>
      <c r="M776" s="2">
        <v>1243.4100000000001</v>
      </c>
      <c r="N776">
        <v>3</v>
      </c>
      <c r="O776">
        <v>7</v>
      </c>
      <c r="P776" t="s">
        <v>33</v>
      </c>
      <c r="Q776" t="s">
        <v>25</v>
      </c>
      <c r="R776" t="s">
        <v>26</v>
      </c>
      <c r="S776" s="2">
        <f t="shared" si="12"/>
        <v>46006.170000000006</v>
      </c>
    </row>
    <row r="777" spans="1:19" x14ac:dyDescent="0.3">
      <c r="A777" t="s">
        <v>838</v>
      </c>
      <c r="B777" s="1">
        <v>46134</v>
      </c>
      <c r="C777" t="s">
        <v>77</v>
      </c>
      <c r="D777" t="s">
        <v>53</v>
      </c>
      <c r="E777" t="s">
        <v>21</v>
      </c>
      <c r="F777" t="s">
        <v>1582</v>
      </c>
      <c r="G777" t="s">
        <v>1583</v>
      </c>
      <c r="H777">
        <v>207</v>
      </c>
      <c r="I777">
        <v>40</v>
      </c>
      <c r="J777">
        <v>88</v>
      </c>
      <c r="K777">
        <v>159</v>
      </c>
      <c r="L777">
        <v>53</v>
      </c>
      <c r="M777" s="2">
        <v>494.19</v>
      </c>
      <c r="N777">
        <v>5</v>
      </c>
      <c r="O777">
        <v>0</v>
      </c>
      <c r="P777" t="s">
        <v>33</v>
      </c>
      <c r="Q777" t="s">
        <v>47</v>
      </c>
      <c r="R777" t="s">
        <v>26</v>
      </c>
      <c r="S777" s="2">
        <f t="shared" si="12"/>
        <v>78576.210000000006</v>
      </c>
    </row>
    <row r="778" spans="1:19" x14ac:dyDescent="0.3">
      <c r="A778" t="s">
        <v>839</v>
      </c>
      <c r="B778" s="1">
        <v>46051</v>
      </c>
      <c r="C778" t="s">
        <v>62</v>
      </c>
      <c r="D778" t="s">
        <v>29</v>
      </c>
      <c r="E778" t="s">
        <v>21</v>
      </c>
      <c r="F778" t="s">
        <v>31</v>
      </c>
      <c r="G778" t="s">
        <v>32</v>
      </c>
      <c r="H778">
        <v>213</v>
      </c>
      <c r="I778">
        <v>120</v>
      </c>
      <c r="J778">
        <v>33</v>
      </c>
      <c r="K778">
        <v>300</v>
      </c>
      <c r="L778">
        <v>69</v>
      </c>
      <c r="M778" s="2">
        <v>763.06</v>
      </c>
      <c r="N778">
        <v>5</v>
      </c>
      <c r="O778">
        <v>0</v>
      </c>
      <c r="P778" t="s">
        <v>33</v>
      </c>
      <c r="Q778" t="s">
        <v>47</v>
      </c>
      <c r="R778" t="s">
        <v>26</v>
      </c>
      <c r="S778" s="2">
        <f t="shared" si="12"/>
        <v>228917.99999999997</v>
      </c>
    </row>
    <row r="779" spans="1:19" x14ac:dyDescent="0.3">
      <c r="A779" t="s">
        <v>840</v>
      </c>
      <c r="B779" s="1">
        <v>46083</v>
      </c>
      <c r="C779" t="s">
        <v>89</v>
      </c>
      <c r="D779" t="s">
        <v>20</v>
      </c>
      <c r="E779" t="s">
        <v>58</v>
      </c>
      <c r="F779" t="s">
        <v>22</v>
      </c>
      <c r="G779" t="s">
        <v>23</v>
      </c>
      <c r="H779">
        <v>53</v>
      </c>
      <c r="I779">
        <v>35</v>
      </c>
      <c r="J779">
        <v>80</v>
      </c>
      <c r="K779">
        <v>8</v>
      </c>
      <c r="L779">
        <v>86</v>
      </c>
      <c r="M779" s="2">
        <v>1161.24</v>
      </c>
      <c r="N779">
        <v>5</v>
      </c>
      <c r="O779">
        <v>7</v>
      </c>
      <c r="P779" t="s">
        <v>33</v>
      </c>
      <c r="Q779" t="s">
        <v>25</v>
      </c>
      <c r="R779" t="s">
        <v>26</v>
      </c>
      <c r="S779" s="2">
        <f t="shared" si="12"/>
        <v>9289.92</v>
      </c>
    </row>
    <row r="780" spans="1:19" x14ac:dyDescent="0.3">
      <c r="A780" t="s">
        <v>841</v>
      </c>
      <c r="B780" s="1">
        <v>46260</v>
      </c>
      <c r="C780" t="s">
        <v>36</v>
      </c>
      <c r="D780" t="s">
        <v>29</v>
      </c>
      <c r="E780" t="s">
        <v>58</v>
      </c>
      <c r="F780" t="s">
        <v>37</v>
      </c>
      <c r="G780" t="s">
        <v>38</v>
      </c>
      <c r="H780">
        <v>216</v>
      </c>
      <c r="I780">
        <v>96</v>
      </c>
      <c r="J780">
        <v>37</v>
      </c>
      <c r="K780">
        <v>275</v>
      </c>
      <c r="L780">
        <v>86</v>
      </c>
      <c r="M780" s="2">
        <v>2517.6999999999998</v>
      </c>
      <c r="N780">
        <v>12</v>
      </c>
      <c r="O780">
        <v>0</v>
      </c>
      <c r="P780" t="s">
        <v>33</v>
      </c>
      <c r="Q780" t="s">
        <v>47</v>
      </c>
      <c r="R780" t="s">
        <v>26</v>
      </c>
      <c r="S780" s="2">
        <f t="shared" si="12"/>
        <v>692367.5</v>
      </c>
    </row>
    <row r="781" spans="1:19" x14ac:dyDescent="0.3">
      <c r="A781" t="s">
        <v>842</v>
      </c>
      <c r="B781" s="1">
        <v>46316</v>
      </c>
      <c r="C781" t="s">
        <v>49</v>
      </c>
      <c r="D781" t="s">
        <v>50</v>
      </c>
      <c r="E781" t="s">
        <v>58</v>
      </c>
      <c r="F781" t="s">
        <v>37</v>
      </c>
      <c r="G781" t="s">
        <v>38</v>
      </c>
      <c r="H781">
        <v>42</v>
      </c>
      <c r="I781">
        <v>35</v>
      </c>
      <c r="J781">
        <v>29</v>
      </c>
      <c r="K781">
        <v>48</v>
      </c>
      <c r="L781">
        <v>50</v>
      </c>
      <c r="M781" s="2">
        <v>1201.73</v>
      </c>
      <c r="N781">
        <v>7</v>
      </c>
      <c r="O781">
        <v>4</v>
      </c>
      <c r="P781" t="s">
        <v>33</v>
      </c>
      <c r="Q781" t="s">
        <v>34</v>
      </c>
      <c r="R781" t="s">
        <v>26</v>
      </c>
      <c r="S781" s="2">
        <f t="shared" si="12"/>
        <v>57683.040000000001</v>
      </c>
    </row>
    <row r="782" spans="1:19" x14ac:dyDescent="0.3">
      <c r="A782" t="s">
        <v>843</v>
      </c>
      <c r="B782" s="1">
        <v>46073</v>
      </c>
      <c r="C782" t="s">
        <v>68</v>
      </c>
      <c r="D782" t="s">
        <v>53</v>
      </c>
      <c r="E782" t="s">
        <v>21</v>
      </c>
      <c r="F782" t="s">
        <v>31</v>
      </c>
      <c r="G782" t="s">
        <v>32</v>
      </c>
      <c r="H782">
        <v>191</v>
      </c>
      <c r="I782">
        <v>43</v>
      </c>
      <c r="J782">
        <v>64</v>
      </c>
      <c r="K782">
        <v>170</v>
      </c>
      <c r="L782">
        <v>75</v>
      </c>
      <c r="M782" s="2">
        <v>659.99</v>
      </c>
      <c r="N782">
        <v>7</v>
      </c>
      <c r="O782">
        <v>0</v>
      </c>
      <c r="P782" t="s">
        <v>33</v>
      </c>
      <c r="Q782" t="s">
        <v>47</v>
      </c>
      <c r="R782" t="s">
        <v>26</v>
      </c>
      <c r="S782" s="2">
        <f t="shared" si="12"/>
        <v>112198.3</v>
      </c>
    </row>
    <row r="783" spans="1:19" x14ac:dyDescent="0.3">
      <c r="A783" t="s">
        <v>844</v>
      </c>
      <c r="B783" s="1">
        <v>46273</v>
      </c>
      <c r="C783" t="s">
        <v>109</v>
      </c>
      <c r="D783" t="s">
        <v>46</v>
      </c>
      <c r="E783" t="s">
        <v>30</v>
      </c>
      <c r="F783" t="s">
        <v>22</v>
      </c>
      <c r="G783" t="s">
        <v>23</v>
      </c>
      <c r="H783">
        <v>143</v>
      </c>
      <c r="I783">
        <v>124</v>
      </c>
      <c r="J783">
        <v>104</v>
      </c>
      <c r="K783">
        <v>163</v>
      </c>
      <c r="L783">
        <v>46</v>
      </c>
      <c r="M783" s="2">
        <v>3132.03</v>
      </c>
      <c r="N783">
        <v>8</v>
      </c>
      <c r="O783">
        <v>0</v>
      </c>
      <c r="P783" t="s">
        <v>33</v>
      </c>
      <c r="Q783" t="s">
        <v>47</v>
      </c>
      <c r="R783" t="s">
        <v>43</v>
      </c>
      <c r="S783" s="2">
        <f t="shared" si="12"/>
        <v>510520.89</v>
      </c>
    </row>
    <row r="784" spans="1:19" x14ac:dyDescent="0.3">
      <c r="A784" t="s">
        <v>845</v>
      </c>
      <c r="B784" s="1">
        <v>46043</v>
      </c>
      <c r="C784" t="s">
        <v>19</v>
      </c>
      <c r="D784" t="s">
        <v>20</v>
      </c>
      <c r="E784" t="s">
        <v>42</v>
      </c>
      <c r="F784" t="s">
        <v>31</v>
      </c>
      <c r="G784" t="s">
        <v>32</v>
      </c>
      <c r="H784">
        <v>86</v>
      </c>
      <c r="I784">
        <v>130</v>
      </c>
      <c r="J784">
        <v>91</v>
      </c>
      <c r="K784">
        <v>125</v>
      </c>
      <c r="L784">
        <v>89</v>
      </c>
      <c r="M784" s="2">
        <v>1684.78</v>
      </c>
      <c r="N784">
        <v>6</v>
      </c>
      <c r="O784">
        <v>0</v>
      </c>
      <c r="P784" t="s">
        <v>33</v>
      </c>
      <c r="Q784" t="s">
        <v>34</v>
      </c>
      <c r="R784" t="s">
        <v>26</v>
      </c>
      <c r="S784" s="2">
        <f t="shared" si="12"/>
        <v>210597.5</v>
      </c>
    </row>
    <row r="785" spans="1:19" x14ac:dyDescent="0.3">
      <c r="A785" t="s">
        <v>846</v>
      </c>
      <c r="B785" s="1">
        <v>46110</v>
      </c>
      <c r="C785" t="s">
        <v>28</v>
      </c>
      <c r="D785" t="s">
        <v>29</v>
      </c>
      <c r="E785" t="s">
        <v>42</v>
      </c>
      <c r="F785" t="s">
        <v>31</v>
      </c>
      <c r="G785" t="s">
        <v>32</v>
      </c>
      <c r="H785">
        <v>183</v>
      </c>
      <c r="I785">
        <v>52</v>
      </c>
      <c r="J785">
        <v>19</v>
      </c>
      <c r="K785">
        <v>216</v>
      </c>
      <c r="L785">
        <v>50</v>
      </c>
      <c r="M785" s="2">
        <v>1424.78</v>
      </c>
      <c r="N785">
        <v>6</v>
      </c>
      <c r="O785">
        <v>0</v>
      </c>
      <c r="P785" t="s">
        <v>33</v>
      </c>
      <c r="Q785" t="s">
        <v>47</v>
      </c>
      <c r="R785" t="s">
        <v>81</v>
      </c>
      <c r="S785" s="2">
        <f t="shared" si="12"/>
        <v>307752.48</v>
      </c>
    </row>
    <row r="786" spans="1:19" x14ac:dyDescent="0.3">
      <c r="A786" t="s">
        <v>847</v>
      </c>
      <c r="B786" s="1">
        <v>46203</v>
      </c>
      <c r="C786" t="s">
        <v>57</v>
      </c>
      <c r="D786" t="s">
        <v>50</v>
      </c>
      <c r="E786" t="s">
        <v>42</v>
      </c>
      <c r="F786" t="s">
        <v>37</v>
      </c>
      <c r="G786" t="s">
        <v>38</v>
      </c>
      <c r="H786">
        <v>51</v>
      </c>
      <c r="I786">
        <v>86</v>
      </c>
      <c r="J786">
        <v>52</v>
      </c>
      <c r="K786">
        <v>85</v>
      </c>
      <c r="L786">
        <v>87</v>
      </c>
      <c r="M786" s="2">
        <v>2819.1</v>
      </c>
      <c r="N786">
        <v>3</v>
      </c>
      <c r="O786">
        <v>6</v>
      </c>
      <c r="P786" t="s">
        <v>33</v>
      </c>
      <c r="Q786" t="s">
        <v>34</v>
      </c>
      <c r="R786" t="s">
        <v>26</v>
      </c>
      <c r="S786" s="2">
        <f t="shared" si="12"/>
        <v>239623.5</v>
      </c>
    </row>
    <row r="787" spans="1:19" x14ac:dyDescent="0.3">
      <c r="A787" t="s">
        <v>848</v>
      </c>
      <c r="B787" s="1">
        <v>46305</v>
      </c>
      <c r="C787" t="s">
        <v>87</v>
      </c>
      <c r="D787" t="s">
        <v>53</v>
      </c>
      <c r="E787" t="s">
        <v>75</v>
      </c>
      <c r="F787" t="s">
        <v>31</v>
      </c>
      <c r="G787" t="s">
        <v>32</v>
      </c>
      <c r="H787">
        <v>100</v>
      </c>
      <c r="I787">
        <v>24</v>
      </c>
      <c r="J787">
        <v>39</v>
      </c>
      <c r="K787">
        <v>85</v>
      </c>
      <c r="L787">
        <v>54</v>
      </c>
      <c r="M787" s="2">
        <v>431.97</v>
      </c>
      <c r="N787">
        <v>8</v>
      </c>
      <c r="O787">
        <v>0</v>
      </c>
      <c r="P787" t="s">
        <v>33</v>
      </c>
      <c r="Q787" t="s">
        <v>34</v>
      </c>
      <c r="R787" t="s">
        <v>26</v>
      </c>
      <c r="S787" s="2">
        <f t="shared" si="12"/>
        <v>36717.450000000004</v>
      </c>
    </row>
    <row r="788" spans="1:19" x14ac:dyDescent="0.3">
      <c r="A788" t="s">
        <v>849</v>
      </c>
      <c r="B788" s="1">
        <v>46256</v>
      </c>
      <c r="C788" t="s">
        <v>83</v>
      </c>
      <c r="D788" t="s">
        <v>29</v>
      </c>
      <c r="E788" t="s">
        <v>21</v>
      </c>
      <c r="F788" t="s">
        <v>22</v>
      </c>
      <c r="G788" t="s">
        <v>23</v>
      </c>
      <c r="H788">
        <v>199</v>
      </c>
      <c r="I788">
        <v>74</v>
      </c>
      <c r="J788">
        <v>24</v>
      </c>
      <c r="K788">
        <v>249</v>
      </c>
      <c r="L788">
        <v>80</v>
      </c>
      <c r="M788" s="2">
        <v>1521.59</v>
      </c>
      <c r="N788">
        <v>5</v>
      </c>
      <c r="O788">
        <v>0</v>
      </c>
      <c r="P788" t="s">
        <v>33</v>
      </c>
      <c r="Q788" t="s">
        <v>47</v>
      </c>
      <c r="R788" t="s">
        <v>26</v>
      </c>
      <c r="S788" s="2">
        <f t="shared" si="12"/>
        <v>378875.91</v>
      </c>
    </row>
    <row r="789" spans="1:19" x14ac:dyDescent="0.3">
      <c r="A789" t="s">
        <v>850</v>
      </c>
      <c r="B789" s="1">
        <v>46213</v>
      </c>
      <c r="C789" t="s">
        <v>89</v>
      </c>
      <c r="D789" t="s">
        <v>20</v>
      </c>
      <c r="E789" t="s">
        <v>58</v>
      </c>
      <c r="F789" t="s">
        <v>22</v>
      </c>
      <c r="G789" t="s">
        <v>23</v>
      </c>
      <c r="H789">
        <v>177</v>
      </c>
      <c r="I789">
        <v>46</v>
      </c>
      <c r="J789">
        <v>24</v>
      </c>
      <c r="K789">
        <v>199</v>
      </c>
      <c r="L789">
        <v>85</v>
      </c>
      <c r="M789" s="2">
        <v>1255.8399999999999</v>
      </c>
      <c r="N789">
        <v>7</v>
      </c>
      <c r="O789">
        <v>0</v>
      </c>
      <c r="P789" t="s">
        <v>33</v>
      </c>
      <c r="Q789" t="s">
        <v>47</v>
      </c>
      <c r="R789" t="s">
        <v>26</v>
      </c>
      <c r="S789" s="2">
        <f t="shared" si="12"/>
        <v>249912.15999999997</v>
      </c>
    </row>
    <row r="790" spans="1:19" x14ac:dyDescent="0.3">
      <c r="A790" t="s">
        <v>851</v>
      </c>
      <c r="B790" s="1">
        <v>46295</v>
      </c>
      <c r="C790" t="s">
        <v>87</v>
      </c>
      <c r="D790" t="s">
        <v>53</v>
      </c>
      <c r="E790" t="s">
        <v>58</v>
      </c>
      <c r="F790" t="s">
        <v>22</v>
      </c>
      <c r="G790" t="s">
        <v>23</v>
      </c>
      <c r="H790">
        <v>120</v>
      </c>
      <c r="I790">
        <v>120</v>
      </c>
      <c r="J790">
        <v>70</v>
      </c>
      <c r="K790">
        <v>170</v>
      </c>
      <c r="L790">
        <v>69</v>
      </c>
      <c r="M790" s="2">
        <v>407.33</v>
      </c>
      <c r="N790">
        <v>6</v>
      </c>
      <c r="O790">
        <v>0</v>
      </c>
      <c r="P790" t="s">
        <v>33</v>
      </c>
      <c r="Q790" t="s">
        <v>47</v>
      </c>
      <c r="R790" t="s">
        <v>26</v>
      </c>
      <c r="S790" s="2">
        <f t="shared" si="12"/>
        <v>69246.099999999991</v>
      </c>
    </row>
    <row r="791" spans="1:19" x14ac:dyDescent="0.3">
      <c r="A791" t="s">
        <v>852</v>
      </c>
      <c r="B791" s="1">
        <v>46028</v>
      </c>
      <c r="C791" t="s">
        <v>40</v>
      </c>
      <c r="D791" t="s">
        <v>20</v>
      </c>
      <c r="E791" t="s">
        <v>75</v>
      </c>
      <c r="F791" t="s">
        <v>37</v>
      </c>
      <c r="G791" t="s">
        <v>38</v>
      </c>
      <c r="H791">
        <v>203</v>
      </c>
      <c r="I791">
        <v>31</v>
      </c>
      <c r="J791">
        <v>61</v>
      </c>
      <c r="K791">
        <v>173</v>
      </c>
      <c r="L791">
        <v>66</v>
      </c>
      <c r="M791" s="2">
        <v>950.05</v>
      </c>
      <c r="N791">
        <v>3</v>
      </c>
      <c r="O791">
        <v>0</v>
      </c>
      <c r="P791" t="s">
        <v>33</v>
      </c>
      <c r="Q791" t="s">
        <v>47</v>
      </c>
      <c r="R791" t="s">
        <v>26</v>
      </c>
      <c r="S791" s="2">
        <f t="shared" si="12"/>
        <v>164358.65</v>
      </c>
    </row>
    <row r="792" spans="1:19" x14ac:dyDescent="0.3">
      <c r="A792" t="s">
        <v>853</v>
      </c>
      <c r="B792" s="1">
        <v>46071</v>
      </c>
      <c r="C792" t="s">
        <v>40</v>
      </c>
      <c r="D792" t="s">
        <v>20</v>
      </c>
      <c r="E792" t="s">
        <v>42</v>
      </c>
      <c r="F792" t="s">
        <v>1582</v>
      </c>
      <c r="G792" t="s">
        <v>1583</v>
      </c>
      <c r="H792">
        <v>66</v>
      </c>
      <c r="I792">
        <v>120</v>
      </c>
      <c r="J792">
        <v>30</v>
      </c>
      <c r="K792">
        <v>156</v>
      </c>
      <c r="L792">
        <v>56</v>
      </c>
      <c r="M792" s="2">
        <v>904.77</v>
      </c>
      <c r="N792">
        <v>4</v>
      </c>
      <c r="O792">
        <v>0</v>
      </c>
      <c r="P792" t="s">
        <v>33</v>
      </c>
      <c r="Q792" t="s">
        <v>47</v>
      </c>
      <c r="R792" t="s">
        <v>43</v>
      </c>
      <c r="S792" s="2">
        <f t="shared" si="12"/>
        <v>141144.12</v>
      </c>
    </row>
    <row r="793" spans="1:19" x14ac:dyDescent="0.3">
      <c r="A793" t="s">
        <v>854</v>
      </c>
      <c r="B793" s="1">
        <v>46115</v>
      </c>
      <c r="C793" t="s">
        <v>52</v>
      </c>
      <c r="D793" t="s">
        <v>53</v>
      </c>
      <c r="E793" t="s">
        <v>30</v>
      </c>
      <c r="F793" t="s">
        <v>37</v>
      </c>
      <c r="G793" t="s">
        <v>38</v>
      </c>
      <c r="H793">
        <v>181</v>
      </c>
      <c r="I793">
        <v>54</v>
      </c>
      <c r="J793">
        <v>92</v>
      </c>
      <c r="K793">
        <v>143</v>
      </c>
      <c r="L793">
        <v>51</v>
      </c>
      <c r="M793" s="2">
        <v>701.55</v>
      </c>
      <c r="N793">
        <v>3</v>
      </c>
      <c r="O793">
        <v>0</v>
      </c>
      <c r="P793" t="s">
        <v>33</v>
      </c>
      <c r="Q793" t="s">
        <v>47</v>
      </c>
      <c r="R793" t="s">
        <v>59</v>
      </c>
      <c r="S793" s="2">
        <f t="shared" si="12"/>
        <v>100321.65</v>
      </c>
    </row>
    <row r="794" spans="1:19" x14ac:dyDescent="0.3">
      <c r="A794" t="s">
        <v>855</v>
      </c>
      <c r="B794" s="1">
        <v>46159</v>
      </c>
      <c r="C794" t="s">
        <v>146</v>
      </c>
      <c r="D794" t="s">
        <v>46</v>
      </c>
      <c r="E794" t="s">
        <v>58</v>
      </c>
      <c r="F794" t="s">
        <v>22</v>
      </c>
      <c r="G794" t="s">
        <v>23</v>
      </c>
      <c r="H794">
        <v>106</v>
      </c>
      <c r="I794">
        <v>21</v>
      </c>
      <c r="J794">
        <v>102</v>
      </c>
      <c r="K794">
        <v>25</v>
      </c>
      <c r="L794">
        <v>77</v>
      </c>
      <c r="M794" s="2">
        <v>1563.97</v>
      </c>
      <c r="N794">
        <v>7</v>
      </c>
      <c r="O794">
        <v>7</v>
      </c>
      <c r="P794" t="s">
        <v>24</v>
      </c>
      <c r="Q794" t="s">
        <v>25</v>
      </c>
      <c r="R794" t="s">
        <v>26</v>
      </c>
      <c r="S794" s="2">
        <f t="shared" si="12"/>
        <v>39099.25</v>
      </c>
    </row>
    <row r="795" spans="1:19" x14ac:dyDescent="0.3">
      <c r="A795" t="s">
        <v>856</v>
      </c>
      <c r="B795" s="1">
        <v>46242</v>
      </c>
      <c r="C795" t="s">
        <v>89</v>
      </c>
      <c r="D795" t="s">
        <v>20</v>
      </c>
      <c r="E795" t="s">
        <v>42</v>
      </c>
      <c r="F795" t="s">
        <v>1582</v>
      </c>
      <c r="G795" t="s">
        <v>1583</v>
      </c>
      <c r="H795">
        <v>220</v>
      </c>
      <c r="I795">
        <v>78</v>
      </c>
      <c r="J795">
        <v>38</v>
      </c>
      <c r="K795">
        <v>260</v>
      </c>
      <c r="L795">
        <v>73</v>
      </c>
      <c r="M795" s="2">
        <v>1316.7</v>
      </c>
      <c r="N795">
        <v>8</v>
      </c>
      <c r="O795">
        <v>0</v>
      </c>
      <c r="P795" t="s">
        <v>33</v>
      </c>
      <c r="Q795" t="s">
        <v>47</v>
      </c>
      <c r="R795" t="s">
        <v>26</v>
      </c>
      <c r="S795" s="2">
        <f t="shared" si="12"/>
        <v>342342</v>
      </c>
    </row>
    <row r="796" spans="1:19" x14ac:dyDescent="0.3">
      <c r="A796" t="s">
        <v>857</v>
      </c>
      <c r="B796" s="1">
        <v>46070</v>
      </c>
      <c r="C796" t="s">
        <v>87</v>
      </c>
      <c r="D796" t="s">
        <v>53</v>
      </c>
      <c r="E796" t="s">
        <v>21</v>
      </c>
      <c r="F796" t="s">
        <v>31</v>
      </c>
      <c r="G796" t="s">
        <v>32</v>
      </c>
      <c r="H796">
        <v>118</v>
      </c>
      <c r="I796">
        <v>72</v>
      </c>
      <c r="J796">
        <v>55</v>
      </c>
      <c r="K796">
        <v>135</v>
      </c>
      <c r="L796">
        <v>99</v>
      </c>
      <c r="M796" s="2">
        <v>413.11</v>
      </c>
      <c r="N796">
        <v>2</v>
      </c>
      <c r="O796">
        <v>0</v>
      </c>
      <c r="P796" t="s">
        <v>24</v>
      </c>
      <c r="Q796" t="s">
        <v>34</v>
      </c>
      <c r="R796" t="s">
        <v>26</v>
      </c>
      <c r="S796" s="2">
        <f t="shared" si="12"/>
        <v>55769.85</v>
      </c>
    </row>
    <row r="797" spans="1:19" x14ac:dyDescent="0.3">
      <c r="A797" t="s">
        <v>858</v>
      </c>
      <c r="B797" s="1">
        <v>46373</v>
      </c>
      <c r="C797" t="s">
        <v>62</v>
      </c>
      <c r="D797" t="s">
        <v>29</v>
      </c>
      <c r="E797" t="s">
        <v>75</v>
      </c>
      <c r="F797" t="s">
        <v>37</v>
      </c>
      <c r="G797" t="s">
        <v>38</v>
      </c>
      <c r="H797">
        <v>181</v>
      </c>
      <c r="I797">
        <v>83</v>
      </c>
      <c r="J797">
        <v>16</v>
      </c>
      <c r="K797">
        <v>248</v>
      </c>
      <c r="L797">
        <v>72</v>
      </c>
      <c r="M797" s="2">
        <v>724.78</v>
      </c>
      <c r="N797">
        <v>7</v>
      </c>
      <c r="O797">
        <v>0</v>
      </c>
      <c r="P797" t="s">
        <v>24</v>
      </c>
      <c r="Q797" t="s">
        <v>47</v>
      </c>
      <c r="R797" t="s">
        <v>26</v>
      </c>
      <c r="S797" s="2">
        <f t="shared" si="12"/>
        <v>179745.44</v>
      </c>
    </row>
    <row r="798" spans="1:19" x14ac:dyDescent="0.3">
      <c r="A798" t="s">
        <v>859</v>
      </c>
      <c r="B798" s="1">
        <v>46361</v>
      </c>
      <c r="C798" t="s">
        <v>77</v>
      </c>
      <c r="D798" t="s">
        <v>53</v>
      </c>
      <c r="E798" t="s">
        <v>58</v>
      </c>
      <c r="F798" t="s">
        <v>31</v>
      </c>
      <c r="G798" t="s">
        <v>32</v>
      </c>
      <c r="H798">
        <v>197</v>
      </c>
      <c r="I798">
        <v>44</v>
      </c>
      <c r="J798">
        <v>110</v>
      </c>
      <c r="K798">
        <v>131</v>
      </c>
      <c r="L798">
        <v>45</v>
      </c>
      <c r="M798" s="2">
        <v>521.41999999999996</v>
      </c>
      <c r="N798">
        <v>7</v>
      </c>
      <c r="O798">
        <v>0</v>
      </c>
      <c r="P798" t="s">
        <v>33</v>
      </c>
      <c r="Q798" t="s">
        <v>47</v>
      </c>
      <c r="R798" t="s">
        <v>26</v>
      </c>
      <c r="S798" s="2">
        <f t="shared" si="12"/>
        <v>68306.01999999999</v>
      </c>
    </row>
    <row r="799" spans="1:19" x14ac:dyDescent="0.3">
      <c r="A799" t="s">
        <v>860</v>
      </c>
      <c r="B799" s="1">
        <v>46049</v>
      </c>
      <c r="C799" t="s">
        <v>77</v>
      </c>
      <c r="D799" t="s">
        <v>53</v>
      </c>
      <c r="E799" t="s">
        <v>30</v>
      </c>
      <c r="F799" t="s">
        <v>1582</v>
      </c>
      <c r="G799" t="s">
        <v>1583</v>
      </c>
      <c r="H799">
        <v>83</v>
      </c>
      <c r="I799">
        <v>106</v>
      </c>
      <c r="J799">
        <v>82</v>
      </c>
      <c r="K799">
        <v>107</v>
      </c>
      <c r="L799">
        <v>59</v>
      </c>
      <c r="M799" s="2">
        <v>467.48</v>
      </c>
      <c r="N799">
        <v>4</v>
      </c>
      <c r="O799">
        <v>0</v>
      </c>
      <c r="P799" t="s">
        <v>33</v>
      </c>
      <c r="Q799" t="s">
        <v>34</v>
      </c>
      <c r="R799" t="s">
        <v>26</v>
      </c>
      <c r="S799" s="2">
        <f t="shared" si="12"/>
        <v>50020.36</v>
      </c>
    </row>
    <row r="800" spans="1:19" x14ac:dyDescent="0.3">
      <c r="A800" t="s">
        <v>861</v>
      </c>
      <c r="B800" s="1">
        <v>46171</v>
      </c>
      <c r="C800" t="s">
        <v>55</v>
      </c>
      <c r="D800" t="s">
        <v>50</v>
      </c>
      <c r="E800" t="s">
        <v>58</v>
      </c>
      <c r="F800" t="s">
        <v>22</v>
      </c>
      <c r="G800" t="s">
        <v>23</v>
      </c>
      <c r="H800">
        <v>135</v>
      </c>
      <c r="I800">
        <v>34</v>
      </c>
      <c r="J800">
        <v>58</v>
      </c>
      <c r="K800">
        <v>111</v>
      </c>
      <c r="L800">
        <v>88</v>
      </c>
      <c r="M800" s="2">
        <v>949.95</v>
      </c>
      <c r="N800">
        <v>6</v>
      </c>
      <c r="O800">
        <v>0</v>
      </c>
      <c r="P800" t="s">
        <v>33</v>
      </c>
      <c r="Q800" t="s">
        <v>34</v>
      </c>
      <c r="R800" t="s">
        <v>43</v>
      </c>
      <c r="S800" s="2">
        <f t="shared" si="12"/>
        <v>105444.45000000001</v>
      </c>
    </row>
    <row r="801" spans="1:19" x14ac:dyDescent="0.3">
      <c r="A801" t="s">
        <v>862</v>
      </c>
      <c r="B801" s="1">
        <v>46339</v>
      </c>
      <c r="C801" t="s">
        <v>146</v>
      </c>
      <c r="D801" t="s">
        <v>46</v>
      </c>
      <c r="E801" t="s">
        <v>21</v>
      </c>
      <c r="F801" t="s">
        <v>37</v>
      </c>
      <c r="G801" t="s">
        <v>38</v>
      </c>
      <c r="H801">
        <v>94</v>
      </c>
      <c r="I801">
        <v>20</v>
      </c>
      <c r="J801">
        <v>109</v>
      </c>
      <c r="K801">
        <v>5</v>
      </c>
      <c r="L801">
        <v>85</v>
      </c>
      <c r="M801" s="2">
        <v>1520.65</v>
      </c>
      <c r="N801">
        <v>3</v>
      </c>
      <c r="O801">
        <v>1</v>
      </c>
      <c r="P801" t="s">
        <v>33</v>
      </c>
      <c r="Q801" t="s">
        <v>25</v>
      </c>
      <c r="R801" t="s">
        <v>81</v>
      </c>
      <c r="S801" s="2">
        <f t="shared" si="12"/>
        <v>7603.25</v>
      </c>
    </row>
    <row r="802" spans="1:19" x14ac:dyDescent="0.3">
      <c r="A802" t="s">
        <v>863</v>
      </c>
      <c r="B802" s="1">
        <v>46228</v>
      </c>
      <c r="C802" t="s">
        <v>57</v>
      </c>
      <c r="D802" t="s">
        <v>50</v>
      </c>
      <c r="E802" t="s">
        <v>21</v>
      </c>
      <c r="F802" t="s">
        <v>31</v>
      </c>
      <c r="G802" t="s">
        <v>32</v>
      </c>
      <c r="H802">
        <v>197</v>
      </c>
      <c r="I802">
        <v>78</v>
      </c>
      <c r="J802">
        <v>57</v>
      </c>
      <c r="K802">
        <v>218</v>
      </c>
      <c r="L802">
        <v>64</v>
      </c>
      <c r="M802" s="2">
        <v>2718.18</v>
      </c>
      <c r="N802">
        <v>2</v>
      </c>
      <c r="O802">
        <v>0</v>
      </c>
      <c r="P802" t="s">
        <v>33</v>
      </c>
      <c r="Q802" t="s">
        <v>47</v>
      </c>
      <c r="R802" t="s">
        <v>59</v>
      </c>
      <c r="S802" s="2">
        <f t="shared" si="12"/>
        <v>592563.24</v>
      </c>
    </row>
    <row r="803" spans="1:19" x14ac:dyDescent="0.3">
      <c r="A803" t="s">
        <v>864</v>
      </c>
      <c r="B803" s="1">
        <v>46026</v>
      </c>
      <c r="C803" t="s">
        <v>109</v>
      </c>
      <c r="D803" t="s">
        <v>46</v>
      </c>
      <c r="E803" t="s">
        <v>75</v>
      </c>
      <c r="F803" t="s">
        <v>1582</v>
      </c>
      <c r="G803" t="s">
        <v>1583</v>
      </c>
      <c r="H803">
        <v>165</v>
      </c>
      <c r="I803">
        <v>45</v>
      </c>
      <c r="J803">
        <v>25</v>
      </c>
      <c r="K803">
        <v>185</v>
      </c>
      <c r="L803">
        <v>78</v>
      </c>
      <c r="M803" s="2">
        <v>3209.16</v>
      </c>
      <c r="N803">
        <v>3</v>
      </c>
      <c r="O803">
        <v>0</v>
      </c>
      <c r="P803" t="s">
        <v>33</v>
      </c>
      <c r="Q803" t="s">
        <v>47</v>
      </c>
      <c r="R803" t="s">
        <v>43</v>
      </c>
      <c r="S803" s="2">
        <f t="shared" si="12"/>
        <v>593694.6</v>
      </c>
    </row>
    <row r="804" spans="1:19" x14ac:dyDescent="0.3">
      <c r="A804" t="s">
        <v>865</v>
      </c>
      <c r="B804" s="1">
        <v>46247</v>
      </c>
      <c r="C804" t="s">
        <v>83</v>
      </c>
      <c r="D804" t="s">
        <v>29</v>
      </c>
      <c r="E804" t="s">
        <v>42</v>
      </c>
      <c r="F804" t="s">
        <v>1582</v>
      </c>
      <c r="G804" t="s">
        <v>1583</v>
      </c>
      <c r="H804">
        <v>141</v>
      </c>
      <c r="I804">
        <v>67</v>
      </c>
      <c r="J804">
        <v>53</v>
      </c>
      <c r="K804">
        <v>155</v>
      </c>
      <c r="L804">
        <v>68</v>
      </c>
      <c r="M804" s="2">
        <v>1577.07</v>
      </c>
      <c r="N804">
        <v>3</v>
      </c>
      <c r="O804">
        <v>0</v>
      </c>
      <c r="P804" t="s">
        <v>33</v>
      </c>
      <c r="Q804" t="s">
        <v>47</v>
      </c>
      <c r="R804" t="s">
        <v>26</v>
      </c>
      <c r="S804" s="2">
        <f t="shared" si="12"/>
        <v>244445.84999999998</v>
      </c>
    </row>
    <row r="805" spans="1:19" x14ac:dyDescent="0.3">
      <c r="A805" t="s">
        <v>866</v>
      </c>
      <c r="B805" s="1">
        <v>46039</v>
      </c>
      <c r="C805" t="s">
        <v>72</v>
      </c>
      <c r="D805" t="s">
        <v>50</v>
      </c>
      <c r="E805" t="s">
        <v>42</v>
      </c>
      <c r="F805" t="s">
        <v>37</v>
      </c>
      <c r="G805" t="s">
        <v>38</v>
      </c>
      <c r="H805">
        <v>151</v>
      </c>
      <c r="I805">
        <v>20</v>
      </c>
      <c r="J805">
        <v>60</v>
      </c>
      <c r="K805">
        <v>111</v>
      </c>
      <c r="L805">
        <v>100</v>
      </c>
      <c r="M805" s="2">
        <v>2292.06</v>
      </c>
      <c r="N805">
        <v>4</v>
      </c>
      <c r="O805">
        <v>2</v>
      </c>
      <c r="P805" t="s">
        <v>24</v>
      </c>
      <c r="Q805" t="s">
        <v>34</v>
      </c>
      <c r="R805" t="s">
        <v>59</v>
      </c>
      <c r="S805" s="2">
        <f t="shared" si="12"/>
        <v>254418.66</v>
      </c>
    </row>
    <row r="806" spans="1:19" x14ac:dyDescent="0.3">
      <c r="A806" t="s">
        <v>867</v>
      </c>
      <c r="B806" s="1">
        <v>46227</v>
      </c>
      <c r="C806" t="s">
        <v>28</v>
      </c>
      <c r="D806" t="s">
        <v>29</v>
      </c>
      <c r="E806" t="s">
        <v>58</v>
      </c>
      <c r="F806" t="s">
        <v>37</v>
      </c>
      <c r="G806" t="s">
        <v>38</v>
      </c>
      <c r="H806">
        <v>70</v>
      </c>
      <c r="I806">
        <v>73</v>
      </c>
      <c r="J806">
        <v>77</v>
      </c>
      <c r="K806">
        <v>66</v>
      </c>
      <c r="L806">
        <v>80</v>
      </c>
      <c r="M806" s="2">
        <v>1298.8499999999999</v>
      </c>
      <c r="N806">
        <v>7</v>
      </c>
      <c r="O806">
        <v>6</v>
      </c>
      <c r="P806" t="s">
        <v>33</v>
      </c>
      <c r="Q806" t="s">
        <v>34</v>
      </c>
      <c r="R806" t="s">
        <v>59</v>
      </c>
      <c r="S806" s="2">
        <f t="shared" si="12"/>
        <v>85724.099999999991</v>
      </c>
    </row>
    <row r="807" spans="1:19" x14ac:dyDescent="0.3">
      <c r="A807" t="s">
        <v>868</v>
      </c>
      <c r="B807" s="1">
        <v>46049</v>
      </c>
      <c r="C807" t="s">
        <v>68</v>
      </c>
      <c r="D807" t="s">
        <v>53</v>
      </c>
      <c r="E807" t="s">
        <v>42</v>
      </c>
      <c r="F807" t="s">
        <v>31</v>
      </c>
      <c r="G807" t="s">
        <v>32</v>
      </c>
      <c r="H807">
        <v>67</v>
      </c>
      <c r="I807">
        <v>121</v>
      </c>
      <c r="J807">
        <v>17</v>
      </c>
      <c r="K807">
        <v>171</v>
      </c>
      <c r="L807">
        <v>53</v>
      </c>
      <c r="M807" s="2">
        <v>558.66999999999996</v>
      </c>
      <c r="N807">
        <v>6</v>
      </c>
      <c r="O807">
        <v>0</v>
      </c>
      <c r="P807" t="s">
        <v>24</v>
      </c>
      <c r="Q807" t="s">
        <v>47</v>
      </c>
      <c r="R807" t="s">
        <v>59</v>
      </c>
      <c r="S807" s="2">
        <f t="shared" si="12"/>
        <v>95532.569999999992</v>
      </c>
    </row>
    <row r="808" spans="1:19" x14ac:dyDescent="0.3">
      <c r="A808" t="s">
        <v>869</v>
      </c>
      <c r="B808" s="1">
        <v>46284</v>
      </c>
      <c r="C808" t="s">
        <v>146</v>
      </c>
      <c r="D808" t="s">
        <v>46</v>
      </c>
      <c r="E808" t="s">
        <v>30</v>
      </c>
      <c r="F808" t="s">
        <v>31</v>
      </c>
      <c r="G808" t="s">
        <v>32</v>
      </c>
      <c r="H808">
        <v>151</v>
      </c>
      <c r="I808">
        <v>81</v>
      </c>
      <c r="J808">
        <v>52</v>
      </c>
      <c r="K808">
        <v>180</v>
      </c>
      <c r="L808">
        <v>63</v>
      </c>
      <c r="M808" s="2">
        <v>1495.78</v>
      </c>
      <c r="N808">
        <v>8</v>
      </c>
      <c r="O808">
        <v>0</v>
      </c>
      <c r="P808" t="s">
        <v>33</v>
      </c>
      <c r="Q808" t="s">
        <v>47</v>
      </c>
      <c r="R808" t="s">
        <v>26</v>
      </c>
      <c r="S808" s="2">
        <f t="shared" si="12"/>
        <v>269240.40000000002</v>
      </c>
    </row>
    <row r="809" spans="1:19" x14ac:dyDescent="0.3">
      <c r="A809" t="s">
        <v>870</v>
      </c>
      <c r="B809" s="1">
        <v>46280</v>
      </c>
      <c r="C809" t="s">
        <v>28</v>
      </c>
      <c r="D809" t="s">
        <v>29</v>
      </c>
      <c r="E809" t="s">
        <v>21</v>
      </c>
      <c r="F809" t="s">
        <v>31</v>
      </c>
      <c r="G809" t="s">
        <v>32</v>
      </c>
      <c r="H809">
        <v>107</v>
      </c>
      <c r="I809">
        <v>109</v>
      </c>
      <c r="J809">
        <v>46</v>
      </c>
      <c r="K809">
        <v>170</v>
      </c>
      <c r="L809">
        <v>87</v>
      </c>
      <c r="M809" s="2">
        <v>1383.36</v>
      </c>
      <c r="N809">
        <v>6</v>
      </c>
      <c r="O809">
        <v>0</v>
      </c>
      <c r="P809" t="s">
        <v>33</v>
      </c>
      <c r="Q809" t="s">
        <v>34</v>
      </c>
      <c r="R809" t="s">
        <v>59</v>
      </c>
      <c r="S809" s="2">
        <f t="shared" si="12"/>
        <v>235171.19999999998</v>
      </c>
    </row>
    <row r="810" spans="1:19" x14ac:dyDescent="0.3">
      <c r="A810" t="s">
        <v>871</v>
      </c>
      <c r="B810" s="1">
        <v>46338</v>
      </c>
      <c r="C810" t="s">
        <v>87</v>
      </c>
      <c r="D810" t="s">
        <v>53</v>
      </c>
      <c r="E810" t="s">
        <v>42</v>
      </c>
      <c r="F810" t="s">
        <v>22</v>
      </c>
      <c r="G810" t="s">
        <v>23</v>
      </c>
      <c r="H810">
        <v>98</v>
      </c>
      <c r="I810">
        <v>35</v>
      </c>
      <c r="J810">
        <v>31</v>
      </c>
      <c r="K810">
        <v>102</v>
      </c>
      <c r="L810">
        <v>70</v>
      </c>
      <c r="M810" s="2">
        <v>408.45</v>
      </c>
      <c r="N810">
        <v>3</v>
      </c>
      <c r="O810">
        <v>0</v>
      </c>
      <c r="P810" t="s">
        <v>33</v>
      </c>
      <c r="Q810" t="s">
        <v>34</v>
      </c>
      <c r="R810" t="s">
        <v>26</v>
      </c>
      <c r="S810" s="2">
        <f t="shared" si="12"/>
        <v>41661.9</v>
      </c>
    </row>
    <row r="811" spans="1:19" x14ac:dyDescent="0.3">
      <c r="A811" t="s">
        <v>872</v>
      </c>
      <c r="B811" s="1">
        <v>46054</v>
      </c>
      <c r="C811" t="s">
        <v>62</v>
      </c>
      <c r="D811" t="s">
        <v>29</v>
      </c>
      <c r="E811" t="s">
        <v>75</v>
      </c>
      <c r="F811" t="s">
        <v>1582</v>
      </c>
      <c r="G811" t="s">
        <v>1583</v>
      </c>
      <c r="H811">
        <v>144</v>
      </c>
      <c r="I811">
        <v>87</v>
      </c>
      <c r="J811">
        <v>54</v>
      </c>
      <c r="K811">
        <v>177</v>
      </c>
      <c r="L811">
        <v>89</v>
      </c>
      <c r="M811" s="2">
        <v>718.66</v>
      </c>
      <c r="N811">
        <v>3</v>
      </c>
      <c r="O811">
        <v>0</v>
      </c>
      <c r="P811" t="s">
        <v>33</v>
      </c>
      <c r="Q811" t="s">
        <v>34</v>
      </c>
      <c r="R811" t="s">
        <v>26</v>
      </c>
      <c r="S811" s="2">
        <f t="shared" si="12"/>
        <v>127202.81999999999</v>
      </c>
    </row>
    <row r="812" spans="1:19" x14ac:dyDescent="0.3">
      <c r="A812" t="s">
        <v>873</v>
      </c>
      <c r="B812" s="1">
        <v>46116</v>
      </c>
      <c r="C812" t="s">
        <v>68</v>
      </c>
      <c r="D812" t="s">
        <v>53</v>
      </c>
      <c r="E812" t="s">
        <v>75</v>
      </c>
      <c r="F812" t="s">
        <v>37</v>
      </c>
      <c r="G812" t="s">
        <v>38</v>
      </c>
      <c r="H812">
        <v>68</v>
      </c>
      <c r="I812">
        <v>54</v>
      </c>
      <c r="J812">
        <v>61</v>
      </c>
      <c r="K812">
        <v>61</v>
      </c>
      <c r="L812">
        <v>62</v>
      </c>
      <c r="M812" s="2">
        <v>653.16</v>
      </c>
      <c r="N812">
        <v>7</v>
      </c>
      <c r="O812">
        <v>6</v>
      </c>
      <c r="P812" t="s">
        <v>33</v>
      </c>
      <c r="Q812" t="s">
        <v>34</v>
      </c>
      <c r="R812" t="s">
        <v>43</v>
      </c>
      <c r="S812" s="2">
        <f t="shared" si="12"/>
        <v>39842.759999999995</v>
      </c>
    </row>
    <row r="813" spans="1:19" x14ac:dyDescent="0.3">
      <c r="A813" t="s">
        <v>874</v>
      </c>
      <c r="B813" s="1">
        <v>46178</v>
      </c>
      <c r="C813" t="s">
        <v>19</v>
      </c>
      <c r="D813" t="s">
        <v>20</v>
      </c>
      <c r="E813" t="s">
        <v>75</v>
      </c>
      <c r="F813" t="s">
        <v>37</v>
      </c>
      <c r="G813" t="s">
        <v>38</v>
      </c>
      <c r="H813">
        <v>94</v>
      </c>
      <c r="I813">
        <v>56</v>
      </c>
      <c r="J813">
        <v>75</v>
      </c>
      <c r="K813">
        <v>75</v>
      </c>
      <c r="L813">
        <v>62</v>
      </c>
      <c r="M813" s="2">
        <v>1947.05</v>
      </c>
      <c r="N813">
        <v>5</v>
      </c>
      <c r="O813">
        <v>0</v>
      </c>
      <c r="P813" t="s">
        <v>24</v>
      </c>
      <c r="Q813" t="s">
        <v>34</v>
      </c>
      <c r="R813" t="s">
        <v>26</v>
      </c>
      <c r="S813" s="2">
        <f t="shared" si="12"/>
        <v>146028.75</v>
      </c>
    </row>
    <row r="814" spans="1:19" x14ac:dyDescent="0.3">
      <c r="A814" t="s">
        <v>875</v>
      </c>
      <c r="B814" s="1">
        <v>46130</v>
      </c>
      <c r="C814" t="s">
        <v>19</v>
      </c>
      <c r="D814" t="s">
        <v>20</v>
      </c>
      <c r="E814" t="s">
        <v>75</v>
      </c>
      <c r="F814" t="s">
        <v>22</v>
      </c>
      <c r="G814" t="s">
        <v>23</v>
      </c>
      <c r="H814">
        <v>124</v>
      </c>
      <c r="I814">
        <v>66</v>
      </c>
      <c r="J814">
        <v>109</v>
      </c>
      <c r="K814">
        <v>81</v>
      </c>
      <c r="L814">
        <v>96</v>
      </c>
      <c r="M814" s="2">
        <v>1750.1</v>
      </c>
      <c r="N814">
        <v>12</v>
      </c>
      <c r="O814">
        <v>8</v>
      </c>
      <c r="P814" t="s">
        <v>24</v>
      </c>
      <c r="Q814" t="s">
        <v>34</v>
      </c>
      <c r="R814" t="s">
        <v>26</v>
      </c>
      <c r="S814" s="2">
        <f t="shared" si="12"/>
        <v>141758.1</v>
      </c>
    </row>
    <row r="815" spans="1:19" x14ac:dyDescent="0.3">
      <c r="A815" t="s">
        <v>876</v>
      </c>
      <c r="B815" s="1">
        <v>46251</v>
      </c>
      <c r="C815" t="s">
        <v>68</v>
      </c>
      <c r="D815" t="s">
        <v>53</v>
      </c>
      <c r="E815" t="s">
        <v>75</v>
      </c>
      <c r="F815" t="s">
        <v>31</v>
      </c>
      <c r="G815" t="s">
        <v>32</v>
      </c>
      <c r="H815">
        <v>73</v>
      </c>
      <c r="I815">
        <v>100</v>
      </c>
      <c r="J815">
        <v>110</v>
      </c>
      <c r="K815">
        <v>63</v>
      </c>
      <c r="L815">
        <v>83</v>
      </c>
      <c r="M815" s="2">
        <v>554.44000000000005</v>
      </c>
      <c r="N815">
        <v>6</v>
      </c>
      <c r="O815">
        <v>4</v>
      </c>
      <c r="P815" t="s">
        <v>33</v>
      </c>
      <c r="Q815" t="s">
        <v>34</v>
      </c>
      <c r="R815" t="s">
        <v>26</v>
      </c>
      <c r="S815" s="2">
        <f t="shared" si="12"/>
        <v>34929.72</v>
      </c>
    </row>
    <row r="816" spans="1:19" x14ac:dyDescent="0.3">
      <c r="A816" t="s">
        <v>877</v>
      </c>
      <c r="B816" s="1">
        <v>46237</v>
      </c>
      <c r="C816" t="s">
        <v>19</v>
      </c>
      <c r="D816" t="s">
        <v>20</v>
      </c>
      <c r="E816" t="s">
        <v>30</v>
      </c>
      <c r="F816" t="s">
        <v>37</v>
      </c>
      <c r="G816" t="s">
        <v>38</v>
      </c>
      <c r="H816">
        <v>117</v>
      </c>
      <c r="I816">
        <v>112</v>
      </c>
      <c r="J816">
        <v>75</v>
      </c>
      <c r="K816">
        <v>154</v>
      </c>
      <c r="L816">
        <v>93</v>
      </c>
      <c r="M816" s="2">
        <v>1692.72</v>
      </c>
      <c r="N816">
        <v>7</v>
      </c>
      <c r="O816">
        <v>0</v>
      </c>
      <c r="P816" t="s">
        <v>24</v>
      </c>
      <c r="Q816" t="s">
        <v>34</v>
      </c>
      <c r="R816" t="s">
        <v>26</v>
      </c>
      <c r="S816" s="2">
        <f t="shared" si="12"/>
        <v>260678.88</v>
      </c>
    </row>
    <row r="817" spans="1:19" x14ac:dyDescent="0.3">
      <c r="A817" t="s">
        <v>878</v>
      </c>
      <c r="B817" s="1">
        <v>46280</v>
      </c>
      <c r="C817" t="s">
        <v>52</v>
      </c>
      <c r="D817" t="s">
        <v>53</v>
      </c>
      <c r="E817" t="s">
        <v>30</v>
      </c>
      <c r="F817" t="s">
        <v>37</v>
      </c>
      <c r="G817" t="s">
        <v>38</v>
      </c>
      <c r="H817">
        <v>133</v>
      </c>
      <c r="I817">
        <v>77</v>
      </c>
      <c r="J817">
        <v>95</v>
      </c>
      <c r="K817">
        <v>115</v>
      </c>
      <c r="L817">
        <v>90</v>
      </c>
      <c r="M817" s="2">
        <v>600.27</v>
      </c>
      <c r="N817">
        <v>5</v>
      </c>
      <c r="O817">
        <v>0</v>
      </c>
      <c r="P817" t="s">
        <v>24</v>
      </c>
      <c r="Q817" t="s">
        <v>34</v>
      </c>
      <c r="R817" t="s">
        <v>26</v>
      </c>
      <c r="S817" s="2">
        <f t="shared" si="12"/>
        <v>69031.05</v>
      </c>
    </row>
    <row r="818" spans="1:19" x14ac:dyDescent="0.3">
      <c r="A818" t="s">
        <v>879</v>
      </c>
      <c r="B818" s="1">
        <v>46226</v>
      </c>
      <c r="C818" t="s">
        <v>98</v>
      </c>
      <c r="D818" t="s">
        <v>20</v>
      </c>
      <c r="E818" t="s">
        <v>30</v>
      </c>
      <c r="F818" t="s">
        <v>37</v>
      </c>
      <c r="G818" t="s">
        <v>38</v>
      </c>
      <c r="H818">
        <v>218</v>
      </c>
      <c r="I818">
        <v>36</v>
      </c>
      <c r="J818">
        <v>52</v>
      </c>
      <c r="K818">
        <v>202</v>
      </c>
      <c r="L818">
        <v>47</v>
      </c>
      <c r="M818" s="2">
        <v>1527.62</v>
      </c>
      <c r="N818">
        <v>2</v>
      </c>
      <c r="O818">
        <v>0</v>
      </c>
      <c r="P818" t="s">
        <v>33</v>
      </c>
      <c r="Q818" t="s">
        <v>47</v>
      </c>
      <c r="R818" t="s">
        <v>59</v>
      </c>
      <c r="S818" s="2">
        <f t="shared" si="12"/>
        <v>308579.24</v>
      </c>
    </row>
    <row r="819" spans="1:19" x14ac:dyDescent="0.3">
      <c r="A819" t="s">
        <v>880</v>
      </c>
      <c r="B819" s="1">
        <v>46104</v>
      </c>
      <c r="C819" t="s">
        <v>57</v>
      </c>
      <c r="D819" t="s">
        <v>50</v>
      </c>
      <c r="E819" t="s">
        <v>42</v>
      </c>
      <c r="F819" t="s">
        <v>1582</v>
      </c>
      <c r="G819" t="s">
        <v>1583</v>
      </c>
      <c r="H819">
        <v>170</v>
      </c>
      <c r="I819">
        <v>69</v>
      </c>
      <c r="J819">
        <v>86</v>
      </c>
      <c r="K819">
        <v>153</v>
      </c>
      <c r="L819">
        <v>94</v>
      </c>
      <c r="M819" s="2">
        <v>2738.54</v>
      </c>
      <c r="N819">
        <v>6</v>
      </c>
      <c r="O819">
        <v>0</v>
      </c>
      <c r="P819" t="s">
        <v>33</v>
      </c>
      <c r="Q819" t="s">
        <v>34</v>
      </c>
      <c r="R819" t="s">
        <v>26</v>
      </c>
      <c r="S819" s="2">
        <f t="shared" si="12"/>
        <v>418996.62</v>
      </c>
    </row>
    <row r="820" spans="1:19" x14ac:dyDescent="0.3">
      <c r="A820" t="s">
        <v>881</v>
      </c>
      <c r="B820" s="1">
        <v>46385</v>
      </c>
      <c r="C820" t="s">
        <v>87</v>
      </c>
      <c r="D820" t="s">
        <v>53</v>
      </c>
      <c r="E820" t="s">
        <v>30</v>
      </c>
      <c r="F820" t="s">
        <v>31</v>
      </c>
      <c r="G820" t="s">
        <v>32</v>
      </c>
      <c r="H820">
        <v>171</v>
      </c>
      <c r="I820">
        <v>78</v>
      </c>
      <c r="J820">
        <v>79</v>
      </c>
      <c r="K820">
        <v>170</v>
      </c>
      <c r="L820">
        <v>90</v>
      </c>
      <c r="M820" s="2">
        <v>469.85</v>
      </c>
      <c r="N820">
        <v>4</v>
      </c>
      <c r="O820">
        <v>0</v>
      </c>
      <c r="P820" t="s">
        <v>33</v>
      </c>
      <c r="Q820" t="s">
        <v>34</v>
      </c>
      <c r="R820" t="s">
        <v>26</v>
      </c>
      <c r="S820" s="2">
        <f t="shared" si="12"/>
        <v>79874.5</v>
      </c>
    </row>
    <row r="821" spans="1:19" x14ac:dyDescent="0.3">
      <c r="A821" t="s">
        <v>882</v>
      </c>
      <c r="B821" s="1">
        <v>46091</v>
      </c>
      <c r="C821" t="s">
        <v>109</v>
      </c>
      <c r="D821" t="s">
        <v>46</v>
      </c>
      <c r="E821" t="s">
        <v>42</v>
      </c>
      <c r="F821" t="s">
        <v>22</v>
      </c>
      <c r="G821" t="s">
        <v>23</v>
      </c>
      <c r="H821">
        <v>51</v>
      </c>
      <c r="I821">
        <v>88</v>
      </c>
      <c r="J821">
        <v>45</v>
      </c>
      <c r="K821">
        <v>94</v>
      </c>
      <c r="L821">
        <v>63</v>
      </c>
      <c r="M821" s="2">
        <v>2905.02</v>
      </c>
      <c r="N821">
        <v>3</v>
      </c>
      <c r="O821">
        <v>0</v>
      </c>
      <c r="P821" t="s">
        <v>33</v>
      </c>
      <c r="Q821" t="s">
        <v>34</v>
      </c>
      <c r="R821" t="s">
        <v>26</v>
      </c>
      <c r="S821" s="2">
        <f t="shared" si="12"/>
        <v>273071.88</v>
      </c>
    </row>
    <row r="822" spans="1:19" x14ac:dyDescent="0.3">
      <c r="A822" t="s">
        <v>883</v>
      </c>
      <c r="B822" s="1">
        <v>46384</v>
      </c>
      <c r="C822" t="s">
        <v>109</v>
      </c>
      <c r="D822" t="s">
        <v>46</v>
      </c>
      <c r="E822" t="s">
        <v>42</v>
      </c>
      <c r="F822" t="s">
        <v>22</v>
      </c>
      <c r="G822" t="s">
        <v>23</v>
      </c>
      <c r="H822">
        <v>176</v>
      </c>
      <c r="I822">
        <v>34</v>
      </c>
      <c r="J822">
        <v>15</v>
      </c>
      <c r="K822">
        <v>195</v>
      </c>
      <c r="L822">
        <v>86</v>
      </c>
      <c r="M822" s="2">
        <v>3102.38</v>
      </c>
      <c r="N822">
        <v>6</v>
      </c>
      <c r="O822">
        <v>0</v>
      </c>
      <c r="P822" t="s">
        <v>33</v>
      </c>
      <c r="Q822" t="s">
        <v>47</v>
      </c>
      <c r="R822" t="s">
        <v>26</v>
      </c>
      <c r="S822" s="2">
        <f t="shared" si="12"/>
        <v>604964.1</v>
      </c>
    </row>
    <row r="823" spans="1:19" x14ac:dyDescent="0.3">
      <c r="A823" t="s">
        <v>884</v>
      </c>
      <c r="B823" s="1">
        <v>46166</v>
      </c>
      <c r="C823" t="s">
        <v>52</v>
      </c>
      <c r="D823" t="s">
        <v>53</v>
      </c>
      <c r="E823" t="s">
        <v>42</v>
      </c>
      <c r="F823" t="s">
        <v>1582</v>
      </c>
      <c r="G823" t="s">
        <v>1583</v>
      </c>
      <c r="H823">
        <v>196</v>
      </c>
      <c r="I823">
        <v>57</v>
      </c>
      <c r="J823">
        <v>56</v>
      </c>
      <c r="K823">
        <v>197</v>
      </c>
      <c r="L823">
        <v>48</v>
      </c>
      <c r="M823" s="2">
        <v>666.37</v>
      </c>
      <c r="N823">
        <v>2</v>
      </c>
      <c r="O823">
        <v>0</v>
      </c>
      <c r="P823" t="s">
        <v>33</v>
      </c>
      <c r="Q823" t="s">
        <v>47</v>
      </c>
      <c r="R823" t="s">
        <v>26</v>
      </c>
      <c r="S823" s="2">
        <f t="shared" si="12"/>
        <v>131274.89000000001</v>
      </c>
    </row>
    <row r="824" spans="1:19" x14ac:dyDescent="0.3">
      <c r="A824" t="s">
        <v>885</v>
      </c>
      <c r="B824" s="1">
        <v>46249</v>
      </c>
      <c r="C824" t="s">
        <v>83</v>
      </c>
      <c r="D824" t="s">
        <v>29</v>
      </c>
      <c r="E824" t="s">
        <v>75</v>
      </c>
      <c r="F824" t="s">
        <v>31</v>
      </c>
      <c r="G824" t="s">
        <v>32</v>
      </c>
      <c r="H824">
        <v>216</v>
      </c>
      <c r="I824">
        <v>68</v>
      </c>
      <c r="J824">
        <v>98</v>
      </c>
      <c r="K824">
        <v>186</v>
      </c>
      <c r="L824">
        <v>61</v>
      </c>
      <c r="M824" s="2">
        <v>1718.41</v>
      </c>
      <c r="N824">
        <v>7</v>
      </c>
      <c r="O824">
        <v>0</v>
      </c>
      <c r="P824" t="s">
        <v>33</v>
      </c>
      <c r="Q824" t="s">
        <v>47</v>
      </c>
      <c r="R824" t="s">
        <v>26</v>
      </c>
      <c r="S824" s="2">
        <f t="shared" si="12"/>
        <v>319624.26</v>
      </c>
    </row>
    <row r="825" spans="1:19" x14ac:dyDescent="0.3">
      <c r="A825" t="s">
        <v>886</v>
      </c>
      <c r="B825" s="1">
        <v>46268</v>
      </c>
      <c r="C825" t="s">
        <v>83</v>
      </c>
      <c r="D825" t="s">
        <v>29</v>
      </c>
      <c r="E825" t="s">
        <v>21</v>
      </c>
      <c r="F825" t="s">
        <v>22</v>
      </c>
      <c r="G825" t="s">
        <v>23</v>
      </c>
      <c r="H825">
        <v>188</v>
      </c>
      <c r="I825">
        <v>100</v>
      </c>
      <c r="J825">
        <v>65</v>
      </c>
      <c r="K825">
        <v>223</v>
      </c>
      <c r="L825">
        <v>54</v>
      </c>
      <c r="M825" s="2">
        <v>1582.74</v>
      </c>
      <c r="N825">
        <v>7</v>
      </c>
      <c r="O825">
        <v>0</v>
      </c>
      <c r="P825" t="s">
        <v>33</v>
      </c>
      <c r="Q825" t="s">
        <v>47</v>
      </c>
      <c r="R825" t="s">
        <v>26</v>
      </c>
      <c r="S825" s="2">
        <f t="shared" si="12"/>
        <v>352951.02</v>
      </c>
    </row>
    <row r="826" spans="1:19" x14ac:dyDescent="0.3">
      <c r="A826" t="s">
        <v>887</v>
      </c>
      <c r="B826" s="1">
        <v>46181</v>
      </c>
      <c r="C826" t="s">
        <v>40</v>
      </c>
      <c r="D826" t="s">
        <v>20</v>
      </c>
      <c r="E826" t="s">
        <v>42</v>
      </c>
      <c r="F826" t="s">
        <v>1582</v>
      </c>
      <c r="G826" t="s">
        <v>1583</v>
      </c>
      <c r="H826">
        <v>87</v>
      </c>
      <c r="I826">
        <v>124</v>
      </c>
      <c r="J826">
        <v>37</v>
      </c>
      <c r="K826">
        <v>174</v>
      </c>
      <c r="L826">
        <v>57</v>
      </c>
      <c r="M826" s="2">
        <v>912.54</v>
      </c>
      <c r="N826">
        <v>7</v>
      </c>
      <c r="O826">
        <v>0</v>
      </c>
      <c r="P826" t="s">
        <v>33</v>
      </c>
      <c r="Q826" t="s">
        <v>47</v>
      </c>
      <c r="R826" t="s">
        <v>26</v>
      </c>
      <c r="S826" s="2">
        <f t="shared" si="12"/>
        <v>158781.96</v>
      </c>
    </row>
    <row r="827" spans="1:19" x14ac:dyDescent="0.3">
      <c r="A827" t="s">
        <v>888</v>
      </c>
      <c r="B827" s="1">
        <v>46093</v>
      </c>
      <c r="C827" t="s">
        <v>28</v>
      </c>
      <c r="D827" t="s">
        <v>29</v>
      </c>
      <c r="E827" t="s">
        <v>58</v>
      </c>
      <c r="F827" t="s">
        <v>22</v>
      </c>
      <c r="G827" t="s">
        <v>23</v>
      </c>
      <c r="H827">
        <v>57</v>
      </c>
      <c r="I827">
        <v>38</v>
      </c>
      <c r="J827">
        <v>24</v>
      </c>
      <c r="K827">
        <v>71</v>
      </c>
      <c r="L827">
        <v>72</v>
      </c>
      <c r="M827" s="2">
        <v>1233.77</v>
      </c>
      <c r="N827">
        <v>7</v>
      </c>
      <c r="O827">
        <v>2</v>
      </c>
      <c r="P827" t="s">
        <v>33</v>
      </c>
      <c r="Q827" t="s">
        <v>34</v>
      </c>
      <c r="R827" t="s">
        <v>59</v>
      </c>
      <c r="S827" s="2">
        <f t="shared" si="12"/>
        <v>87597.67</v>
      </c>
    </row>
    <row r="828" spans="1:19" x14ac:dyDescent="0.3">
      <c r="A828" t="s">
        <v>889</v>
      </c>
      <c r="B828" s="1">
        <v>46344</v>
      </c>
      <c r="C828" t="s">
        <v>19</v>
      </c>
      <c r="D828" t="s">
        <v>20</v>
      </c>
      <c r="E828" t="s">
        <v>58</v>
      </c>
      <c r="F828" t="s">
        <v>1582</v>
      </c>
      <c r="G828" t="s">
        <v>1583</v>
      </c>
      <c r="H828">
        <v>45</v>
      </c>
      <c r="I828">
        <v>34</v>
      </c>
      <c r="J828">
        <v>16</v>
      </c>
      <c r="K828">
        <v>63</v>
      </c>
      <c r="L828">
        <v>93</v>
      </c>
      <c r="M828" s="2">
        <v>1918.99</v>
      </c>
      <c r="N828">
        <v>2</v>
      </c>
      <c r="O828">
        <v>2</v>
      </c>
      <c r="P828" t="s">
        <v>24</v>
      </c>
      <c r="Q828" t="s">
        <v>34</v>
      </c>
      <c r="R828" t="s">
        <v>26</v>
      </c>
      <c r="S828" s="2">
        <f t="shared" si="12"/>
        <v>120896.37</v>
      </c>
    </row>
    <row r="829" spans="1:19" x14ac:dyDescent="0.3">
      <c r="A829" t="s">
        <v>890</v>
      </c>
      <c r="B829" s="1">
        <v>46250</v>
      </c>
      <c r="C829" t="s">
        <v>77</v>
      </c>
      <c r="D829" t="s">
        <v>53</v>
      </c>
      <c r="E829" t="s">
        <v>75</v>
      </c>
      <c r="F829" t="s">
        <v>31</v>
      </c>
      <c r="G829" t="s">
        <v>32</v>
      </c>
      <c r="H829">
        <v>178</v>
      </c>
      <c r="I829">
        <v>114</v>
      </c>
      <c r="J829">
        <v>58</v>
      </c>
      <c r="K829">
        <v>234</v>
      </c>
      <c r="L829">
        <v>99</v>
      </c>
      <c r="M829" s="2">
        <v>520.75</v>
      </c>
      <c r="N829">
        <v>3</v>
      </c>
      <c r="O829">
        <v>0</v>
      </c>
      <c r="P829" t="s">
        <v>24</v>
      </c>
      <c r="Q829" t="s">
        <v>47</v>
      </c>
      <c r="R829" t="s">
        <v>59</v>
      </c>
      <c r="S829" s="2">
        <f t="shared" si="12"/>
        <v>121855.5</v>
      </c>
    </row>
    <row r="830" spans="1:19" x14ac:dyDescent="0.3">
      <c r="A830" t="s">
        <v>891</v>
      </c>
      <c r="B830" s="1">
        <v>46045</v>
      </c>
      <c r="C830" t="s">
        <v>83</v>
      </c>
      <c r="D830" t="s">
        <v>29</v>
      </c>
      <c r="E830" t="s">
        <v>21</v>
      </c>
      <c r="F830" t="s">
        <v>1582</v>
      </c>
      <c r="G830" t="s">
        <v>1583</v>
      </c>
      <c r="H830">
        <v>79</v>
      </c>
      <c r="I830">
        <v>51</v>
      </c>
      <c r="J830">
        <v>22</v>
      </c>
      <c r="K830">
        <v>108</v>
      </c>
      <c r="L830">
        <v>79</v>
      </c>
      <c r="M830" s="2">
        <v>1661.45</v>
      </c>
      <c r="N830">
        <v>7</v>
      </c>
      <c r="O830">
        <v>0</v>
      </c>
      <c r="P830" t="s">
        <v>33</v>
      </c>
      <c r="Q830" t="s">
        <v>34</v>
      </c>
      <c r="R830" t="s">
        <v>26</v>
      </c>
      <c r="S830" s="2">
        <f t="shared" si="12"/>
        <v>179436.6</v>
      </c>
    </row>
    <row r="831" spans="1:19" x14ac:dyDescent="0.3">
      <c r="A831" t="s">
        <v>892</v>
      </c>
      <c r="B831" s="1">
        <v>46138</v>
      </c>
      <c r="C831" t="s">
        <v>89</v>
      </c>
      <c r="D831" t="s">
        <v>20</v>
      </c>
      <c r="E831" t="s">
        <v>75</v>
      </c>
      <c r="F831" t="s">
        <v>1582</v>
      </c>
      <c r="G831" t="s">
        <v>1583</v>
      </c>
      <c r="H831">
        <v>76</v>
      </c>
      <c r="I831">
        <v>20</v>
      </c>
      <c r="J831">
        <v>43</v>
      </c>
      <c r="K831">
        <v>53</v>
      </c>
      <c r="L831">
        <v>46</v>
      </c>
      <c r="M831" s="2">
        <v>1134.4000000000001</v>
      </c>
      <c r="N831">
        <v>5</v>
      </c>
      <c r="O831">
        <v>0</v>
      </c>
      <c r="P831" t="s">
        <v>24</v>
      </c>
      <c r="Q831" t="s">
        <v>34</v>
      </c>
      <c r="R831" t="s">
        <v>26</v>
      </c>
      <c r="S831" s="2">
        <f t="shared" si="12"/>
        <v>60123.200000000004</v>
      </c>
    </row>
    <row r="832" spans="1:19" x14ac:dyDescent="0.3">
      <c r="A832" t="s">
        <v>893</v>
      </c>
      <c r="B832" s="1">
        <v>46066</v>
      </c>
      <c r="C832" t="s">
        <v>57</v>
      </c>
      <c r="D832" t="s">
        <v>50</v>
      </c>
      <c r="E832" t="s">
        <v>58</v>
      </c>
      <c r="F832" t="s">
        <v>22</v>
      </c>
      <c r="G832" t="s">
        <v>23</v>
      </c>
      <c r="H832">
        <v>68</v>
      </c>
      <c r="I832">
        <v>48</v>
      </c>
      <c r="J832">
        <v>28</v>
      </c>
      <c r="K832">
        <v>88</v>
      </c>
      <c r="L832">
        <v>63</v>
      </c>
      <c r="M832" s="2">
        <v>2720.09</v>
      </c>
      <c r="N832">
        <v>6</v>
      </c>
      <c r="O832">
        <v>0</v>
      </c>
      <c r="P832" t="s">
        <v>33</v>
      </c>
      <c r="Q832" t="s">
        <v>34</v>
      </c>
      <c r="R832" t="s">
        <v>26</v>
      </c>
      <c r="S832" s="2">
        <f t="shared" si="12"/>
        <v>239367.92</v>
      </c>
    </row>
    <row r="833" spans="1:19" x14ac:dyDescent="0.3">
      <c r="A833" t="s">
        <v>894</v>
      </c>
      <c r="B833" s="1">
        <v>46342</v>
      </c>
      <c r="C833" t="s">
        <v>98</v>
      </c>
      <c r="D833" t="s">
        <v>20</v>
      </c>
      <c r="E833" t="s">
        <v>42</v>
      </c>
      <c r="F833" t="s">
        <v>1582</v>
      </c>
      <c r="G833" t="s">
        <v>1583</v>
      </c>
      <c r="H833">
        <v>175</v>
      </c>
      <c r="I833">
        <v>62</v>
      </c>
      <c r="J833">
        <v>91</v>
      </c>
      <c r="K833">
        <v>146</v>
      </c>
      <c r="L833">
        <v>56</v>
      </c>
      <c r="M833" s="2">
        <v>1450.24</v>
      </c>
      <c r="N833">
        <v>3</v>
      </c>
      <c r="O833">
        <v>0</v>
      </c>
      <c r="P833" t="s">
        <v>33</v>
      </c>
      <c r="Q833" t="s">
        <v>47</v>
      </c>
      <c r="R833" t="s">
        <v>59</v>
      </c>
      <c r="S833" s="2">
        <f t="shared" si="12"/>
        <v>211735.04000000001</v>
      </c>
    </row>
    <row r="834" spans="1:19" x14ac:dyDescent="0.3">
      <c r="A834" t="s">
        <v>895</v>
      </c>
      <c r="B834" s="1">
        <v>46099</v>
      </c>
      <c r="C834" t="s">
        <v>45</v>
      </c>
      <c r="D834" t="s">
        <v>46</v>
      </c>
      <c r="E834" t="s">
        <v>75</v>
      </c>
      <c r="F834" t="s">
        <v>37</v>
      </c>
      <c r="G834" t="s">
        <v>38</v>
      </c>
      <c r="H834">
        <v>167</v>
      </c>
      <c r="I834">
        <v>104</v>
      </c>
      <c r="J834">
        <v>62</v>
      </c>
      <c r="K834">
        <v>209</v>
      </c>
      <c r="L834">
        <v>61</v>
      </c>
      <c r="M834" s="2">
        <v>849.72</v>
      </c>
      <c r="N834">
        <v>7</v>
      </c>
      <c r="O834">
        <v>0</v>
      </c>
      <c r="P834" t="s">
        <v>33</v>
      </c>
      <c r="Q834" t="s">
        <v>47</v>
      </c>
      <c r="R834" t="s">
        <v>59</v>
      </c>
      <c r="S834" s="2">
        <f t="shared" ref="S834:S897" si="13">K834*M834</f>
        <v>177591.48</v>
      </c>
    </row>
    <row r="835" spans="1:19" x14ac:dyDescent="0.3">
      <c r="A835" t="s">
        <v>896</v>
      </c>
      <c r="B835" s="1">
        <v>46097</v>
      </c>
      <c r="C835" t="s">
        <v>83</v>
      </c>
      <c r="D835" t="s">
        <v>29</v>
      </c>
      <c r="E835" t="s">
        <v>42</v>
      </c>
      <c r="F835" t="s">
        <v>1582</v>
      </c>
      <c r="G835" t="s">
        <v>1583</v>
      </c>
      <c r="H835">
        <v>154</v>
      </c>
      <c r="I835">
        <v>112</v>
      </c>
      <c r="J835">
        <v>76</v>
      </c>
      <c r="K835">
        <v>190</v>
      </c>
      <c r="L835">
        <v>97</v>
      </c>
      <c r="M835" s="2">
        <v>1461.54</v>
      </c>
      <c r="N835">
        <v>6</v>
      </c>
      <c r="O835">
        <v>0</v>
      </c>
      <c r="P835" t="s">
        <v>33</v>
      </c>
      <c r="Q835" t="s">
        <v>34</v>
      </c>
      <c r="R835" t="s">
        <v>59</v>
      </c>
      <c r="S835" s="2">
        <f t="shared" si="13"/>
        <v>277692.59999999998</v>
      </c>
    </row>
    <row r="836" spans="1:19" x14ac:dyDescent="0.3">
      <c r="A836" t="s">
        <v>897</v>
      </c>
      <c r="B836" s="1">
        <v>46348</v>
      </c>
      <c r="C836" t="s">
        <v>89</v>
      </c>
      <c r="D836" t="s">
        <v>20</v>
      </c>
      <c r="E836" t="s">
        <v>42</v>
      </c>
      <c r="F836" t="s">
        <v>22</v>
      </c>
      <c r="G836" t="s">
        <v>23</v>
      </c>
      <c r="H836">
        <v>138</v>
      </c>
      <c r="I836">
        <v>65</v>
      </c>
      <c r="J836">
        <v>55</v>
      </c>
      <c r="K836">
        <v>148</v>
      </c>
      <c r="L836">
        <v>76</v>
      </c>
      <c r="M836" s="2">
        <v>1181.72</v>
      </c>
      <c r="N836">
        <v>7</v>
      </c>
      <c r="O836">
        <v>0</v>
      </c>
      <c r="P836" t="s">
        <v>33</v>
      </c>
      <c r="Q836" t="s">
        <v>34</v>
      </c>
      <c r="R836" t="s">
        <v>26</v>
      </c>
      <c r="S836" s="2">
        <f t="shared" si="13"/>
        <v>174894.56</v>
      </c>
    </row>
    <row r="837" spans="1:19" x14ac:dyDescent="0.3">
      <c r="A837" t="s">
        <v>898</v>
      </c>
      <c r="B837" s="1">
        <v>46065</v>
      </c>
      <c r="C837" t="s">
        <v>80</v>
      </c>
      <c r="D837" t="s">
        <v>46</v>
      </c>
      <c r="E837" t="s">
        <v>42</v>
      </c>
      <c r="F837" t="s">
        <v>1582</v>
      </c>
      <c r="G837" t="s">
        <v>1583</v>
      </c>
      <c r="H837">
        <v>147</v>
      </c>
      <c r="I837">
        <v>90</v>
      </c>
      <c r="J837">
        <v>78</v>
      </c>
      <c r="K837">
        <v>159</v>
      </c>
      <c r="L837">
        <v>79</v>
      </c>
      <c r="M837" s="2">
        <v>1107.43</v>
      </c>
      <c r="N837">
        <v>6</v>
      </c>
      <c r="O837">
        <v>0</v>
      </c>
      <c r="P837" t="s">
        <v>33</v>
      </c>
      <c r="Q837" t="s">
        <v>34</v>
      </c>
      <c r="R837" t="s">
        <v>26</v>
      </c>
      <c r="S837" s="2">
        <f t="shared" si="13"/>
        <v>176081.37000000002</v>
      </c>
    </row>
    <row r="838" spans="1:19" x14ac:dyDescent="0.3">
      <c r="A838" t="s">
        <v>899</v>
      </c>
      <c r="B838" s="1">
        <v>46091</v>
      </c>
      <c r="C838" t="s">
        <v>68</v>
      </c>
      <c r="D838" t="s">
        <v>53</v>
      </c>
      <c r="E838" t="s">
        <v>30</v>
      </c>
      <c r="F838" t="s">
        <v>22</v>
      </c>
      <c r="G838" t="s">
        <v>23</v>
      </c>
      <c r="H838">
        <v>219</v>
      </c>
      <c r="I838">
        <v>31</v>
      </c>
      <c r="J838">
        <v>45</v>
      </c>
      <c r="K838">
        <v>205</v>
      </c>
      <c r="L838">
        <v>68</v>
      </c>
      <c r="M838" s="2">
        <v>540.34</v>
      </c>
      <c r="N838">
        <v>8</v>
      </c>
      <c r="O838">
        <v>0</v>
      </c>
      <c r="P838" t="s">
        <v>24</v>
      </c>
      <c r="Q838" t="s">
        <v>47</v>
      </c>
      <c r="R838" t="s">
        <v>26</v>
      </c>
      <c r="S838" s="2">
        <f t="shared" si="13"/>
        <v>110769.70000000001</v>
      </c>
    </row>
    <row r="839" spans="1:19" x14ac:dyDescent="0.3">
      <c r="A839" t="s">
        <v>900</v>
      </c>
      <c r="B839" s="1">
        <v>46147</v>
      </c>
      <c r="C839" t="s">
        <v>19</v>
      </c>
      <c r="D839" t="s">
        <v>20</v>
      </c>
      <c r="E839" t="s">
        <v>21</v>
      </c>
      <c r="F839" t="s">
        <v>37</v>
      </c>
      <c r="G839" t="s">
        <v>38</v>
      </c>
      <c r="H839">
        <v>75</v>
      </c>
      <c r="I839">
        <v>57</v>
      </c>
      <c r="J839">
        <v>73</v>
      </c>
      <c r="K839">
        <v>59</v>
      </c>
      <c r="L839">
        <v>54</v>
      </c>
      <c r="M839" s="2">
        <v>1920.69</v>
      </c>
      <c r="N839">
        <v>6</v>
      </c>
      <c r="O839">
        <v>0</v>
      </c>
      <c r="P839" t="s">
        <v>33</v>
      </c>
      <c r="Q839" t="s">
        <v>34</v>
      </c>
      <c r="R839" t="s">
        <v>43</v>
      </c>
      <c r="S839" s="2">
        <f t="shared" si="13"/>
        <v>113320.71</v>
      </c>
    </row>
    <row r="840" spans="1:19" x14ac:dyDescent="0.3">
      <c r="A840" t="s">
        <v>901</v>
      </c>
      <c r="B840" s="1">
        <v>46050</v>
      </c>
      <c r="C840" t="s">
        <v>28</v>
      </c>
      <c r="D840" t="s">
        <v>29</v>
      </c>
      <c r="E840" t="s">
        <v>75</v>
      </c>
      <c r="F840" t="s">
        <v>22</v>
      </c>
      <c r="G840" t="s">
        <v>23</v>
      </c>
      <c r="H840">
        <v>70</v>
      </c>
      <c r="I840">
        <v>109</v>
      </c>
      <c r="J840">
        <v>105</v>
      </c>
      <c r="K840">
        <v>74</v>
      </c>
      <c r="L840">
        <v>54</v>
      </c>
      <c r="M840" s="2">
        <v>1268.1400000000001</v>
      </c>
      <c r="N840">
        <v>2</v>
      </c>
      <c r="O840">
        <v>0</v>
      </c>
      <c r="P840" t="s">
        <v>33</v>
      </c>
      <c r="Q840" t="s">
        <v>34</v>
      </c>
      <c r="R840" t="s">
        <v>26</v>
      </c>
      <c r="S840" s="2">
        <f t="shared" si="13"/>
        <v>93842.36</v>
      </c>
    </row>
    <row r="841" spans="1:19" x14ac:dyDescent="0.3">
      <c r="A841" t="s">
        <v>902</v>
      </c>
      <c r="B841" s="1">
        <v>46116</v>
      </c>
      <c r="C841" t="s">
        <v>19</v>
      </c>
      <c r="D841" t="s">
        <v>20</v>
      </c>
      <c r="E841" t="s">
        <v>58</v>
      </c>
      <c r="F841" t="s">
        <v>22</v>
      </c>
      <c r="G841" t="s">
        <v>23</v>
      </c>
      <c r="H841">
        <v>47</v>
      </c>
      <c r="I841">
        <v>38</v>
      </c>
      <c r="J841">
        <v>61</v>
      </c>
      <c r="K841">
        <v>24</v>
      </c>
      <c r="L841">
        <v>54</v>
      </c>
      <c r="M841" s="2">
        <v>1648.44</v>
      </c>
      <c r="N841">
        <v>2</v>
      </c>
      <c r="O841">
        <v>7</v>
      </c>
      <c r="P841" t="s">
        <v>24</v>
      </c>
      <c r="Q841" t="s">
        <v>25</v>
      </c>
      <c r="R841" t="s">
        <v>26</v>
      </c>
      <c r="S841" s="2">
        <f t="shared" si="13"/>
        <v>39562.559999999998</v>
      </c>
    </row>
    <row r="842" spans="1:19" x14ac:dyDescent="0.3">
      <c r="A842" t="s">
        <v>903</v>
      </c>
      <c r="B842" s="1">
        <v>46102</v>
      </c>
      <c r="C842" t="s">
        <v>72</v>
      </c>
      <c r="D842" t="s">
        <v>50</v>
      </c>
      <c r="E842" t="s">
        <v>30</v>
      </c>
      <c r="F842" t="s">
        <v>37</v>
      </c>
      <c r="G842" t="s">
        <v>38</v>
      </c>
      <c r="H842">
        <v>160</v>
      </c>
      <c r="I842">
        <v>72</v>
      </c>
      <c r="J842">
        <v>107</v>
      </c>
      <c r="K842">
        <v>125</v>
      </c>
      <c r="L842">
        <v>66</v>
      </c>
      <c r="M842" s="2">
        <v>2175.35</v>
      </c>
      <c r="N842">
        <v>7</v>
      </c>
      <c r="O842">
        <v>0</v>
      </c>
      <c r="P842" t="s">
        <v>33</v>
      </c>
      <c r="Q842" t="s">
        <v>34</v>
      </c>
      <c r="R842" t="s">
        <v>26</v>
      </c>
      <c r="S842" s="2">
        <f t="shared" si="13"/>
        <v>271918.75</v>
      </c>
    </row>
    <row r="843" spans="1:19" x14ac:dyDescent="0.3">
      <c r="A843" t="s">
        <v>904</v>
      </c>
      <c r="B843" s="1">
        <v>46387</v>
      </c>
      <c r="C843" t="s">
        <v>19</v>
      </c>
      <c r="D843" t="s">
        <v>20</v>
      </c>
      <c r="E843" t="s">
        <v>30</v>
      </c>
      <c r="F843" t="s">
        <v>22</v>
      </c>
      <c r="G843" t="s">
        <v>23</v>
      </c>
      <c r="H843">
        <v>168</v>
      </c>
      <c r="I843">
        <v>40</v>
      </c>
      <c r="J843">
        <v>16</v>
      </c>
      <c r="K843">
        <v>192</v>
      </c>
      <c r="L843">
        <v>70</v>
      </c>
      <c r="M843" s="2">
        <v>1919.76</v>
      </c>
      <c r="N843">
        <v>7</v>
      </c>
      <c r="O843">
        <v>0</v>
      </c>
      <c r="P843" t="s">
        <v>33</v>
      </c>
      <c r="Q843" t="s">
        <v>47</v>
      </c>
      <c r="R843" t="s">
        <v>26</v>
      </c>
      <c r="S843" s="2">
        <f t="shared" si="13"/>
        <v>368593.91999999998</v>
      </c>
    </row>
    <row r="844" spans="1:19" x14ac:dyDescent="0.3">
      <c r="A844" t="s">
        <v>905</v>
      </c>
      <c r="B844" s="1">
        <v>46051</v>
      </c>
      <c r="C844" t="s">
        <v>45</v>
      </c>
      <c r="D844" t="s">
        <v>46</v>
      </c>
      <c r="E844" t="s">
        <v>42</v>
      </c>
      <c r="F844" t="s">
        <v>1582</v>
      </c>
      <c r="G844" t="s">
        <v>1583</v>
      </c>
      <c r="H844">
        <v>80</v>
      </c>
      <c r="I844">
        <v>54</v>
      </c>
      <c r="J844">
        <v>26</v>
      </c>
      <c r="K844">
        <v>108</v>
      </c>
      <c r="L844">
        <v>78</v>
      </c>
      <c r="M844" s="2">
        <v>780.41</v>
      </c>
      <c r="N844">
        <v>3</v>
      </c>
      <c r="O844">
        <v>0</v>
      </c>
      <c r="P844" t="s">
        <v>33</v>
      </c>
      <c r="Q844" t="s">
        <v>34</v>
      </c>
      <c r="R844" t="s">
        <v>26</v>
      </c>
      <c r="S844" s="2">
        <f t="shared" si="13"/>
        <v>84284.28</v>
      </c>
    </row>
    <row r="845" spans="1:19" x14ac:dyDescent="0.3">
      <c r="A845" t="s">
        <v>906</v>
      </c>
      <c r="B845" s="1">
        <v>46213</v>
      </c>
      <c r="C845" t="s">
        <v>36</v>
      </c>
      <c r="D845" t="s">
        <v>29</v>
      </c>
      <c r="E845" t="s">
        <v>42</v>
      </c>
      <c r="F845" t="s">
        <v>31</v>
      </c>
      <c r="G845" t="s">
        <v>32</v>
      </c>
      <c r="H845">
        <v>217</v>
      </c>
      <c r="I845">
        <v>79</v>
      </c>
      <c r="J845">
        <v>76</v>
      </c>
      <c r="K845">
        <v>220</v>
      </c>
      <c r="L845">
        <v>65</v>
      </c>
      <c r="M845" s="2">
        <v>2473.3000000000002</v>
      </c>
      <c r="N845">
        <v>5</v>
      </c>
      <c r="O845">
        <v>0</v>
      </c>
      <c r="P845" t="s">
        <v>33</v>
      </c>
      <c r="Q845" t="s">
        <v>47</v>
      </c>
      <c r="R845" t="s">
        <v>26</v>
      </c>
      <c r="S845" s="2">
        <f t="shared" si="13"/>
        <v>544126</v>
      </c>
    </row>
    <row r="846" spans="1:19" x14ac:dyDescent="0.3">
      <c r="A846" t="s">
        <v>907</v>
      </c>
      <c r="B846" s="1">
        <v>46077</v>
      </c>
      <c r="C846" t="s">
        <v>72</v>
      </c>
      <c r="D846" t="s">
        <v>50</v>
      </c>
      <c r="E846" t="s">
        <v>21</v>
      </c>
      <c r="F846" t="s">
        <v>31</v>
      </c>
      <c r="G846" t="s">
        <v>32</v>
      </c>
      <c r="H846">
        <v>66</v>
      </c>
      <c r="I846">
        <v>29</v>
      </c>
      <c r="J846">
        <v>61</v>
      </c>
      <c r="K846">
        <v>34</v>
      </c>
      <c r="L846">
        <v>83</v>
      </c>
      <c r="M846" s="2">
        <v>2322.67</v>
      </c>
      <c r="N846">
        <v>4</v>
      </c>
      <c r="O846">
        <v>5</v>
      </c>
      <c r="P846" t="s">
        <v>24</v>
      </c>
      <c r="Q846" t="s">
        <v>25</v>
      </c>
      <c r="R846" t="s">
        <v>26</v>
      </c>
      <c r="S846" s="2">
        <f t="shared" si="13"/>
        <v>78970.78</v>
      </c>
    </row>
    <row r="847" spans="1:19" x14ac:dyDescent="0.3">
      <c r="A847" t="s">
        <v>908</v>
      </c>
      <c r="B847" s="1">
        <v>46314</v>
      </c>
      <c r="C847" t="s">
        <v>98</v>
      </c>
      <c r="D847" t="s">
        <v>20</v>
      </c>
      <c r="E847" t="s">
        <v>30</v>
      </c>
      <c r="F847" t="s">
        <v>31</v>
      </c>
      <c r="G847" t="s">
        <v>32</v>
      </c>
      <c r="H847">
        <v>119</v>
      </c>
      <c r="I847">
        <v>44</v>
      </c>
      <c r="J847">
        <v>85</v>
      </c>
      <c r="K847">
        <v>78</v>
      </c>
      <c r="L847">
        <v>57</v>
      </c>
      <c r="M847" s="2">
        <v>1438.75</v>
      </c>
      <c r="N847">
        <v>2</v>
      </c>
      <c r="O847">
        <v>0</v>
      </c>
      <c r="P847" t="s">
        <v>33</v>
      </c>
      <c r="Q847" t="s">
        <v>34</v>
      </c>
      <c r="R847" t="s">
        <v>26</v>
      </c>
      <c r="S847" s="2">
        <f t="shared" si="13"/>
        <v>112222.5</v>
      </c>
    </row>
    <row r="848" spans="1:19" x14ac:dyDescent="0.3">
      <c r="A848" t="s">
        <v>909</v>
      </c>
      <c r="B848" s="1">
        <v>46279</v>
      </c>
      <c r="C848" t="s">
        <v>77</v>
      </c>
      <c r="D848" t="s">
        <v>53</v>
      </c>
      <c r="E848" t="s">
        <v>30</v>
      </c>
      <c r="F848" t="s">
        <v>1582</v>
      </c>
      <c r="G848" t="s">
        <v>1583</v>
      </c>
      <c r="H848">
        <v>51</v>
      </c>
      <c r="I848">
        <v>26</v>
      </c>
      <c r="J848">
        <v>55</v>
      </c>
      <c r="K848">
        <v>22</v>
      </c>
      <c r="L848">
        <v>50</v>
      </c>
      <c r="M848" s="2">
        <v>544.35</v>
      </c>
      <c r="N848">
        <v>2</v>
      </c>
      <c r="O848">
        <v>5</v>
      </c>
      <c r="P848" t="s">
        <v>33</v>
      </c>
      <c r="Q848" t="s">
        <v>25</v>
      </c>
      <c r="R848" t="s">
        <v>81</v>
      </c>
      <c r="S848" s="2">
        <f t="shared" si="13"/>
        <v>11975.7</v>
      </c>
    </row>
    <row r="849" spans="1:19" x14ac:dyDescent="0.3">
      <c r="A849" t="s">
        <v>910</v>
      </c>
      <c r="B849" s="1">
        <v>46099</v>
      </c>
      <c r="C849" t="s">
        <v>83</v>
      </c>
      <c r="D849" t="s">
        <v>29</v>
      </c>
      <c r="E849" t="s">
        <v>58</v>
      </c>
      <c r="F849" t="s">
        <v>37</v>
      </c>
      <c r="G849" t="s">
        <v>38</v>
      </c>
      <c r="H849">
        <v>73</v>
      </c>
      <c r="I849">
        <v>109</v>
      </c>
      <c r="J849">
        <v>101</v>
      </c>
      <c r="K849">
        <v>81</v>
      </c>
      <c r="L849">
        <v>51</v>
      </c>
      <c r="M849" s="2">
        <v>1546.02</v>
      </c>
      <c r="N849">
        <v>7</v>
      </c>
      <c r="O849">
        <v>0</v>
      </c>
      <c r="P849" t="s">
        <v>33</v>
      </c>
      <c r="Q849" t="s">
        <v>34</v>
      </c>
      <c r="R849" t="s">
        <v>26</v>
      </c>
      <c r="S849" s="2">
        <f t="shared" si="13"/>
        <v>125227.62</v>
      </c>
    </row>
    <row r="850" spans="1:19" x14ac:dyDescent="0.3">
      <c r="A850" t="s">
        <v>911</v>
      </c>
      <c r="B850" s="1">
        <v>46133</v>
      </c>
      <c r="C850" t="s">
        <v>40</v>
      </c>
      <c r="D850" t="s">
        <v>20</v>
      </c>
      <c r="E850" t="s">
        <v>58</v>
      </c>
      <c r="F850" t="s">
        <v>31</v>
      </c>
      <c r="G850" t="s">
        <v>32</v>
      </c>
      <c r="H850">
        <v>114</v>
      </c>
      <c r="I850">
        <v>40</v>
      </c>
      <c r="J850">
        <v>34</v>
      </c>
      <c r="K850">
        <v>120</v>
      </c>
      <c r="L850">
        <v>88</v>
      </c>
      <c r="M850" s="2">
        <v>893.36</v>
      </c>
      <c r="N850">
        <v>7</v>
      </c>
      <c r="O850">
        <v>0</v>
      </c>
      <c r="P850" t="s">
        <v>24</v>
      </c>
      <c r="Q850" t="s">
        <v>34</v>
      </c>
      <c r="R850" t="s">
        <v>59</v>
      </c>
      <c r="S850" s="2">
        <f t="shared" si="13"/>
        <v>107203.2</v>
      </c>
    </row>
    <row r="851" spans="1:19" x14ac:dyDescent="0.3">
      <c r="A851" t="s">
        <v>912</v>
      </c>
      <c r="B851" s="1">
        <v>46387</v>
      </c>
      <c r="C851" t="s">
        <v>28</v>
      </c>
      <c r="D851" t="s">
        <v>29</v>
      </c>
      <c r="E851" t="s">
        <v>30</v>
      </c>
      <c r="F851" t="s">
        <v>37</v>
      </c>
      <c r="G851" t="s">
        <v>38</v>
      </c>
      <c r="H851">
        <v>154</v>
      </c>
      <c r="I851">
        <v>120</v>
      </c>
      <c r="J851">
        <v>31</v>
      </c>
      <c r="K851">
        <v>243</v>
      </c>
      <c r="L851">
        <v>66</v>
      </c>
      <c r="M851" s="2">
        <v>1245.6199999999999</v>
      </c>
      <c r="N851">
        <v>6</v>
      </c>
      <c r="O851">
        <v>0</v>
      </c>
      <c r="P851" t="s">
        <v>33</v>
      </c>
      <c r="Q851" t="s">
        <v>47</v>
      </c>
      <c r="R851" t="s">
        <v>26</v>
      </c>
      <c r="S851" s="2">
        <f t="shared" si="13"/>
        <v>302685.65999999997</v>
      </c>
    </row>
    <row r="852" spans="1:19" x14ac:dyDescent="0.3">
      <c r="A852" t="s">
        <v>913</v>
      </c>
      <c r="B852" s="1">
        <v>46255</v>
      </c>
      <c r="C852" t="s">
        <v>72</v>
      </c>
      <c r="D852" t="s">
        <v>50</v>
      </c>
      <c r="E852" t="s">
        <v>42</v>
      </c>
      <c r="F852" t="s">
        <v>31</v>
      </c>
      <c r="G852" t="s">
        <v>32</v>
      </c>
      <c r="H852">
        <v>79</v>
      </c>
      <c r="I852">
        <v>92</v>
      </c>
      <c r="J852">
        <v>95</v>
      </c>
      <c r="K852">
        <v>76</v>
      </c>
      <c r="L852">
        <v>76</v>
      </c>
      <c r="M852" s="2">
        <v>2022.86</v>
      </c>
      <c r="N852">
        <v>4</v>
      </c>
      <c r="O852">
        <v>6</v>
      </c>
      <c r="P852" t="s">
        <v>33</v>
      </c>
      <c r="Q852" t="s">
        <v>34</v>
      </c>
      <c r="R852" t="s">
        <v>26</v>
      </c>
      <c r="S852" s="2">
        <f t="shared" si="13"/>
        <v>153737.35999999999</v>
      </c>
    </row>
    <row r="853" spans="1:19" x14ac:dyDescent="0.3">
      <c r="A853" t="s">
        <v>914</v>
      </c>
      <c r="B853" s="1">
        <v>46265</v>
      </c>
      <c r="C853" t="s">
        <v>80</v>
      </c>
      <c r="D853" t="s">
        <v>46</v>
      </c>
      <c r="E853" t="s">
        <v>21</v>
      </c>
      <c r="F853" t="s">
        <v>22</v>
      </c>
      <c r="G853" t="s">
        <v>23</v>
      </c>
      <c r="H853">
        <v>57</v>
      </c>
      <c r="I853">
        <v>55</v>
      </c>
      <c r="J853">
        <v>88</v>
      </c>
      <c r="K853">
        <v>24</v>
      </c>
      <c r="L853">
        <v>68</v>
      </c>
      <c r="M853" s="2">
        <v>1067.74</v>
      </c>
      <c r="N853">
        <v>2</v>
      </c>
      <c r="O853">
        <v>8</v>
      </c>
      <c r="P853" t="s">
        <v>33</v>
      </c>
      <c r="Q853" t="s">
        <v>25</v>
      </c>
      <c r="R853" t="s">
        <v>26</v>
      </c>
      <c r="S853" s="2">
        <f t="shared" si="13"/>
        <v>25625.760000000002</v>
      </c>
    </row>
    <row r="854" spans="1:19" x14ac:dyDescent="0.3">
      <c r="A854" t="s">
        <v>915</v>
      </c>
      <c r="B854" s="1">
        <v>46371</v>
      </c>
      <c r="C854" t="s">
        <v>146</v>
      </c>
      <c r="D854" t="s">
        <v>46</v>
      </c>
      <c r="E854" t="s">
        <v>42</v>
      </c>
      <c r="F854" t="s">
        <v>31</v>
      </c>
      <c r="G854" t="s">
        <v>32</v>
      </c>
      <c r="H854">
        <v>185</v>
      </c>
      <c r="I854">
        <v>82</v>
      </c>
      <c r="J854">
        <v>20</v>
      </c>
      <c r="K854">
        <v>247</v>
      </c>
      <c r="L854">
        <v>68</v>
      </c>
      <c r="M854" s="2">
        <v>1607.7</v>
      </c>
      <c r="N854">
        <v>5</v>
      </c>
      <c r="O854">
        <v>0</v>
      </c>
      <c r="P854" t="s">
        <v>33</v>
      </c>
      <c r="Q854" t="s">
        <v>47</v>
      </c>
      <c r="R854" t="s">
        <v>26</v>
      </c>
      <c r="S854" s="2">
        <f t="shared" si="13"/>
        <v>397101.9</v>
      </c>
    </row>
    <row r="855" spans="1:19" x14ac:dyDescent="0.3">
      <c r="A855" t="s">
        <v>916</v>
      </c>
      <c r="B855" s="1">
        <v>46352</v>
      </c>
      <c r="C855" t="s">
        <v>36</v>
      </c>
      <c r="D855" t="s">
        <v>29</v>
      </c>
      <c r="E855" t="s">
        <v>21</v>
      </c>
      <c r="F855" t="s">
        <v>37</v>
      </c>
      <c r="G855" t="s">
        <v>38</v>
      </c>
      <c r="H855">
        <v>135</v>
      </c>
      <c r="I855">
        <v>30</v>
      </c>
      <c r="J855">
        <v>102</v>
      </c>
      <c r="K855">
        <v>63</v>
      </c>
      <c r="L855">
        <v>71</v>
      </c>
      <c r="M855" s="2">
        <v>2402.85</v>
      </c>
      <c r="N855">
        <v>4</v>
      </c>
      <c r="O855">
        <v>1</v>
      </c>
      <c r="P855" t="s">
        <v>33</v>
      </c>
      <c r="Q855" t="s">
        <v>34</v>
      </c>
      <c r="R855" t="s">
        <v>26</v>
      </c>
      <c r="S855" s="2">
        <f t="shared" si="13"/>
        <v>151379.54999999999</v>
      </c>
    </row>
    <row r="856" spans="1:19" x14ac:dyDescent="0.3">
      <c r="A856" t="s">
        <v>917</v>
      </c>
      <c r="B856" s="1">
        <v>46221</v>
      </c>
      <c r="C856" t="s">
        <v>98</v>
      </c>
      <c r="D856" t="s">
        <v>20</v>
      </c>
      <c r="E856" t="s">
        <v>30</v>
      </c>
      <c r="F856" t="s">
        <v>31</v>
      </c>
      <c r="G856" t="s">
        <v>32</v>
      </c>
      <c r="H856">
        <v>79</v>
      </c>
      <c r="I856">
        <v>129</v>
      </c>
      <c r="J856">
        <v>28</v>
      </c>
      <c r="K856">
        <v>180</v>
      </c>
      <c r="L856">
        <v>63</v>
      </c>
      <c r="M856" s="2">
        <v>1365.23</v>
      </c>
      <c r="N856">
        <v>6</v>
      </c>
      <c r="O856">
        <v>0</v>
      </c>
      <c r="P856" t="s">
        <v>33</v>
      </c>
      <c r="Q856" t="s">
        <v>47</v>
      </c>
      <c r="R856" t="s">
        <v>26</v>
      </c>
      <c r="S856" s="2">
        <f t="shared" si="13"/>
        <v>245741.4</v>
      </c>
    </row>
    <row r="857" spans="1:19" x14ac:dyDescent="0.3">
      <c r="A857" t="s">
        <v>918</v>
      </c>
      <c r="B857" s="1">
        <v>46226</v>
      </c>
      <c r="C857" t="s">
        <v>57</v>
      </c>
      <c r="D857" t="s">
        <v>50</v>
      </c>
      <c r="E857" t="s">
        <v>21</v>
      </c>
      <c r="F857" t="s">
        <v>1582</v>
      </c>
      <c r="G857" t="s">
        <v>1583</v>
      </c>
      <c r="H857">
        <v>159</v>
      </c>
      <c r="I857">
        <v>102</v>
      </c>
      <c r="J857">
        <v>83</v>
      </c>
      <c r="K857">
        <v>178</v>
      </c>
      <c r="L857">
        <v>97</v>
      </c>
      <c r="M857" s="2">
        <v>2780.32</v>
      </c>
      <c r="N857">
        <v>2</v>
      </c>
      <c r="O857">
        <v>0</v>
      </c>
      <c r="P857" t="s">
        <v>33</v>
      </c>
      <c r="Q857" t="s">
        <v>34</v>
      </c>
      <c r="R857" t="s">
        <v>26</v>
      </c>
      <c r="S857" s="2">
        <f t="shared" si="13"/>
        <v>494896.96</v>
      </c>
    </row>
    <row r="858" spans="1:19" x14ac:dyDescent="0.3">
      <c r="A858" t="s">
        <v>919</v>
      </c>
      <c r="B858" s="1">
        <v>46042</v>
      </c>
      <c r="C858" t="s">
        <v>72</v>
      </c>
      <c r="D858" t="s">
        <v>50</v>
      </c>
      <c r="E858" t="s">
        <v>58</v>
      </c>
      <c r="F858" t="s">
        <v>37</v>
      </c>
      <c r="G858" t="s">
        <v>38</v>
      </c>
      <c r="H858">
        <v>56</v>
      </c>
      <c r="I858">
        <v>60</v>
      </c>
      <c r="J858">
        <v>58</v>
      </c>
      <c r="K858">
        <v>58</v>
      </c>
      <c r="L858">
        <v>83</v>
      </c>
      <c r="M858" s="2">
        <v>2193.9699999999998</v>
      </c>
      <c r="N858">
        <v>7</v>
      </c>
      <c r="O858">
        <v>2</v>
      </c>
      <c r="P858" t="s">
        <v>33</v>
      </c>
      <c r="Q858" t="s">
        <v>34</v>
      </c>
      <c r="R858" t="s">
        <v>26</v>
      </c>
      <c r="S858" s="2">
        <f t="shared" si="13"/>
        <v>127250.26</v>
      </c>
    </row>
    <row r="859" spans="1:19" x14ac:dyDescent="0.3">
      <c r="A859" t="s">
        <v>920</v>
      </c>
      <c r="B859" s="1">
        <v>46208</v>
      </c>
      <c r="C859" t="s">
        <v>87</v>
      </c>
      <c r="D859" t="s">
        <v>53</v>
      </c>
      <c r="E859" t="s">
        <v>58</v>
      </c>
      <c r="F859" t="s">
        <v>22</v>
      </c>
      <c r="G859" t="s">
        <v>23</v>
      </c>
      <c r="H859">
        <v>203</v>
      </c>
      <c r="I859">
        <v>47</v>
      </c>
      <c r="J859">
        <v>55</v>
      </c>
      <c r="K859">
        <v>195</v>
      </c>
      <c r="L859">
        <v>81</v>
      </c>
      <c r="M859" s="2">
        <v>407.82</v>
      </c>
      <c r="N859">
        <v>6</v>
      </c>
      <c r="O859">
        <v>0</v>
      </c>
      <c r="P859" t="s">
        <v>33</v>
      </c>
      <c r="Q859" t="s">
        <v>47</v>
      </c>
      <c r="R859" t="s">
        <v>26</v>
      </c>
      <c r="S859" s="2">
        <f t="shared" si="13"/>
        <v>79524.899999999994</v>
      </c>
    </row>
    <row r="860" spans="1:19" x14ac:dyDescent="0.3">
      <c r="A860" t="s">
        <v>921</v>
      </c>
      <c r="B860" s="1">
        <v>46230</v>
      </c>
      <c r="C860" t="s">
        <v>55</v>
      </c>
      <c r="D860" t="s">
        <v>50</v>
      </c>
      <c r="E860" t="s">
        <v>42</v>
      </c>
      <c r="F860" t="s">
        <v>31</v>
      </c>
      <c r="G860" t="s">
        <v>32</v>
      </c>
      <c r="H860">
        <v>94</v>
      </c>
      <c r="I860">
        <v>22</v>
      </c>
      <c r="J860">
        <v>102</v>
      </c>
      <c r="K860">
        <v>14</v>
      </c>
      <c r="L860">
        <v>72</v>
      </c>
      <c r="M860" s="2">
        <v>953.97</v>
      </c>
      <c r="N860">
        <v>7</v>
      </c>
      <c r="O860">
        <v>3</v>
      </c>
      <c r="P860" t="s">
        <v>33</v>
      </c>
      <c r="Q860" t="s">
        <v>25</v>
      </c>
      <c r="R860" t="s">
        <v>26</v>
      </c>
      <c r="S860" s="2">
        <f t="shared" si="13"/>
        <v>13355.58</v>
      </c>
    </row>
    <row r="861" spans="1:19" x14ac:dyDescent="0.3">
      <c r="A861" t="s">
        <v>922</v>
      </c>
      <c r="B861" s="1">
        <v>46198</v>
      </c>
      <c r="C861" t="s">
        <v>89</v>
      </c>
      <c r="D861" t="s">
        <v>20</v>
      </c>
      <c r="E861" t="s">
        <v>58</v>
      </c>
      <c r="F861" t="s">
        <v>1582</v>
      </c>
      <c r="G861" t="s">
        <v>1583</v>
      </c>
      <c r="H861">
        <v>174</v>
      </c>
      <c r="I861">
        <v>47</v>
      </c>
      <c r="J861">
        <v>100</v>
      </c>
      <c r="K861">
        <v>121</v>
      </c>
      <c r="L861">
        <v>61</v>
      </c>
      <c r="M861" s="2">
        <v>1124.18</v>
      </c>
      <c r="N861">
        <v>2</v>
      </c>
      <c r="O861">
        <v>0</v>
      </c>
      <c r="P861" t="s">
        <v>24</v>
      </c>
      <c r="Q861" t="s">
        <v>34</v>
      </c>
      <c r="R861" t="s">
        <v>43</v>
      </c>
      <c r="S861" s="2">
        <f t="shared" si="13"/>
        <v>136025.78</v>
      </c>
    </row>
    <row r="862" spans="1:19" x14ac:dyDescent="0.3">
      <c r="A862" t="s">
        <v>923</v>
      </c>
      <c r="B862" s="1">
        <v>46377</v>
      </c>
      <c r="C862" t="s">
        <v>80</v>
      </c>
      <c r="D862" t="s">
        <v>46</v>
      </c>
      <c r="E862" t="s">
        <v>42</v>
      </c>
      <c r="F862" t="s">
        <v>37</v>
      </c>
      <c r="G862" t="s">
        <v>38</v>
      </c>
      <c r="H862">
        <v>147</v>
      </c>
      <c r="I862">
        <v>81</v>
      </c>
      <c r="J862">
        <v>75</v>
      </c>
      <c r="K862">
        <v>153</v>
      </c>
      <c r="L862">
        <v>79</v>
      </c>
      <c r="M862" s="2">
        <v>1141.54</v>
      </c>
      <c r="N862">
        <v>3</v>
      </c>
      <c r="O862">
        <v>0</v>
      </c>
      <c r="P862" t="s">
        <v>33</v>
      </c>
      <c r="Q862" t="s">
        <v>34</v>
      </c>
      <c r="R862" t="s">
        <v>26</v>
      </c>
      <c r="S862" s="2">
        <f t="shared" si="13"/>
        <v>174655.62</v>
      </c>
    </row>
    <row r="863" spans="1:19" x14ac:dyDescent="0.3">
      <c r="A863" t="s">
        <v>924</v>
      </c>
      <c r="B863" s="1">
        <v>46257</v>
      </c>
      <c r="C863" t="s">
        <v>68</v>
      </c>
      <c r="D863" t="s">
        <v>53</v>
      </c>
      <c r="E863" t="s">
        <v>75</v>
      </c>
      <c r="F863" t="s">
        <v>22</v>
      </c>
      <c r="G863" t="s">
        <v>23</v>
      </c>
      <c r="H863">
        <v>59</v>
      </c>
      <c r="I863">
        <v>112</v>
      </c>
      <c r="J863">
        <v>100</v>
      </c>
      <c r="K863">
        <v>71</v>
      </c>
      <c r="L863">
        <v>82</v>
      </c>
      <c r="M863" s="2">
        <v>613.98</v>
      </c>
      <c r="N863">
        <v>4</v>
      </c>
      <c r="O863">
        <v>6</v>
      </c>
      <c r="P863" t="s">
        <v>33</v>
      </c>
      <c r="Q863" t="s">
        <v>34</v>
      </c>
      <c r="R863" t="s">
        <v>26</v>
      </c>
      <c r="S863" s="2">
        <f t="shared" si="13"/>
        <v>43592.58</v>
      </c>
    </row>
    <row r="864" spans="1:19" x14ac:dyDescent="0.3">
      <c r="A864" t="s">
        <v>925</v>
      </c>
      <c r="B864" s="1">
        <v>46347</v>
      </c>
      <c r="C864" t="s">
        <v>36</v>
      </c>
      <c r="D864" t="s">
        <v>29</v>
      </c>
      <c r="E864" t="s">
        <v>21</v>
      </c>
      <c r="F864" t="s">
        <v>31</v>
      </c>
      <c r="G864" t="s">
        <v>32</v>
      </c>
      <c r="H864">
        <v>212</v>
      </c>
      <c r="I864">
        <v>72</v>
      </c>
      <c r="J864">
        <v>48</v>
      </c>
      <c r="K864">
        <v>236</v>
      </c>
      <c r="L864">
        <v>78</v>
      </c>
      <c r="M864" s="2">
        <v>2506.6999999999998</v>
      </c>
      <c r="N864">
        <v>5</v>
      </c>
      <c r="O864">
        <v>0</v>
      </c>
      <c r="P864" t="s">
        <v>33</v>
      </c>
      <c r="Q864" t="s">
        <v>47</v>
      </c>
      <c r="R864" t="s">
        <v>43</v>
      </c>
      <c r="S864" s="2">
        <f t="shared" si="13"/>
        <v>591581.19999999995</v>
      </c>
    </row>
    <row r="865" spans="1:19" x14ac:dyDescent="0.3">
      <c r="A865" t="s">
        <v>926</v>
      </c>
      <c r="B865" s="1">
        <v>46120</v>
      </c>
      <c r="C865" t="s">
        <v>57</v>
      </c>
      <c r="D865" t="s">
        <v>50</v>
      </c>
      <c r="E865" t="s">
        <v>75</v>
      </c>
      <c r="F865" t="s">
        <v>22</v>
      </c>
      <c r="G865" t="s">
        <v>23</v>
      </c>
      <c r="H865">
        <v>88</v>
      </c>
      <c r="I865">
        <v>73</v>
      </c>
      <c r="J865">
        <v>104</v>
      </c>
      <c r="K865">
        <v>57</v>
      </c>
      <c r="L865">
        <v>79</v>
      </c>
      <c r="M865" s="2">
        <v>2953.66</v>
      </c>
      <c r="N865">
        <v>6</v>
      </c>
      <c r="O865">
        <v>6</v>
      </c>
      <c r="P865" t="s">
        <v>33</v>
      </c>
      <c r="Q865" t="s">
        <v>34</v>
      </c>
      <c r="R865" t="s">
        <v>26</v>
      </c>
      <c r="S865" s="2">
        <f t="shared" si="13"/>
        <v>168358.62</v>
      </c>
    </row>
    <row r="866" spans="1:19" x14ac:dyDescent="0.3">
      <c r="A866" t="s">
        <v>927</v>
      </c>
      <c r="B866" s="1">
        <v>46203</v>
      </c>
      <c r="C866" t="s">
        <v>77</v>
      </c>
      <c r="D866" t="s">
        <v>53</v>
      </c>
      <c r="E866" t="s">
        <v>21</v>
      </c>
      <c r="F866" t="s">
        <v>37</v>
      </c>
      <c r="G866" t="s">
        <v>38</v>
      </c>
      <c r="H866">
        <v>44</v>
      </c>
      <c r="I866">
        <v>58</v>
      </c>
      <c r="J866">
        <v>54</v>
      </c>
      <c r="K866">
        <v>48</v>
      </c>
      <c r="L866">
        <v>77</v>
      </c>
      <c r="M866" s="2">
        <v>531.91</v>
      </c>
      <c r="N866">
        <v>2</v>
      </c>
      <c r="O866">
        <v>8</v>
      </c>
      <c r="P866" t="s">
        <v>33</v>
      </c>
      <c r="Q866" t="s">
        <v>25</v>
      </c>
      <c r="R866" t="s">
        <v>26</v>
      </c>
      <c r="S866" s="2">
        <f t="shared" si="13"/>
        <v>25531.68</v>
      </c>
    </row>
    <row r="867" spans="1:19" x14ac:dyDescent="0.3">
      <c r="A867" t="s">
        <v>928</v>
      </c>
      <c r="B867" s="1">
        <v>46360</v>
      </c>
      <c r="C867" t="s">
        <v>146</v>
      </c>
      <c r="D867" t="s">
        <v>46</v>
      </c>
      <c r="E867" t="s">
        <v>30</v>
      </c>
      <c r="F867" t="s">
        <v>37</v>
      </c>
      <c r="G867" t="s">
        <v>38</v>
      </c>
      <c r="H867">
        <v>69</v>
      </c>
      <c r="I867">
        <v>42</v>
      </c>
      <c r="J867">
        <v>73</v>
      </c>
      <c r="K867">
        <v>38</v>
      </c>
      <c r="L867">
        <v>72</v>
      </c>
      <c r="M867" s="2">
        <v>1461.94</v>
      </c>
      <c r="N867">
        <v>6</v>
      </c>
      <c r="O867">
        <v>7</v>
      </c>
      <c r="P867" t="s">
        <v>33</v>
      </c>
      <c r="Q867" t="s">
        <v>25</v>
      </c>
      <c r="R867" t="s">
        <v>26</v>
      </c>
      <c r="S867" s="2">
        <f t="shared" si="13"/>
        <v>55553.72</v>
      </c>
    </row>
    <row r="868" spans="1:19" x14ac:dyDescent="0.3">
      <c r="A868" t="s">
        <v>929</v>
      </c>
      <c r="B868" s="1">
        <v>46342</v>
      </c>
      <c r="C868" t="s">
        <v>49</v>
      </c>
      <c r="D868" t="s">
        <v>50</v>
      </c>
      <c r="E868" t="s">
        <v>30</v>
      </c>
      <c r="F868" t="s">
        <v>31</v>
      </c>
      <c r="G868" t="s">
        <v>32</v>
      </c>
      <c r="H868">
        <v>62</v>
      </c>
      <c r="I868">
        <v>123</v>
      </c>
      <c r="J868">
        <v>28</v>
      </c>
      <c r="K868">
        <v>157</v>
      </c>
      <c r="L868">
        <v>50</v>
      </c>
      <c r="M868" s="2">
        <v>1338.9</v>
      </c>
      <c r="N868">
        <v>6</v>
      </c>
      <c r="O868">
        <v>0</v>
      </c>
      <c r="P868" t="s">
        <v>33</v>
      </c>
      <c r="Q868" t="s">
        <v>47</v>
      </c>
      <c r="R868" t="s">
        <v>26</v>
      </c>
      <c r="S868" s="2">
        <f t="shared" si="13"/>
        <v>210207.30000000002</v>
      </c>
    </row>
    <row r="869" spans="1:19" x14ac:dyDescent="0.3">
      <c r="A869" t="s">
        <v>930</v>
      </c>
      <c r="B869" s="1">
        <v>46263</v>
      </c>
      <c r="C869" t="s">
        <v>77</v>
      </c>
      <c r="D869" t="s">
        <v>53</v>
      </c>
      <c r="E869" t="s">
        <v>58</v>
      </c>
      <c r="F869" t="s">
        <v>31</v>
      </c>
      <c r="G869" t="s">
        <v>32</v>
      </c>
      <c r="H869">
        <v>210</v>
      </c>
      <c r="I869">
        <v>57</v>
      </c>
      <c r="J869">
        <v>68</v>
      </c>
      <c r="K869">
        <v>199</v>
      </c>
      <c r="L869">
        <v>58</v>
      </c>
      <c r="M869" s="2">
        <v>472.29</v>
      </c>
      <c r="N869">
        <v>5</v>
      </c>
      <c r="O869">
        <v>0</v>
      </c>
      <c r="P869" t="s">
        <v>33</v>
      </c>
      <c r="Q869" t="s">
        <v>47</v>
      </c>
      <c r="R869" t="s">
        <v>26</v>
      </c>
      <c r="S869" s="2">
        <f t="shared" si="13"/>
        <v>93985.71</v>
      </c>
    </row>
    <row r="870" spans="1:19" x14ac:dyDescent="0.3">
      <c r="A870" t="s">
        <v>931</v>
      </c>
      <c r="B870" s="1">
        <v>46160</v>
      </c>
      <c r="C870" t="s">
        <v>89</v>
      </c>
      <c r="D870" t="s">
        <v>20</v>
      </c>
      <c r="E870" t="s">
        <v>58</v>
      </c>
      <c r="F870" t="s">
        <v>1582</v>
      </c>
      <c r="G870" t="s">
        <v>1583</v>
      </c>
      <c r="H870">
        <v>205</v>
      </c>
      <c r="I870">
        <v>110</v>
      </c>
      <c r="J870">
        <v>109</v>
      </c>
      <c r="K870">
        <v>206</v>
      </c>
      <c r="L870">
        <v>70</v>
      </c>
      <c r="M870" s="2">
        <v>1081.83</v>
      </c>
      <c r="N870">
        <v>4</v>
      </c>
      <c r="O870">
        <v>0</v>
      </c>
      <c r="P870" t="s">
        <v>33</v>
      </c>
      <c r="Q870" t="s">
        <v>47</v>
      </c>
      <c r="R870" t="s">
        <v>26</v>
      </c>
      <c r="S870" s="2">
        <f t="shared" si="13"/>
        <v>222856.97999999998</v>
      </c>
    </row>
    <row r="871" spans="1:19" x14ac:dyDescent="0.3">
      <c r="A871" t="s">
        <v>932</v>
      </c>
      <c r="B871" s="1">
        <v>46330</v>
      </c>
      <c r="C871" t="s">
        <v>45</v>
      </c>
      <c r="D871" t="s">
        <v>46</v>
      </c>
      <c r="E871" t="s">
        <v>58</v>
      </c>
      <c r="F871" t="s">
        <v>22</v>
      </c>
      <c r="G871" t="s">
        <v>23</v>
      </c>
      <c r="H871">
        <v>41</v>
      </c>
      <c r="I871">
        <v>73</v>
      </c>
      <c r="J871">
        <v>19</v>
      </c>
      <c r="K871">
        <v>95</v>
      </c>
      <c r="L871">
        <v>45</v>
      </c>
      <c r="M871" s="2">
        <v>724.2</v>
      </c>
      <c r="N871">
        <v>8</v>
      </c>
      <c r="O871">
        <v>0</v>
      </c>
      <c r="P871" t="s">
        <v>33</v>
      </c>
      <c r="Q871" t="s">
        <v>34</v>
      </c>
      <c r="R871" t="s">
        <v>43</v>
      </c>
      <c r="S871" s="2">
        <f t="shared" si="13"/>
        <v>68799</v>
      </c>
    </row>
    <row r="872" spans="1:19" x14ac:dyDescent="0.3">
      <c r="A872" t="s">
        <v>933</v>
      </c>
      <c r="B872" s="1">
        <v>46318</v>
      </c>
      <c r="C872" t="s">
        <v>45</v>
      </c>
      <c r="D872" t="s">
        <v>46</v>
      </c>
      <c r="E872" t="s">
        <v>42</v>
      </c>
      <c r="F872" t="s">
        <v>1582</v>
      </c>
      <c r="G872" t="s">
        <v>1583</v>
      </c>
      <c r="H872">
        <v>101</v>
      </c>
      <c r="I872">
        <v>91</v>
      </c>
      <c r="J872">
        <v>65</v>
      </c>
      <c r="K872">
        <v>127</v>
      </c>
      <c r="L872">
        <v>57</v>
      </c>
      <c r="M872" s="2">
        <v>818.6</v>
      </c>
      <c r="N872">
        <v>5</v>
      </c>
      <c r="O872">
        <v>0</v>
      </c>
      <c r="P872" t="s">
        <v>33</v>
      </c>
      <c r="Q872" t="s">
        <v>47</v>
      </c>
      <c r="R872" t="s">
        <v>43</v>
      </c>
      <c r="S872" s="2">
        <f t="shared" si="13"/>
        <v>103962.2</v>
      </c>
    </row>
    <row r="873" spans="1:19" x14ac:dyDescent="0.3">
      <c r="A873" t="s">
        <v>934</v>
      </c>
      <c r="B873" s="1">
        <v>46083</v>
      </c>
      <c r="C873" t="s">
        <v>72</v>
      </c>
      <c r="D873" t="s">
        <v>50</v>
      </c>
      <c r="E873" t="s">
        <v>58</v>
      </c>
      <c r="F873" t="s">
        <v>22</v>
      </c>
      <c r="G873" t="s">
        <v>23</v>
      </c>
      <c r="H873">
        <v>143</v>
      </c>
      <c r="I873">
        <v>60</v>
      </c>
      <c r="J873">
        <v>81</v>
      </c>
      <c r="K873">
        <v>122</v>
      </c>
      <c r="L873">
        <v>55</v>
      </c>
      <c r="M873" s="2">
        <v>2172.46</v>
      </c>
      <c r="N873">
        <v>2</v>
      </c>
      <c r="O873">
        <v>0</v>
      </c>
      <c r="P873" t="s">
        <v>33</v>
      </c>
      <c r="Q873" t="s">
        <v>47</v>
      </c>
      <c r="R873" t="s">
        <v>26</v>
      </c>
      <c r="S873" s="2">
        <f t="shared" si="13"/>
        <v>265040.12</v>
      </c>
    </row>
    <row r="874" spans="1:19" x14ac:dyDescent="0.3">
      <c r="A874" t="s">
        <v>935</v>
      </c>
      <c r="B874" s="1">
        <v>46037</v>
      </c>
      <c r="C874" t="s">
        <v>68</v>
      </c>
      <c r="D874" t="s">
        <v>53</v>
      </c>
      <c r="E874" t="s">
        <v>21</v>
      </c>
      <c r="F874" t="s">
        <v>22</v>
      </c>
      <c r="G874" t="s">
        <v>23</v>
      </c>
      <c r="H874">
        <v>122</v>
      </c>
      <c r="I874">
        <v>46</v>
      </c>
      <c r="J874">
        <v>26</v>
      </c>
      <c r="K874">
        <v>142</v>
      </c>
      <c r="L874">
        <v>50</v>
      </c>
      <c r="M874" s="2">
        <v>543.08000000000004</v>
      </c>
      <c r="N874">
        <v>2</v>
      </c>
      <c r="O874">
        <v>0</v>
      </c>
      <c r="P874" t="s">
        <v>33</v>
      </c>
      <c r="Q874" t="s">
        <v>47</v>
      </c>
      <c r="R874" t="s">
        <v>26</v>
      </c>
      <c r="S874" s="2">
        <f t="shared" si="13"/>
        <v>77117.36</v>
      </c>
    </row>
    <row r="875" spans="1:19" x14ac:dyDescent="0.3">
      <c r="A875" t="s">
        <v>936</v>
      </c>
      <c r="B875" s="1">
        <v>46357</v>
      </c>
      <c r="C875" t="s">
        <v>77</v>
      </c>
      <c r="D875" t="s">
        <v>53</v>
      </c>
      <c r="E875" t="s">
        <v>30</v>
      </c>
      <c r="F875" t="s">
        <v>1582</v>
      </c>
      <c r="G875" t="s">
        <v>1583</v>
      </c>
      <c r="H875">
        <v>46</v>
      </c>
      <c r="I875">
        <v>115</v>
      </c>
      <c r="J875">
        <v>108</v>
      </c>
      <c r="K875">
        <v>53</v>
      </c>
      <c r="L875">
        <v>53</v>
      </c>
      <c r="M875" s="2">
        <v>548.34</v>
      </c>
      <c r="N875">
        <v>7</v>
      </c>
      <c r="O875">
        <v>6</v>
      </c>
      <c r="P875" t="s">
        <v>33</v>
      </c>
      <c r="Q875" t="s">
        <v>34</v>
      </c>
      <c r="R875" t="s">
        <v>26</v>
      </c>
      <c r="S875" s="2">
        <f t="shared" si="13"/>
        <v>29062.02</v>
      </c>
    </row>
    <row r="876" spans="1:19" x14ac:dyDescent="0.3">
      <c r="A876" t="s">
        <v>937</v>
      </c>
      <c r="B876" s="1">
        <v>46349</v>
      </c>
      <c r="C876" t="s">
        <v>83</v>
      </c>
      <c r="D876" t="s">
        <v>29</v>
      </c>
      <c r="E876" t="s">
        <v>42</v>
      </c>
      <c r="F876" t="s">
        <v>22</v>
      </c>
      <c r="G876" t="s">
        <v>23</v>
      </c>
      <c r="H876">
        <v>136</v>
      </c>
      <c r="I876">
        <v>118</v>
      </c>
      <c r="J876">
        <v>48</v>
      </c>
      <c r="K876">
        <v>206</v>
      </c>
      <c r="L876">
        <v>87</v>
      </c>
      <c r="M876" s="2">
        <v>1456.56</v>
      </c>
      <c r="N876">
        <v>2</v>
      </c>
      <c r="O876">
        <v>0</v>
      </c>
      <c r="P876" t="s">
        <v>33</v>
      </c>
      <c r="Q876" t="s">
        <v>47</v>
      </c>
      <c r="R876" t="s">
        <v>26</v>
      </c>
      <c r="S876" s="2">
        <f t="shared" si="13"/>
        <v>300051.36</v>
      </c>
    </row>
    <row r="877" spans="1:19" x14ac:dyDescent="0.3">
      <c r="A877" t="s">
        <v>938</v>
      </c>
      <c r="B877" s="1">
        <v>46208</v>
      </c>
      <c r="C877" t="s">
        <v>77</v>
      </c>
      <c r="D877" t="s">
        <v>53</v>
      </c>
      <c r="E877" t="s">
        <v>75</v>
      </c>
      <c r="F877" t="s">
        <v>1582</v>
      </c>
      <c r="G877" t="s">
        <v>1583</v>
      </c>
      <c r="H877">
        <v>192</v>
      </c>
      <c r="I877">
        <v>35</v>
      </c>
      <c r="J877">
        <v>28</v>
      </c>
      <c r="K877">
        <v>199</v>
      </c>
      <c r="L877">
        <v>54</v>
      </c>
      <c r="M877" s="2">
        <v>478.25</v>
      </c>
      <c r="N877">
        <v>3</v>
      </c>
      <c r="O877">
        <v>0</v>
      </c>
      <c r="P877" t="s">
        <v>24</v>
      </c>
      <c r="Q877" t="s">
        <v>47</v>
      </c>
      <c r="R877" t="s">
        <v>26</v>
      </c>
      <c r="S877" s="2">
        <f t="shared" si="13"/>
        <v>95171.75</v>
      </c>
    </row>
    <row r="878" spans="1:19" x14ac:dyDescent="0.3">
      <c r="A878" t="s">
        <v>939</v>
      </c>
      <c r="B878" s="1">
        <v>46183</v>
      </c>
      <c r="C878" t="s">
        <v>36</v>
      </c>
      <c r="D878" t="s">
        <v>29</v>
      </c>
      <c r="E878" t="s">
        <v>75</v>
      </c>
      <c r="F878" t="s">
        <v>1582</v>
      </c>
      <c r="G878" t="s">
        <v>1583</v>
      </c>
      <c r="H878">
        <v>45</v>
      </c>
      <c r="I878">
        <v>72</v>
      </c>
      <c r="J878">
        <v>24</v>
      </c>
      <c r="K878">
        <v>93</v>
      </c>
      <c r="L878">
        <v>76</v>
      </c>
      <c r="M878" s="2">
        <v>2620.42</v>
      </c>
      <c r="N878">
        <v>2</v>
      </c>
      <c r="O878">
        <v>0</v>
      </c>
      <c r="P878" t="s">
        <v>33</v>
      </c>
      <c r="Q878" t="s">
        <v>34</v>
      </c>
      <c r="R878" t="s">
        <v>26</v>
      </c>
      <c r="S878" s="2">
        <f t="shared" si="13"/>
        <v>243699.06</v>
      </c>
    </row>
    <row r="879" spans="1:19" x14ac:dyDescent="0.3">
      <c r="A879" t="s">
        <v>940</v>
      </c>
      <c r="B879" s="1">
        <v>46337</v>
      </c>
      <c r="C879" t="s">
        <v>72</v>
      </c>
      <c r="D879" t="s">
        <v>50</v>
      </c>
      <c r="E879" t="s">
        <v>42</v>
      </c>
      <c r="F879" t="s">
        <v>37</v>
      </c>
      <c r="G879" t="s">
        <v>38</v>
      </c>
      <c r="H879">
        <v>42</v>
      </c>
      <c r="I879">
        <v>42</v>
      </c>
      <c r="J879">
        <v>99</v>
      </c>
      <c r="K879">
        <v>0</v>
      </c>
      <c r="L879">
        <v>81</v>
      </c>
      <c r="M879" s="2">
        <v>2257.73</v>
      </c>
      <c r="N879">
        <v>10</v>
      </c>
      <c r="O879">
        <v>9</v>
      </c>
      <c r="P879" t="s">
        <v>24</v>
      </c>
      <c r="Q879" t="s">
        <v>25</v>
      </c>
      <c r="R879" t="s">
        <v>26</v>
      </c>
      <c r="S879" s="2">
        <f t="shared" si="13"/>
        <v>0</v>
      </c>
    </row>
    <row r="880" spans="1:19" x14ac:dyDescent="0.3">
      <c r="A880" t="s">
        <v>941</v>
      </c>
      <c r="B880" s="1">
        <v>46209</v>
      </c>
      <c r="C880" t="s">
        <v>77</v>
      </c>
      <c r="D880" t="s">
        <v>53</v>
      </c>
      <c r="E880" t="s">
        <v>42</v>
      </c>
      <c r="F880" t="s">
        <v>37</v>
      </c>
      <c r="G880" t="s">
        <v>38</v>
      </c>
      <c r="H880">
        <v>71</v>
      </c>
      <c r="I880">
        <v>44</v>
      </c>
      <c r="J880">
        <v>92</v>
      </c>
      <c r="K880">
        <v>23</v>
      </c>
      <c r="L880">
        <v>46</v>
      </c>
      <c r="M880" s="2">
        <v>503.6</v>
      </c>
      <c r="N880">
        <v>6</v>
      </c>
      <c r="O880">
        <v>3</v>
      </c>
      <c r="P880" t="s">
        <v>33</v>
      </c>
      <c r="Q880" t="s">
        <v>25</v>
      </c>
      <c r="R880" t="s">
        <v>26</v>
      </c>
      <c r="S880" s="2">
        <f t="shared" si="13"/>
        <v>11582.800000000001</v>
      </c>
    </row>
    <row r="881" spans="1:19" x14ac:dyDescent="0.3">
      <c r="A881" t="s">
        <v>942</v>
      </c>
      <c r="B881" s="1">
        <v>46070</v>
      </c>
      <c r="C881" t="s">
        <v>98</v>
      </c>
      <c r="D881" t="s">
        <v>20</v>
      </c>
      <c r="E881" t="s">
        <v>75</v>
      </c>
      <c r="F881" t="s">
        <v>37</v>
      </c>
      <c r="G881" t="s">
        <v>38</v>
      </c>
      <c r="H881">
        <v>75</v>
      </c>
      <c r="I881">
        <v>48</v>
      </c>
      <c r="J881">
        <v>25</v>
      </c>
      <c r="K881">
        <v>98</v>
      </c>
      <c r="L881">
        <v>91</v>
      </c>
      <c r="M881" s="2">
        <v>1453.65</v>
      </c>
      <c r="N881">
        <v>3</v>
      </c>
      <c r="O881">
        <v>0</v>
      </c>
      <c r="P881" t="s">
        <v>33</v>
      </c>
      <c r="Q881" t="s">
        <v>34</v>
      </c>
      <c r="R881" t="s">
        <v>26</v>
      </c>
      <c r="S881" s="2">
        <f t="shared" si="13"/>
        <v>142457.70000000001</v>
      </c>
    </row>
    <row r="882" spans="1:19" x14ac:dyDescent="0.3">
      <c r="A882" t="s">
        <v>943</v>
      </c>
      <c r="B882" s="1">
        <v>46166</v>
      </c>
      <c r="C882" t="s">
        <v>45</v>
      </c>
      <c r="D882" t="s">
        <v>46</v>
      </c>
      <c r="E882" t="s">
        <v>58</v>
      </c>
      <c r="F882" t="s">
        <v>1582</v>
      </c>
      <c r="G882" t="s">
        <v>1583</v>
      </c>
      <c r="H882">
        <v>151</v>
      </c>
      <c r="I882">
        <v>85</v>
      </c>
      <c r="J882">
        <v>66</v>
      </c>
      <c r="K882">
        <v>170</v>
      </c>
      <c r="L882">
        <v>57</v>
      </c>
      <c r="M882" s="2">
        <v>760.01</v>
      </c>
      <c r="N882">
        <v>3</v>
      </c>
      <c r="O882">
        <v>0</v>
      </c>
      <c r="P882" t="s">
        <v>33</v>
      </c>
      <c r="Q882" t="s">
        <v>47</v>
      </c>
      <c r="R882" t="s">
        <v>43</v>
      </c>
      <c r="S882" s="2">
        <f t="shared" si="13"/>
        <v>129201.7</v>
      </c>
    </row>
    <row r="883" spans="1:19" x14ac:dyDescent="0.3">
      <c r="A883" t="s">
        <v>944</v>
      </c>
      <c r="B883" s="1">
        <v>46186</v>
      </c>
      <c r="C883" t="s">
        <v>57</v>
      </c>
      <c r="D883" t="s">
        <v>50</v>
      </c>
      <c r="E883" t="s">
        <v>30</v>
      </c>
      <c r="F883" t="s">
        <v>37</v>
      </c>
      <c r="G883" t="s">
        <v>38</v>
      </c>
      <c r="H883">
        <v>82</v>
      </c>
      <c r="I883">
        <v>121</v>
      </c>
      <c r="J883">
        <v>41</v>
      </c>
      <c r="K883">
        <v>162</v>
      </c>
      <c r="L883">
        <v>91</v>
      </c>
      <c r="M883" s="2">
        <v>2793.19</v>
      </c>
      <c r="N883">
        <v>5</v>
      </c>
      <c r="O883">
        <v>0</v>
      </c>
      <c r="P883" t="s">
        <v>33</v>
      </c>
      <c r="Q883" t="s">
        <v>34</v>
      </c>
      <c r="R883" t="s">
        <v>59</v>
      </c>
      <c r="S883" s="2">
        <f t="shared" si="13"/>
        <v>452496.78</v>
      </c>
    </row>
    <row r="884" spans="1:19" x14ac:dyDescent="0.3">
      <c r="A884" t="s">
        <v>945</v>
      </c>
      <c r="B884" s="1">
        <v>46040</v>
      </c>
      <c r="C884" t="s">
        <v>77</v>
      </c>
      <c r="D884" t="s">
        <v>53</v>
      </c>
      <c r="E884" t="s">
        <v>30</v>
      </c>
      <c r="F884" t="s">
        <v>1582</v>
      </c>
      <c r="G884" t="s">
        <v>1583</v>
      </c>
      <c r="H884">
        <v>149</v>
      </c>
      <c r="I884">
        <v>45</v>
      </c>
      <c r="J884">
        <v>87</v>
      </c>
      <c r="K884">
        <v>107</v>
      </c>
      <c r="L884">
        <v>67</v>
      </c>
      <c r="M884" s="2">
        <v>487.4</v>
      </c>
      <c r="N884">
        <v>7</v>
      </c>
      <c r="O884">
        <v>0</v>
      </c>
      <c r="P884" t="s">
        <v>33</v>
      </c>
      <c r="Q884" t="s">
        <v>34</v>
      </c>
      <c r="R884" t="s">
        <v>26</v>
      </c>
      <c r="S884" s="2">
        <f t="shared" si="13"/>
        <v>52151.799999999996</v>
      </c>
    </row>
    <row r="885" spans="1:19" x14ac:dyDescent="0.3">
      <c r="A885" t="s">
        <v>946</v>
      </c>
      <c r="B885" s="1">
        <v>46242</v>
      </c>
      <c r="C885" t="s">
        <v>52</v>
      </c>
      <c r="D885" t="s">
        <v>53</v>
      </c>
      <c r="E885" t="s">
        <v>30</v>
      </c>
      <c r="F885" t="s">
        <v>1582</v>
      </c>
      <c r="G885" t="s">
        <v>1583</v>
      </c>
      <c r="H885">
        <v>115</v>
      </c>
      <c r="I885">
        <v>97</v>
      </c>
      <c r="J885">
        <v>97</v>
      </c>
      <c r="K885">
        <v>115</v>
      </c>
      <c r="L885">
        <v>78</v>
      </c>
      <c r="M885" s="2">
        <v>630.79</v>
      </c>
      <c r="N885">
        <v>2</v>
      </c>
      <c r="O885">
        <v>0</v>
      </c>
      <c r="P885" t="s">
        <v>24</v>
      </c>
      <c r="Q885" t="s">
        <v>34</v>
      </c>
      <c r="R885" t="s">
        <v>43</v>
      </c>
      <c r="S885" s="2">
        <f t="shared" si="13"/>
        <v>72540.849999999991</v>
      </c>
    </row>
    <row r="886" spans="1:19" x14ac:dyDescent="0.3">
      <c r="A886" t="s">
        <v>947</v>
      </c>
      <c r="B886" s="1">
        <v>46028</v>
      </c>
      <c r="C886" t="s">
        <v>83</v>
      </c>
      <c r="D886" t="s">
        <v>29</v>
      </c>
      <c r="E886" t="s">
        <v>42</v>
      </c>
      <c r="F886" t="s">
        <v>31</v>
      </c>
      <c r="G886" t="s">
        <v>32</v>
      </c>
      <c r="H886">
        <v>95</v>
      </c>
      <c r="I886">
        <v>104</v>
      </c>
      <c r="J886">
        <v>62</v>
      </c>
      <c r="K886">
        <v>137</v>
      </c>
      <c r="L886">
        <v>68</v>
      </c>
      <c r="M886" s="2">
        <v>1486.41</v>
      </c>
      <c r="N886">
        <v>4</v>
      </c>
      <c r="O886">
        <v>0</v>
      </c>
      <c r="P886" t="s">
        <v>24</v>
      </c>
      <c r="Q886" t="s">
        <v>34</v>
      </c>
      <c r="R886" t="s">
        <v>26</v>
      </c>
      <c r="S886" s="2">
        <f t="shared" si="13"/>
        <v>203638.17</v>
      </c>
    </row>
    <row r="887" spans="1:19" x14ac:dyDescent="0.3">
      <c r="A887" t="s">
        <v>948</v>
      </c>
      <c r="B887" s="1">
        <v>46165</v>
      </c>
      <c r="C887" t="s">
        <v>80</v>
      </c>
      <c r="D887" t="s">
        <v>46</v>
      </c>
      <c r="E887" t="s">
        <v>58</v>
      </c>
      <c r="F887" t="s">
        <v>37</v>
      </c>
      <c r="G887" t="s">
        <v>38</v>
      </c>
      <c r="H887">
        <v>99</v>
      </c>
      <c r="I887">
        <v>91</v>
      </c>
      <c r="J887">
        <v>23</v>
      </c>
      <c r="K887">
        <v>167</v>
      </c>
      <c r="L887">
        <v>69</v>
      </c>
      <c r="M887" s="2">
        <v>1052.4000000000001</v>
      </c>
      <c r="N887">
        <v>3</v>
      </c>
      <c r="O887">
        <v>0</v>
      </c>
      <c r="P887" t="s">
        <v>33</v>
      </c>
      <c r="Q887" t="s">
        <v>47</v>
      </c>
      <c r="R887" t="s">
        <v>26</v>
      </c>
      <c r="S887" s="2">
        <f t="shared" si="13"/>
        <v>175750.80000000002</v>
      </c>
    </row>
    <row r="888" spans="1:19" x14ac:dyDescent="0.3">
      <c r="A888" t="s">
        <v>949</v>
      </c>
      <c r="B888" s="1">
        <v>46278</v>
      </c>
      <c r="C888" t="s">
        <v>77</v>
      </c>
      <c r="D888" t="s">
        <v>53</v>
      </c>
      <c r="E888" t="s">
        <v>30</v>
      </c>
      <c r="F888" t="s">
        <v>1582</v>
      </c>
      <c r="G888" t="s">
        <v>1583</v>
      </c>
      <c r="H888">
        <v>214</v>
      </c>
      <c r="I888">
        <v>116</v>
      </c>
      <c r="J888">
        <v>70</v>
      </c>
      <c r="K888">
        <v>260</v>
      </c>
      <c r="L888">
        <v>65</v>
      </c>
      <c r="M888" s="2">
        <v>531.34</v>
      </c>
      <c r="N888">
        <v>3</v>
      </c>
      <c r="O888">
        <v>0</v>
      </c>
      <c r="P888" t="s">
        <v>33</v>
      </c>
      <c r="Q888" t="s">
        <v>47</v>
      </c>
      <c r="R888" t="s">
        <v>43</v>
      </c>
      <c r="S888" s="2">
        <f t="shared" si="13"/>
        <v>138148.4</v>
      </c>
    </row>
    <row r="889" spans="1:19" x14ac:dyDescent="0.3">
      <c r="A889" t="s">
        <v>950</v>
      </c>
      <c r="B889" s="1">
        <v>46032</v>
      </c>
      <c r="C889" t="s">
        <v>89</v>
      </c>
      <c r="D889" t="s">
        <v>20</v>
      </c>
      <c r="E889" t="s">
        <v>58</v>
      </c>
      <c r="F889" t="s">
        <v>31</v>
      </c>
      <c r="G889" t="s">
        <v>32</v>
      </c>
      <c r="H889">
        <v>71</v>
      </c>
      <c r="I889">
        <v>77</v>
      </c>
      <c r="J889">
        <v>36</v>
      </c>
      <c r="K889">
        <v>112</v>
      </c>
      <c r="L889">
        <v>83</v>
      </c>
      <c r="M889" s="2">
        <v>1158.45</v>
      </c>
      <c r="N889">
        <v>5</v>
      </c>
      <c r="O889">
        <v>0</v>
      </c>
      <c r="P889" t="s">
        <v>33</v>
      </c>
      <c r="Q889" t="s">
        <v>34</v>
      </c>
      <c r="R889" t="s">
        <v>26</v>
      </c>
      <c r="S889" s="2">
        <f t="shared" si="13"/>
        <v>129746.40000000001</v>
      </c>
    </row>
    <row r="890" spans="1:19" x14ac:dyDescent="0.3">
      <c r="A890" t="s">
        <v>951</v>
      </c>
      <c r="B890" s="1">
        <v>46058</v>
      </c>
      <c r="C890" t="s">
        <v>77</v>
      </c>
      <c r="D890" t="s">
        <v>53</v>
      </c>
      <c r="E890" t="s">
        <v>58</v>
      </c>
      <c r="F890" t="s">
        <v>37</v>
      </c>
      <c r="G890" t="s">
        <v>38</v>
      </c>
      <c r="H890">
        <v>73</v>
      </c>
      <c r="I890">
        <v>127</v>
      </c>
      <c r="J890">
        <v>66</v>
      </c>
      <c r="K890">
        <v>134</v>
      </c>
      <c r="L890">
        <v>47</v>
      </c>
      <c r="M890" s="2">
        <v>539.58000000000004</v>
      </c>
      <c r="N890">
        <v>6</v>
      </c>
      <c r="O890">
        <v>0</v>
      </c>
      <c r="P890" t="s">
        <v>24</v>
      </c>
      <c r="Q890" t="s">
        <v>47</v>
      </c>
      <c r="R890" t="s">
        <v>26</v>
      </c>
      <c r="S890" s="2">
        <f t="shared" si="13"/>
        <v>72303.72</v>
      </c>
    </row>
    <row r="891" spans="1:19" x14ac:dyDescent="0.3">
      <c r="A891" t="s">
        <v>952</v>
      </c>
      <c r="B891" s="1">
        <v>46224</v>
      </c>
      <c r="C891" t="s">
        <v>57</v>
      </c>
      <c r="D891" t="s">
        <v>50</v>
      </c>
      <c r="E891" t="s">
        <v>58</v>
      </c>
      <c r="F891" t="s">
        <v>37</v>
      </c>
      <c r="G891" t="s">
        <v>38</v>
      </c>
      <c r="H891">
        <v>110</v>
      </c>
      <c r="I891">
        <v>60</v>
      </c>
      <c r="J891">
        <v>59</v>
      </c>
      <c r="K891">
        <v>111</v>
      </c>
      <c r="L891">
        <v>70</v>
      </c>
      <c r="M891" s="2">
        <v>2564.67</v>
      </c>
      <c r="N891">
        <v>8</v>
      </c>
      <c r="O891">
        <v>0</v>
      </c>
      <c r="P891" t="s">
        <v>33</v>
      </c>
      <c r="Q891" t="s">
        <v>34</v>
      </c>
      <c r="R891" t="s">
        <v>26</v>
      </c>
      <c r="S891" s="2">
        <f t="shared" si="13"/>
        <v>284678.37</v>
      </c>
    </row>
    <row r="892" spans="1:19" x14ac:dyDescent="0.3">
      <c r="A892" t="s">
        <v>953</v>
      </c>
      <c r="B892" s="1">
        <v>46188</v>
      </c>
      <c r="C892" t="s">
        <v>146</v>
      </c>
      <c r="D892" t="s">
        <v>46</v>
      </c>
      <c r="E892" t="s">
        <v>58</v>
      </c>
      <c r="F892" t="s">
        <v>31</v>
      </c>
      <c r="G892" t="s">
        <v>32</v>
      </c>
      <c r="H892">
        <v>135</v>
      </c>
      <c r="I892">
        <v>99</v>
      </c>
      <c r="J892">
        <v>28</v>
      </c>
      <c r="K892">
        <v>206</v>
      </c>
      <c r="L892">
        <v>46</v>
      </c>
      <c r="M892" s="2">
        <v>1417.2</v>
      </c>
      <c r="N892">
        <v>8</v>
      </c>
      <c r="O892">
        <v>0</v>
      </c>
      <c r="P892" t="s">
        <v>24</v>
      </c>
      <c r="Q892" t="s">
        <v>47</v>
      </c>
      <c r="R892" t="s">
        <v>26</v>
      </c>
      <c r="S892" s="2">
        <f t="shared" si="13"/>
        <v>291943.2</v>
      </c>
    </row>
    <row r="893" spans="1:19" x14ac:dyDescent="0.3">
      <c r="A893" t="s">
        <v>954</v>
      </c>
      <c r="B893" s="1">
        <v>46079</v>
      </c>
      <c r="C893" t="s">
        <v>72</v>
      </c>
      <c r="D893" t="s">
        <v>50</v>
      </c>
      <c r="E893" t="s">
        <v>42</v>
      </c>
      <c r="F893" t="s">
        <v>31</v>
      </c>
      <c r="G893" t="s">
        <v>32</v>
      </c>
      <c r="H893">
        <v>88</v>
      </c>
      <c r="I893">
        <v>112</v>
      </c>
      <c r="J893">
        <v>62</v>
      </c>
      <c r="K893">
        <v>138</v>
      </c>
      <c r="L893">
        <v>97</v>
      </c>
      <c r="M893" s="2">
        <v>2377.27</v>
      </c>
      <c r="N893">
        <v>6</v>
      </c>
      <c r="O893">
        <v>0</v>
      </c>
      <c r="P893" t="s">
        <v>33</v>
      </c>
      <c r="Q893" t="s">
        <v>34</v>
      </c>
      <c r="R893" t="s">
        <v>59</v>
      </c>
      <c r="S893" s="2">
        <f t="shared" si="13"/>
        <v>328063.26</v>
      </c>
    </row>
    <row r="894" spans="1:19" x14ac:dyDescent="0.3">
      <c r="A894" t="s">
        <v>955</v>
      </c>
      <c r="B894" s="1">
        <v>46321</v>
      </c>
      <c r="C894" t="s">
        <v>89</v>
      </c>
      <c r="D894" t="s">
        <v>20</v>
      </c>
      <c r="E894" t="s">
        <v>75</v>
      </c>
      <c r="F894" t="s">
        <v>37</v>
      </c>
      <c r="G894" t="s">
        <v>38</v>
      </c>
      <c r="H894">
        <v>124</v>
      </c>
      <c r="I894">
        <v>108</v>
      </c>
      <c r="J894">
        <v>93</v>
      </c>
      <c r="K894">
        <v>139</v>
      </c>
      <c r="L894">
        <v>95</v>
      </c>
      <c r="M894" s="2">
        <v>1275</v>
      </c>
      <c r="N894">
        <v>4</v>
      </c>
      <c r="O894">
        <v>0</v>
      </c>
      <c r="P894" t="s">
        <v>33</v>
      </c>
      <c r="Q894" t="s">
        <v>34</v>
      </c>
      <c r="R894" t="s">
        <v>81</v>
      </c>
      <c r="S894" s="2">
        <f t="shared" si="13"/>
        <v>177225</v>
      </c>
    </row>
    <row r="895" spans="1:19" x14ac:dyDescent="0.3">
      <c r="A895" t="s">
        <v>956</v>
      </c>
      <c r="B895" s="1">
        <v>46290</v>
      </c>
      <c r="C895" t="s">
        <v>57</v>
      </c>
      <c r="D895" t="s">
        <v>50</v>
      </c>
      <c r="E895" t="s">
        <v>42</v>
      </c>
      <c r="F895" t="s">
        <v>37</v>
      </c>
      <c r="G895" t="s">
        <v>38</v>
      </c>
      <c r="H895">
        <v>77</v>
      </c>
      <c r="I895">
        <v>116</v>
      </c>
      <c r="J895">
        <v>89</v>
      </c>
      <c r="K895">
        <v>104</v>
      </c>
      <c r="L895">
        <v>99</v>
      </c>
      <c r="M895" s="2">
        <v>3060.87</v>
      </c>
      <c r="N895">
        <v>5</v>
      </c>
      <c r="O895">
        <v>0</v>
      </c>
      <c r="P895" t="s">
        <v>33</v>
      </c>
      <c r="Q895" t="s">
        <v>34</v>
      </c>
      <c r="R895" t="s">
        <v>26</v>
      </c>
      <c r="S895" s="2">
        <f t="shared" si="13"/>
        <v>318330.48</v>
      </c>
    </row>
    <row r="896" spans="1:19" x14ac:dyDescent="0.3">
      <c r="A896" t="s">
        <v>957</v>
      </c>
      <c r="B896" s="1">
        <v>46174</v>
      </c>
      <c r="C896" t="s">
        <v>87</v>
      </c>
      <c r="D896" t="s">
        <v>53</v>
      </c>
      <c r="E896" t="s">
        <v>30</v>
      </c>
      <c r="F896" t="s">
        <v>1582</v>
      </c>
      <c r="G896" t="s">
        <v>1583</v>
      </c>
      <c r="H896">
        <v>209</v>
      </c>
      <c r="I896">
        <v>82</v>
      </c>
      <c r="J896">
        <v>50</v>
      </c>
      <c r="K896">
        <v>241</v>
      </c>
      <c r="L896">
        <v>65</v>
      </c>
      <c r="M896" s="2">
        <v>474.54</v>
      </c>
      <c r="N896">
        <v>5</v>
      </c>
      <c r="O896">
        <v>0</v>
      </c>
      <c r="P896" t="s">
        <v>33</v>
      </c>
      <c r="Q896" t="s">
        <v>47</v>
      </c>
      <c r="R896" t="s">
        <v>26</v>
      </c>
      <c r="S896" s="2">
        <f t="shared" si="13"/>
        <v>114364.14</v>
      </c>
    </row>
    <row r="897" spans="1:19" x14ac:dyDescent="0.3">
      <c r="A897" t="s">
        <v>958</v>
      </c>
      <c r="B897" s="1">
        <v>46131</v>
      </c>
      <c r="C897" t="s">
        <v>89</v>
      </c>
      <c r="D897" t="s">
        <v>20</v>
      </c>
      <c r="E897" t="s">
        <v>30</v>
      </c>
      <c r="F897" t="s">
        <v>22</v>
      </c>
      <c r="G897" t="s">
        <v>23</v>
      </c>
      <c r="H897">
        <v>208</v>
      </c>
      <c r="I897">
        <v>102</v>
      </c>
      <c r="J897">
        <v>109</v>
      </c>
      <c r="K897">
        <v>201</v>
      </c>
      <c r="L897">
        <v>99</v>
      </c>
      <c r="M897" s="2">
        <v>1129.4100000000001</v>
      </c>
      <c r="N897">
        <v>2</v>
      </c>
      <c r="O897">
        <v>0</v>
      </c>
      <c r="P897" t="s">
        <v>24</v>
      </c>
      <c r="Q897" t="s">
        <v>34</v>
      </c>
      <c r="R897" t="s">
        <v>26</v>
      </c>
      <c r="S897" s="2">
        <f t="shared" si="13"/>
        <v>227011.41</v>
      </c>
    </row>
    <row r="898" spans="1:19" x14ac:dyDescent="0.3">
      <c r="A898" t="s">
        <v>959</v>
      </c>
      <c r="B898" s="1">
        <v>46183</v>
      </c>
      <c r="C898" t="s">
        <v>98</v>
      </c>
      <c r="D898" t="s">
        <v>20</v>
      </c>
      <c r="E898" t="s">
        <v>58</v>
      </c>
      <c r="F898" t="s">
        <v>1582</v>
      </c>
      <c r="G898" t="s">
        <v>1583</v>
      </c>
      <c r="H898">
        <v>88</v>
      </c>
      <c r="I898">
        <v>82</v>
      </c>
      <c r="J898">
        <v>28</v>
      </c>
      <c r="K898">
        <v>142</v>
      </c>
      <c r="L898">
        <v>66</v>
      </c>
      <c r="M898" s="2">
        <v>1318.43</v>
      </c>
      <c r="N898">
        <v>6</v>
      </c>
      <c r="O898">
        <v>0</v>
      </c>
      <c r="P898" t="s">
        <v>33</v>
      </c>
      <c r="Q898" t="s">
        <v>34</v>
      </c>
      <c r="R898" t="s">
        <v>26</v>
      </c>
      <c r="S898" s="2">
        <f t="shared" ref="S898:S961" si="14">K898*M898</f>
        <v>187217.06</v>
      </c>
    </row>
    <row r="899" spans="1:19" x14ac:dyDescent="0.3">
      <c r="A899" t="s">
        <v>960</v>
      </c>
      <c r="B899" s="1">
        <v>46119</v>
      </c>
      <c r="C899" t="s">
        <v>146</v>
      </c>
      <c r="D899" t="s">
        <v>46</v>
      </c>
      <c r="E899" t="s">
        <v>42</v>
      </c>
      <c r="F899" t="s">
        <v>31</v>
      </c>
      <c r="G899" t="s">
        <v>32</v>
      </c>
      <c r="H899">
        <v>73</v>
      </c>
      <c r="I899">
        <v>48</v>
      </c>
      <c r="J899">
        <v>61</v>
      </c>
      <c r="K899">
        <v>60</v>
      </c>
      <c r="L899">
        <v>69</v>
      </c>
      <c r="M899" s="2">
        <v>1642.52</v>
      </c>
      <c r="N899">
        <v>8</v>
      </c>
      <c r="O899">
        <v>4</v>
      </c>
      <c r="P899" t="s">
        <v>33</v>
      </c>
      <c r="Q899" t="s">
        <v>34</v>
      </c>
      <c r="R899" t="s">
        <v>59</v>
      </c>
      <c r="S899" s="2">
        <f t="shared" si="14"/>
        <v>98551.2</v>
      </c>
    </row>
    <row r="900" spans="1:19" x14ac:dyDescent="0.3">
      <c r="A900" t="s">
        <v>961</v>
      </c>
      <c r="B900" s="1">
        <v>46146</v>
      </c>
      <c r="C900" t="s">
        <v>89</v>
      </c>
      <c r="D900" t="s">
        <v>20</v>
      </c>
      <c r="E900" t="s">
        <v>58</v>
      </c>
      <c r="F900" t="s">
        <v>22</v>
      </c>
      <c r="G900" t="s">
        <v>23</v>
      </c>
      <c r="H900">
        <v>215</v>
      </c>
      <c r="I900">
        <v>59</v>
      </c>
      <c r="J900">
        <v>88</v>
      </c>
      <c r="K900">
        <v>186</v>
      </c>
      <c r="L900">
        <v>86</v>
      </c>
      <c r="M900" s="2">
        <v>1104.5</v>
      </c>
      <c r="N900">
        <v>5</v>
      </c>
      <c r="O900">
        <v>0</v>
      </c>
      <c r="P900" t="s">
        <v>33</v>
      </c>
      <c r="Q900" t="s">
        <v>34</v>
      </c>
      <c r="R900" t="s">
        <v>59</v>
      </c>
      <c r="S900" s="2">
        <f t="shared" si="14"/>
        <v>205437</v>
      </c>
    </row>
    <row r="901" spans="1:19" x14ac:dyDescent="0.3">
      <c r="A901" t="s">
        <v>962</v>
      </c>
      <c r="B901" s="1">
        <v>46131</v>
      </c>
      <c r="C901" t="s">
        <v>40</v>
      </c>
      <c r="D901" t="s">
        <v>20</v>
      </c>
      <c r="E901" t="s">
        <v>42</v>
      </c>
      <c r="F901" t="s">
        <v>37</v>
      </c>
      <c r="G901" t="s">
        <v>38</v>
      </c>
      <c r="H901">
        <v>47</v>
      </c>
      <c r="I901">
        <v>80</v>
      </c>
      <c r="J901">
        <v>99</v>
      </c>
      <c r="K901">
        <v>28</v>
      </c>
      <c r="L901">
        <v>78</v>
      </c>
      <c r="M901" s="2">
        <v>891.48</v>
      </c>
      <c r="N901">
        <v>4</v>
      </c>
      <c r="O901">
        <v>2</v>
      </c>
      <c r="P901" t="s">
        <v>24</v>
      </c>
      <c r="Q901" t="s">
        <v>25</v>
      </c>
      <c r="R901" t="s">
        <v>26</v>
      </c>
      <c r="S901" s="2">
        <f t="shared" si="14"/>
        <v>24961.440000000002</v>
      </c>
    </row>
    <row r="902" spans="1:19" x14ac:dyDescent="0.3">
      <c r="A902" t="s">
        <v>963</v>
      </c>
      <c r="B902" s="1">
        <v>46239</v>
      </c>
      <c r="C902" t="s">
        <v>36</v>
      </c>
      <c r="D902" t="s">
        <v>29</v>
      </c>
      <c r="E902" t="s">
        <v>30</v>
      </c>
      <c r="F902" t="s">
        <v>1582</v>
      </c>
      <c r="G902" t="s">
        <v>1583</v>
      </c>
      <c r="H902">
        <v>170</v>
      </c>
      <c r="I902">
        <v>62</v>
      </c>
      <c r="J902">
        <v>21</v>
      </c>
      <c r="K902">
        <v>211</v>
      </c>
      <c r="L902">
        <v>73</v>
      </c>
      <c r="M902" s="2">
        <v>2290.84</v>
      </c>
      <c r="N902">
        <v>2</v>
      </c>
      <c r="O902">
        <v>0</v>
      </c>
      <c r="P902" t="s">
        <v>24</v>
      </c>
      <c r="Q902" t="s">
        <v>47</v>
      </c>
      <c r="R902" t="s">
        <v>26</v>
      </c>
      <c r="S902" s="2">
        <f t="shared" si="14"/>
        <v>483367.24000000005</v>
      </c>
    </row>
    <row r="903" spans="1:19" x14ac:dyDescent="0.3">
      <c r="A903" t="s">
        <v>964</v>
      </c>
      <c r="B903" s="1">
        <v>46353</v>
      </c>
      <c r="C903" t="s">
        <v>83</v>
      </c>
      <c r="D903" t="s">
        <v>29</v>
      </c>
      <c r="E903" t="s">
        <v>42</v>
      </c>
      <c r="F903" t="s">
        <v>1582</v>
      </c>
      <c r="G903" t="s">
        <v>1583</v>
      </c>
      <c r="H903">
        <v>85</v>
      </c>
      <c r="I903">
        <v>96</v>
      </c>
      <c r="J903">
        <v>50</v>
      </c>
      <c r="K903">
        <v>131</v>
      </c>
      <c r="L903">
        <v>78</v>
      </c>
      <c r="M903" s="2">
        <v>1634.38</v>
      </c>
      <c r="N903">
        <v>6</v>
      </c>
      <c r="O903">
        <v>0</v>
      </c>
      <c r="P903" t="s">
        <v>33</v>
      </c>
      <c r="Q903" t="s">
        <v>34</v>
      </c>
      <c r="R903" t="s">
        <v>59</v>
      </c>
      <c r="S903" s="2">
        <f t="shared" si="14"/>
        <v>214103.78000000003</v>
      </c>
    </row>
    <row r="904" spans="1:19" x14ac:dyDescent="0.3">
      <c r="A904" t="s">
        <v>965</v>
      </c>
      <c r="B904" s="1">
        <v>46381</v>
      </c>
      <c r="C904" t="s">
        <v>62</v>
      </c>
      <c r="D904" t="s">
        <v>29</v>
      </c>
      <c r="E904" t="s">
        <v>42</v>
      </c>
      <c r="F904" t="s">
        <v>31</v>
      </c>
      <c r="G904" t="s">
        <v>32</v>
      </c>
      <c r="H904">
        <v>53</v>
      </c>
      <c r="I904">
        <v>24</v>
      </c>
      <c r="J904">
        <v>88</v>
      </c>
      <c r="K904">
        <v>0</v>
      </c>
      <c r="L904">
        <v>62</v>
      </c>
      <c r="M904" s="2">
        <v>663.43</v>
      </c>
      <c r="N904">
        <v>6</v>
      </c>
      <c r="O904">
        <v>4</v>
      </c>
      <c r="P904" t="s">
        <v>24</v>
      </c>
      <c r="Q904" t="s">
        <v>25</v>
      </c>
      <c r="R904" t="s">
        <v>43</v>
      </c>
      <c r="S904" s="2">
        <f t="shared" si="14"/>
        <v>0</v>
      </c>
    </row>
    <row r="905" spans="1:19" x14ac:dyDescent="0.3">
      <c r="A905" t="s">
        <v>966</v>
      </c>
      <c r="B905" s="1">
        <v>46170</v>
      </c>
      <c r="C905" t="s">
        <v>55</v>
      </c>
      <c r="D905" t="s">
        <v>50</v>
      </c>
      <c r="E905" t="s">
        <v>58</v>
      </c>
      <c r="F905" t="s">
        <v>31</v>
      </c>
      <c r="G905" t="s">
        <v>32</v>
      </c>
      <c r="H905">
        <v>96</v>
      </c>
      <c r="I905">
        <v>113</v>
      </c>
      <c r="J905">
        <v>103</v>
      </c>
      <c r="K905">
        <v>106</v>
      </c>
      <c r="L905">
        <v>62</v>
      </c>
      <c r="M905" s="2">
        <v>999.03</v>
      </c>
      <c r="N905">
        <v>3</v>
      </c>
      <c r="O905">
        <v>0</v>
      </c>
      <c r="P905" t="s">
        <v>33</v>
      </c>
      <c r="Q905" t="s">
        <v>34</v>
      </c>
      <c r="R905" t="s">
        <v>26</v>
      </c>
      <c r="S905" s="2">
        <f t="shared" si="14"/>
        <v>105897.18</v>
      </c>
    </row>
    <row r="906" spans="1:19" x14ac:dyDescent="0.3">
      <c r="A906" t="s">
        <v>967</v>
      </c>
      <c r="B906" s="1">
        <v>46371</v>
      </c>
      <c r="C906" t="s">
        <v>52</v>
      </c>
      <c r="D906" t="s">
        <v>53</v>
      </c>
      <c r="E906" t="s">
        <v>75</v>
      </c>
      <c r="F906" t="s">
        <v>31</v>
      </c>
      <c r="G906" t="s">
        <v>32</v>
      </c>
      <c r="H906">
        <v>87</v>
      </c>
      <c r="I906">
        <v>84</v>
      </c>
      <c r="J906">
        <v>104</v>
      </c>
      <c r="K906">
        <v>67</v>
      </c>
      <c r="L906">
        <v>84</v>
      </c>
      <c r="M906" s="2">
        <v>646.98</v>
      </c>
      <c r="N906">
        <v>4</v>
      </c>
      <c r="O906">
        <v>4</v>
      </c>
      <c r="P906" t="s">
        <v>33</v>
      </c>
      <c r="Q906" t="s">
        <v>34</v>
      </c>
      <c r="R906" t="s">
        <v>26</v>
      </c>
      <c r="S906" s="2">
        <f t="shared" si="14"/>
        <v>43347.66</v>
      </c>
    </row>
    <row r="907" spans="1:19" x14ac:dyDescent="0.3">
      <c r="A907" t="s">
        <v>968</v>
      </c>
      <c r="B907" s="1">
        <v>46062</v>
      </c>
      <c r="C907" t="s">
        <v>98</v>
      </c>
      <c r="D907" t="s">
        <v>20</v>
      </c>
      <c r="E907" t="s">
        <v>42</v>
      </c>
      <c r="F907" t="s">
        <v>37</v>
      </c>
      <c r="G907" t="s">
        <v>38</v>
      </c>
      <c r="H907">
        <v>156</v>
      </c>
      <c r="I907">
        <v>38</v>
      </c>
      <c r="J907">
        <v>16</v>
      </c>
      <c r="K907">
        <v>178</v>
      </c>
      <c r="L907">
        <v>87</v>
      </c>
      <c r="M907" s="2">
        <v>1392.89</v>
      </c>
      <c r="N907">
        <v>4</v>
      </c>
      <c r="O907">
        <v>0</v>
      </c>
      <c r="P907" t="s">
        <v>24</v>
      </c>
      <c r="Q907" t="s">
        <v>34</v>
      </c>
      <c r="R907" t="s">
        <v>81</v>
      </c>
      <c r="S907" s="2">
        <f t="shared" si="14"/>
        <v>247934.42</v>
      </c>
    </row>
    <row r="908" spans="1:19" x14ac:dyDescent="0.3">
      <c r="A908" t="s">
        <v>969</v>
      </c>
      <c r="B908" s="1">
        <v>46313</v>
      </c>
      <c r="C908" t="s">
        <v>62</v>
      </c>
      <c r="D908" t="s">
        <v>29</v>
      </c>
      <c r="E908" t="s">
        <v>30</v>
      </c>
      <c r="F908" t="s">
        <v>37</v>
      </c>
      <c r="G908" t="s">
        <v>38</v>
      </c>
      <c r="H908">
        <v>161</v>
      </c>
      <c r="I908">
        <v>94</v>
      </c>
      <c r="J908">
        <v>15</v>
      </c>
      <c r="K908">
        <v>240</v>
      </c>
      <c r="L908">
        <v>76</v>
      </c>
      <c r="M908" s="2">
        <v>752.25</v>
      </c>
      <c r="N908">
        <v>5</v>
      </c>
      <c r="O908">
        <v>0</v>
      </c>
      <c r="P908" t="s">
        <v>24</v>
      </c>
      <c r="Q908" t="s">
        <v>47</v>
      </c>
      <c r="R908" t="s">
        <v>43</v>
      </c>
      <c r="S908" s="2">
        <f t="shared" si="14"/>
        <v>180540</v>
      </c>
    </row>
    <row r="909" spans="1:19" x14ac:dyDescent="0.3">
      <c r="A909" t="s">
        <v>970</v>
      </c>
      <c r="B909" s="1">
        <v>46202</v>
      </c>
      <c r="C909" t="s">
        <v>80</v>
      </c>
      <c r="D909" t="s">
        <v>46</v>
      </c>
      <c r="E909" t="s">
        <v>30</v>
      </c>
      <c r="F909" t="s">
        <v>22</v>
      </c>
      <c r="G909" t="s">
        <v>23</v>
      </c>
      <c r="H909">
        <v>77</v>
      </c>
      <c r="I909">
        <v>119</v>
      </c>
      <c r="J909">
        <v>27</v>
      </c>
      <c r="K909">
        <v>169</v>
      </c>
      <c r="L909">
        <v>51</v>
      </c>
      <c r="M909" s="2">
        <v>1057.01</v>
      </c>
      <c r="N909">
        <v>7</v>
      </c>
      <c r="O909">
        <v>0</v>
      </c>
      <c r="P909" t="s">
        <v>33</v>
      </c>
      <c r="Q909" t="s">
        <v>47</v>
      </c>
      <c r="R909" t="s">
        <v>26</v>
      </c>
      <c r="S909" s="2">
        <f t="shared" si="14"/>
        <v>178634.69</v>
      </c>
    </row>
    <row r="910" spans="1:19" x14ac:dyDescent="0.3">
      <c r="A910" t="s">
        <v>971</v>
      </c>
      <c r="B910" s="1">
        <v>46362</v>
      </c>
      <c r="C910" t="s">
        <v>52</v>
      </c>
      <c r="D910" t="s">
        <v>53</v>
      </c>
      <c r="E910" t="s">
        <v>58</v>
      </c>
      <c r="F910" t="s">
        <v>37</v>
      </c>
      <c r="G910" t="s">
        <v>38</v>
      </c>
      <c r="H910">
        <v>133</v>
      </c>
      <c r="I910">
        <v>78</v>
      </c>
      <c r="J910">
        <v>16</v>
      </c>
      <c r="K910">
        <v>195</v>
      </c>
      <c r="L910">
        <v>97</v>
      </c>
      <c r="M910" s="2">
        <v>630.84</v>
      </c>
      <c r="N910">
        <v>7</v>
      </c>
      <c r="O910">
        <v>0</v>
      </c>
      <c r="P910" t="s">
        <v>33</v>
      </c>
      <c r="Q910" t="s">
        <v>34</v>
      </c>
      <c r="R910" t="s">
        <v>26</v>
      </c>
      <c r="S910" s="2">
        <f t="shared" si="14"/>
        <v>123013.8</v>
      </c>
    </row>
    <row r="911" spans="1:19" x14ac:dyDescent="0.3">
      <c r="A911" t="s">
        <v>972</v>
      </c>
      <c r="B911" s="1">
        <v>46095</v>
      </c>
      <c r="C911" t="s">
        <v>68</v>
      </c>
      <c r="D911" t="s">
        <v>53</v>
      </c>
      <c r="E911" t="s">
        <v>75</v>
      </c>
      <c r="F911" t="s">
        <v>37</v>
      </c>
      <c r="G911" t="s">
        <v>38</v>
      </c>
      <c r="H911">
        <v>215</v>
      </c>
      <c r="I911">
        <v>86</v>
      </c>
      <c r="J911">
        <v>108</v>
      </c>
      <c r="K911">
        <v>193</v>
      </c>
      <c r="L911">
        <v>85</v>
      </c>
      <c r="M911" s="2">
        <v>542.49</v>
      </c>
      <c r="N911">
        <v>5</v>
      </c>
      <c r="O911">
        <v>0</v>
      </c>
      <c r="P911" t="s">
        <v>33</v>
      </c>
      <c r="Q911" t="s">
        <v>47</v>
      </c>
      <c r="R911" t="s">
        <v>26</v>
      </c>
      <c r="S911" s="2">
        <f t="shared" si="14"/>
        <v>104700.57</v>
      </c>
    </row>
    <row r="912" spans="1:19" x14ac:dyDescent="0.3">
      <c r="A912" t="s">
        <v>973</v>
      </c>
      <c r="B912" s="1">
        <v>46216</v>
      </c>
      <c r="C912" t="s">
        <v>146</v>
      </c>
      <c r="D912" t="s">
        <v>46</v>
      </c>
      <c r="E912" t="s">
        <v>75</v>
      </c>
      <c r="F912" t="s">
        <v>22</v>
      </c>
      <c r="G912" t="s">
        <v>23</v>
      </c>
      <c r="H912">
        <v>187</v>
      </c>
      <c r="I912">
        <v>114</v>
      </c>
      <c r="J912">
        <v>104</v>
      </c>
      <c r="K912">
        <v>197</v>
      </c>
      <c r="L912">
        <v>72</v>
      </c>
      <c r="M912" s="2">
        <v>1457.83</v>
      </c>
      <c r="N912">
        <v>7</v>
      </c>
      <c r="O912">
        <v>0</v>
      </c>
      <c r="P912" t="s">
        <v>24</v>
      </c>
      <c r="Q912" t="s">
        <v>47</v>
      </c>
      <c r="R912" t="s">
        <v>81</v>
      </c>
      <c r="S912" s="2">
        <f t="shared" si="14"/>
        <v>287192.51</v>
      </c>
    </row>
    <row r="913" spans="1:19" x14ac:dyDescent="0.3">
      <c r="A913" t="s">
        <v>974</v>
      </c>
      <c r="B913" s="1">
        <v>46164</v>
      </c>
      <c r="C913" t="s">
        <v>89</v>
      </c>
      <c r="D913" t="s">
        <v>20</v>
      </c>
      <c r="E913" t="s">
        <v>30</v>
      </c>
      <c r="F913" t="s">
        <v>1582</v>
      </c>
      <c r="G913" t="s">
        <v>1583</v>
      </c>
      <c r="H913">
        <v>174</v>
      </c>
      <c r="I913">
        <v>42</v>
      </c>
      <c r="J913">
        <v>48</v>
      </c>
      <c r="K913">
        <v>168</v>
      </c>
      <c r="L913">
        <v>88</v>
      </c>
      <c r="M913" s="2">
        <v>1163.72</v>
      </c>
      <c r="N913">
        <v>4</v>
      </c>
      <c r="O913">
        <v>0</v>
      </c>
      <c r="P913" t="s">
        <v>33</v>
      </c>
      <c r="Q913" t="s">
        <v>34</v>
      </c>
      <c r="R913" t="s">
        <v>26</v>
      </c>
      <c r="S913" s="2">
        <f t="shared" si="14"/>
        <v>195504.96</v>
      </c>
    </row>
    <row r="914" spans="1:19" x14ac:dyDescent="0.3">
      <c r="A914" t="s">
        <v>975</v>
      </c>
      <c r="B914" s="1">
        <v>46027</v>
      </c>
      <c r="C914" t="s">
        <v>80</v>
      </c>
      <c r="D914" t="s">
        <v>46</v>
      </c>
      <c r="E914" t="s">
        <v>75</v>
      </c>
      <c r="F914" t="s">
        <v>37</v>
      </c>
      <c r="G914" t="s">
        <v>38</v>
      </c>
      <c r="H914">
        <v>196</v>
      </c>
      <c r="I914">
        <v>35</v>
      </c>
      <c r="J914">
        <v>70</v>
      </c>
      <c r="K914">
        <v>161</v>
      </c>
      <c r="L914">
        <v>95</v>
      </c>
      <c r="M914" s="2">
        <v>1090.1099999999999</v>
      </c>
      <c r="N914">
        <v>8</v>
      </c>
      <c r="O914">
        <v>0</v>
      </c>
      <c r="P914" t="s">
        <v>33</v>
      </c>
      <c r="Q914" t="s">
        <v>34</v>
      </c>
      <c r="R914" t="s">
        <v>26</v>
      </c>
      <c r="S914" s="2">
        <f t="shared" si="14"/>
        <v>175507.71</v>
      </c>
    </row>
    <row r="915" spans="1:19" x14ac:dyDescent="0.3">
      <c r="A915" t="s">
        <v>976</v>
      </c>
      <c r="B915" s="1">
        <v>46173</v>
      </c>
      <c r="C915" t="s">
        <v>72</v>
      </c>
      <c r="D915" t="s">
        <v>50</v>
      </c>
      <c r="E915" t="s">
        <v>58</v>
      </c>
      <c r="F915" t="s">
        <v>22</v>
      </c>
      <c r="G915" t="s">
        <v>23</v>
      </c>
      <c r="H915">
        <v>173</v>
      </c>
      <c r="I915">
        <v>57</v>
      </c>
      <c r="J915">
        <v>94</v>
      </c>
      <c r="K915">
        <v>136</v>
      </c>
      <c r="L915">
        <v>80</v>
      </c>
      <c r="M915" s="2">
        <v>2272.3000000000002</v>
      </c>
      <c r="N915">
        <v>4</v>
      </c>
      <c r="O915">
        <v>0</v>
      </c>
      <c r="P915" t="s">
        <v>33</v>
      </c>
      <c r="Q915" t="s">
        <v>34</v>
      </c>
      <c r="R915" t="s">
        <v>26</v>
      </c>
      <c r="S915" s="2">
        <f t="shared" si="14"/>
        <v>309032.80000000005</v>
      </c>
    </row>
    <row r="916" spans="1:19" x14ac:dyDescent="0.3">
      <c r="A916" t="s">
        <v>977</v>
      </c>
      <c r="B916" s="1">
        <v>46023</v>
      </c>
      <c r="C916" t="s">
        <v>40</v>
      </c>
      <c r="D916" t="s">
        <v>20</v>
      </c>
      <c r="E916" t="s">
        <v>75</v>
      </c>
      <c r="F916" t="s">
        <v>22</v>
      </c>
      <c r="G916" t="s">
        <v>23</v>
      </c>
      <c r="H916">
        <v>112</v>
      </c>
      <c r="I916">
        <v>125</v>
      </c>
      <c r="J916">
        <v>90</v>
      </c>
      <c r="K916">
        <v>147</v>
      </c>
      <c r="L916">
        <v>52</v>
      </c>
      <c r="M916" s="2">
        <v>819.57</v>
      </c>
      <c r="N916">
        <v>4</v>
      </c>
      <c r="O916">
        <v>0</v>
      </c>
      <c r="P916" t="s">
        <v>24</v>
      </c>
      <c r="Q916" t="s">
        <v>47</v>
      </c>
      <c r="R916" t="s">
        <v>26</v>
      </c>
      <c r="S916" s="2">
        <f t="shared" si="14"/>
        <v>120476.79000000001</v>
      </c>
    </row>
    <row r="917" spans="1:19" x14ac:dyDescent="0.3">
      <c r="A917" t="s">
        <v>978</v>
      </c>
      <c r="B917" s="1">
        <v>46161</v>
      </c>
      <c r="C917" t="s">
        <v>89</v>
      </c>
      <c r="D917" t="s">
        <v>20</v>
      </c>
      <c r="E917" t="s">
        <v>42</v>
      </c>
      <c r="F917" t="s">
        <v>37</v>
      </c>
      <c r="G917" t="s">
        <v>38</v>
      </c>
      <c r="H917">
        <v>112</v>
      </c>
      <c r="I917">
        <v>120</v>
      </c>
      <c r="J917">
        <v>79</v>
      </c>
      <c r="K917">
        <v>153</v>
      </c>
      <c r="L917">
        <v>87</v>
      </c>
      <c r="M917" s="2">
        <v>1310.05</v>
      </c>
      <c r="N917">
        <v>6</v>
      </c>
      <c r="O917">
        <v>0</v>
      </c>
      <c r="P917" t="s">
        <v>24</v>
      </c>
      <c r="Q917" t="s">
        <v>34</v>
      </c>
      <c r="R917" t="s">
        <v>26</v>
      </c>
      <c r="S917" s="2">
        <f t="shared" si="14"/>
        <v>200437.65</v>
      </c>
    </row>
    <row r="918" spans="1:19" x14ac:dyDescent="0.3">
      <c r="A918" t="s">
        <v>979</v>
      </c>
      <c r="B918" s="1">
        <v>46239</v>
      </c>
      <c r="C918" t="s">
        <v>28</v>
      </c>
      <c r="D918" t="s">
        <v>29</v>
      </c>
      <c r="E918" t="s">
        <v>58</v>
      </c>
      <c r="F918" t="s">
        <v>31</v>
      </c>
      <c r="G918" t="s">
        <v>32</v>
      </c>
      <c r="H918">
        <v>114</v>
      </c>
      <c r="I918">
        <v>48</v>
      </c>
      <c r="J918">
        <v>19</v>
      </c>
      <c r="K918">
        <v>143</v>
      </c>
      <c r="L918">
        <v>75</v>
      </c>
      <c r="M918" s="2">
        <v>1412.56</v>
      </c>
      <c r="N918">
        <v>3</v>
      </c>
      <c r="O918">
        <v>0</v>
      </c>
      <c r="P918" t="s">
        <v>33</v>
      </c>
      <c r="Q918" t="s">
        <v>34</v>
      </c>
      <c r="R918" t="s">
        <v>26</v>
      </c>
      <c r="S918" s="2">
        <f t="shared" si="14"/>
        <v>201996.08</v>
      </c>
    </row>
    <row r="919" spans="1:19" x14ac:dyDescent="0.3">
      <c r="A919" t="s">
        <v>980</v>
      </c>
      <c r="B919" s="1">
        <v>46125</v>
      </c>
      <c r="C919" t="s">
        <v>57</v>
      </c>
      <c r="D919" t="s">
        <v>50</v>
      </c>
      <c r="E919" t="s">
        <v>21</v>
      </c>
      <c r="F919" t="s">
        <v>37</v>
      </c>
      <c r="G919" t="s">
        <v>38</v>
      </c>
      <c r="H919">
        <v>192</v>
      </c>
      <c r="I919">
        <v>59</v>
      </c>
      <c r="J919">
        <v>37</v>
      </c>
      <c r="K919">
        <v>214</v>
      </c>
      <c r="L919">
        <v>81</v>
      </c>
      <c r="M919" s="2">
        <v>2764.06</v>
      </c>
      <c r="N919">
        <v>4</v>
      </c>
      <c r="O919">
        <v>0</v>
      </c>
      <c r="P919" t="s">
        <v>33</v>
      </c>
      <c r="Q919" t="s">
        <v>47</v>
      </c>
      <c r="R919" t="s">
        <v>26</v>
      </c>
      <c r="S919" s="2">
        <f t="shared" si="14"/>
        <v>591508.84</v>
      </c>
    </row>
    <row r="920" spans="1:19" x14ac:dyDescent="0.3">
      <c r="A920" t="s">
        <v>981</v>
      </c>
      <c r="B920" s="1">
        <v>46246</v>
      </c>
      <c r="C920" t="s">
        <v>80</v>
      </c>
      <c r="D920" t="s">
        <v>46</v>
      </c>
      <c r="E920" t="s">
        <v>58</v>
      </c>
      <c r="F920" t="s">
        <v>22</v>
      </c>
      <c r="G920" t="s">
        <v>23</v>
      </c>
      <c r="H920">
        <v>117</v>
      </c>
      <c r="I920">
        <v>59</v>
      </c>
      <c r="J920">
        <v>25</v>
      </c>
      <c r="K920">
        <v>151</v>
      </c>
      <c r="L920">
        <v>64</v>
      </c>
      <c r="M920" s="2">
        <v>1114.67</v>
      </c>
      <c r="N920">
        <v>7</v>
      </c>
      <c r="O920">
        <v>0</v>
      </c>
      <c r="P920" t="s">
        <v>33</v>
      </c>
      <c r="Q920" t="s">
        <v>47</v>
      </c>
      <c r="R920" t="s">
        <v>26</v>
      </c>
      <c r="S920" s="2">
        <f t="shared" si="14"/>
        <v>168315.17</v>
      </c>
    </row>
    <row r="921" spans="1:19" x14ac:dyDescent="0.3">
      <c r="A921" t="s">
        <v>982</v>
      </c>
      <c r="B921" s="1">
        <v>46233</v>
      </c>
      <c r="C921" t="s">
        <v>98</v>
      </c>
      <c r="D921" t="s">
        <v>20</v>
      </c>
      <c r="E921" t="s">
        <v>30</v>
      </c>
      <c r="F921" t="s">
        <v>1582</v>
      </c>
      <c r="G921" t="s">
        <v>1583</v>
      </c>
      <c r="H921">
        <v>217</v>
      </c>
      <c r="I921">
        <v>60</v>
      </c>
      <c r="J921">
        <v>79</v>
      </c>
      <c r="K921">
        <v>198</v>
      </c>
      <c r="L921">
        <v>88</v>
      </c>
      <c r="M921" s="2">
        <v>1459.53</v>
      </c>
      <c r="N921">
        <v>5</v>
      </c>
      <c r="O921">
        <v>0</v>
      </c>
      <c r="P921" t="s">
        <v>33</v>
      </c>
      <c r="Q921" t="s">
        <v>47</v>
      </c>
      <c r="R921" t="s">
        <v>26</v>
      </c>
      <c r="S921" s="2">
        <f t="shared" si="14"/>
        <v>288986.94</v>
      </c>
    </row>
    <row r="922" spans="1:19" x14ac:dyDescent="0.3">
      <c r="A922" t="s">
        <v>983</v>
      </c>
      <c r="B922" s="1">
        <v>46088</v>
      </c>
      <c r="C922" t="s">
        <v>57</v>
      </c>
      <c r="D922" t="s">
        <v>50</v>
      </c>
      <c r="E922" t="s">
        <v>30</v>
      </c>
      <c r="F922" t="s">
        <v>31</v>
      </c>
      <c r="G922" t="s">
        <v>32</v>
      </c>
      <c r="H922">
        <v>147</v>
      </c>
      <c r="I922">
        <v>31</v>
      </c>
      <c r="J922">
        <v>32</v>
      </c>
      <c r="K922">
        <v>146</v>
      </c>
      <c r="L922">
        <v>84</v>
      </c>
      <c r="M922" s="2">
        <v>3027.84</v>
      </c>
      <c r="N922">
        <v>8</v>
      </c>
      <c r="O922">
        <v>0</v>
      </c>
      <c r="P922" t="s">
        <v>33</v>
      </c>
      <c r="Q922" t="s">
        <v>34</v>
      </c>
      <c r="R922" t="s">
        <v>26</v>
      </c>
      <c r="S922" s="2">
        <f t="shared" si="14"/>
        <v>442064.64000000001</v>
      </c>
    </row>
    <row r="923" spans="1:19" x14ac:dyDescent="0.3">
      <c r="A923" t="s">
        <v>984</v>
      </c>
      <c r="B923" s="1">
        <v>46066</v>
      </c>
      <c r="C923" t="s">
        <v>52</v>
      </c>
      <c r="D923" t="s">
        <v>53</v>
      </c>
      <c r="E923" t="s">
        <v>75</v>
      </c>
      <c r="F923" t="s">
        <v>1582</v>
      </c>
      <c r="G923" t="s">
        <v>1583</v>
      </c>
      <c r="H923">
        <v>72</v>
      </c>
      <c r="I923">
        <v>71</v>
      </c>
      <c r="J923">
        <v>100</v>
      </c>
      <c r="K923">
        <v>43</v>
      </c>
      <c r="L923">
        <v>45</v>
      </c>
      <c r="M923" s="2">
        <v>645.16999999999996</v>
      </c>
      <c r="N923">
        <v>8</v>
      </c>
      <c r="O923">
        <v>8</v>
      </c>
      <c r="P923" t="s">
        <v>33</v>
      </c>
      <c r="Q923" t="s">
        <v>34</v>
      </c>
      <c r="R923" t="s">
        <v>43</v>
      </c>
      <c r="S923" s="2">
        <f t="shared" si="14"/>
        <v>27742.309999999998</v>
      </c>
    </row>
    <row r="924" spans="1:19" x14ac:dyDescent="0.3">
      <c r="A924" t="s">
        <v>985</v>
      </c>
      <c r="B924" s="1">
        <v>46322</v>
      </c>
      <c r="C924" t="s">
        <v>89</v>
      </c>
      <c r="D924" t="s">
        <v>20</v>
      </c>
      <c r="E924" t="s">
        <v>75</v>
      </c>
      <c r="F924" t="s">
        <v>37</v>
      </c>
      <c r="G924" t="s">
        <v>38</v>
      </c>
      <c r="H924">
        <v>192</v>
      </c>
      <c r="I924">
        <v>32</v>
      </c>
      <c r="J924">
        <v>52</v>
      </c>
      <c r="K924">
        <v>172</v>
      </c>
      <c r="L924">
        <v>81</v>
      </c>
      <c r="M924" s="2">
        <v>1195.55</v>
      </c>
      <c r="N924">
        <v>4</v>
      </c>
      <c r="O924">
        <v>0</v>
      </c>
      <c r="P924" t="s">
        <v>33</v>
      </c>
      <c r="Q924" t="s">
        <v>34</v>
      </c>
      <c r="R924" t="s">
        <v>26</v>
      </c>
      <c r="S924" s="2">
        <f t="shared" si="14"/>
        <v>205634.6</v>
      </c>
    </row>
    <row r="925" spans="1:19" x14ac:dyDescent="0.3">
      <c r="A925" t="s">
        <v>986</v>
      </c>
      <c r="B925" s="1">
        <v>46344</v>
      </c>
      <c r="C925" t="s">
        <v>77</v>
      </c>
      <c r="D925" t="s">
        <v>53</v>
      </c>
      <c r="E925" t="s">
        <v>42</v>
      </c>
      <c r="F925" t="s">
        <v>22</v>
      </c>
      <c r="G925" t="s">
        <v>23</v>
      </c>
      <c r="H925">
        <v>183</v>
      </c>
      <c r="I925">
        <v>114</v>
      </c>
      <c r="J925">
        <v>78</v>
      </c>
      <c r="K925">
        <v>219</v>
      </c>
      <c r="L925">
        <v>53</v>
      </c>
      <c r="M925" s="2">
        <v>472.35</v>
      </c>
      <c r="N925">
        <v>7</v>
      </c>
      <c r="O925">
        <v>0</v>
      </c>
      <c r="P925" t="s">
        <v>33</v>
      </c>
      <c r="Q925" t="s">
        <v>47</v>
      </c>
      <c r="R925" t="s">
        <v>26</v>
      </c>
      <c r="S925" s="2">
        <f t="shared" si="14"/>
        <v>103444.65000000001</v>
      </c>
    </row>
    <row r="926" spans="1:19" x14ac:dyDescent="0.3">
      <c r="A926" t="s">
        <v>987</v>
      </c>
      <c r="B926" s="1">
        <v>46281</v>
      </c>
      <c r="C926" t="s">
        <v>109</v>
      </c>
      <c r="D926" t="s">
        <v>46</v>
      </c>
      <c r="E926" t="s">
        <v>58</v>
      </c>
      <c r="F926" t="s">
        <v>22</v>
      </c>
      <c r="G926" t="s">
        <v>23</v>
      </c>
      <c r="H926">
        <v>69</v>
      </c>
      <c r="I926">
        <v>28</v>
      </c>
      <c r="J926">
        <v>15</v>
      </c>
      <c r="K926">
        <v>82</v>
      </c>
      <c r="L926">
        <v>54</v>
      </c>
      <c r="M926" s="2">
        <v>3266.43</v>
      </c>
      <c r="N926">
        <v>6</v>
      </c>
      <c r="O926">
        <v>2</v>
      </c>
      <c r="P926" t="s">
        <v>24</v>
      </c>
      <c r="Q926" t="s">
        <v>34</v>
      </c>
      <c r="R926" t="s">
        <v>26</v>
      </c>
      <c r="S926" s="2">
        <f t="shared" si="14"/>
        <v>267847.26</v>
      </c>
    </row>
    <row r="927" spans="1:19" x14ac:dyDescent="0.3">
      <c r="A927" t="s">
        <v>988</v>
      </c>
      <c r="B927" s="1">
        <v>46336</v>
      </c>
      <c r="C927" t="s">
        <v>55</v>
      </c>
      <c r="D927" t="s">
        <v>50</v>
      </c>
      <c r="E927" t="s">
        <v>75</v>
      </c>
      <c r="F927" t="s">
        <v>31</v>
      </c>
      <c r="G927" t="s">
        <v>32</v>
      </c>
      <c r="H927">
        <v>116</v>
      </c>
      <c r="I927">
        <v>71</v>
      </c>
      <c r="J927">
        <v>76</v>
      </c>
      <c r="K927">
        <v>111</v>
      </c>
      <c r="L927">
        <v>56</v>
      </c>
      <c r="M927" s="2">
        <v>1064.05</v>
      </c>
      <c r="N927">
        <v>8</v>
      </c>
      <c r="O927">
        <v>0</v>
      </c>
      <c r="P927" t="s">
        <v>33</v>
      </c>
      <c r="Q927" t="s">
        <v>34</v>
      </c>
      <c r="R927" t="s">
        <v>26</v>
      </c>
      <c r="S927" s="2">
        <f t="shared" si="14"/>
        <v>118109.54999999999</v>
      </c>
    </row>
    <row r="928" spans="1:19" x14ac:dyDescent="0.3">
      <c r="A928" t="s">
        <v>989</v>
      </c>
      <c r="B928" s="1">
        <v>46381</v>
      </c>
      <c r="C928" t="s">
        <v>57</v>
      </c>
      <c r="D928" t="s">
        <v>50</v>
      </c>
      <c r="E928" t="s">
        <v>58</v>
      </c>
      <c r="F928" t="s">
        <v>22</v>
      </c>
      <c r="G928" t="s">
        <v>23</v>
      </c>
      <c r="H928">
        <v>202</v>
      </c>
      <c r="I928">
        <v>22</v>
      </c>
      <c r="J928">
        <v>38</v>
      </c>
      <c r="K928">
        <v>186</v>
      </c>
      <c r="L928">
        <v>54</v>
      </c>
      <c r="M928" s="2">
        <v>2978.39</v>
      </c>
      <c r="N928">
        <v>7</v>
      </c>
      <c r="O928">
        <v>0</v>
      </c>
      <c r="P928" t="s">
        <v>33</v>
      </c>
      <c r="Q928" t="s">
        <v>47</v>
      </c>
      <c r="R928" t="s">
        <v>26</v>
      </c>
      <c r="S928" s="2">
        <f t="shared" si="14"/>
        <v>553980.53999999992</v>
      </c>
    </row>
    <row r="929" spans="1:19" x14ac:dyDescent="0.3">
      <c r="A929" t="s">
        <v>990</v>
      </c>
      <c r="B929" s="1">
        <v>46220</v>
      </c>
      <c r="C929" t="s">
        <v>87</v>
      </c>
      <c r="D929" t="s">
        <v>53</v>
      </c>
      <c r="E929" t="s">
        <v>58</v>
      </c>
      <c r="F929" t="s">
        <v>1582</v>
      </c>
      <c r="G929" t="s">
        <v>1583</v>
      </c>
      <c r="H929">
        <v>114</v>
      </c>
      <c r="I929">
        <v>57</v>
      </c>
      <c r="J929">
        <v>100</v>
      </c>
      <c r="K929">
        <v>71</v>
      </c>
      <c r="L929">
        <v>51</v>
      </c>
      <c r="M929" s="2">
        <v>491.32</v>
      </c>
      <c r="N929">
        <v>5</v>
      </c>
      <c r="O929">
        <v>0</v>
      </c>
      <c r="P929" t="s">
        <v>33</v>
      </c>
      <c r="Q929" t="s">
        <v>34</v>
      </c>
      <c r="R929" t="s">
        <v>26</v>
      </c>
      <c r="S929" s="2">
        <f t="shared" si="14"/>
        <v>34883.72</v>
      </c>
    </row>
    <row r="930" spans="1:19" x14ac:dyDescent="0.3">
      <c r="A930" t="s">
        <v>991</v>
      </c>
      <c r="B930" s="1">
        <v>46356</v>
      </c>
      <c r="C930" t="s">
        <v>40</v>
      </c>
      <c r="D930" t="s">
        <v>20</v>
      </c>
      <c r="E930" t="s">
        <v>58</v>
      </c>
      <c r="F930" t="s">
        <v>1582</v>
      </c>
      <c r="G930" t="s">
        <v>1583</v>
      </c>
      <c r="H930">
        <v>77</v>
      </c>
      <c r="I930">
        <v>23</v>
      </c>
      <c r="J930">
        <v>51</v>
      </c>
      <c r="K930">
        <v>49</v>
      </c>
      <c r="L930">
        <v>74</v>
      </c>
      <c r="M930" s="2">
        <v>831.62</v>
      </c>
      <c r="N930">
        <v>5</v>
      </c>
      <c r="O930">
        <v>5</v>
      </c>
      <c r="P930" t="s">
        <v>24</v>
      </c>
      <c r="Q930" t="s">
        <v>34</v>
      </c>
      <c r="R930" t="s">
        <v>26</v>
      </c>
      <c r="S930" s="2">
        <f t="shared" si="14"/>
        <v>40749.379999999997</v>
      </c>
    </row>
    <row r="931" spans="1:19" x14ac:dyDescent="0.3">
      <c r="A931" t="s">
        <v>992</v>
      </c>
      <c r="B931" s="1">
        <v>46384</v>
      </c>
      <c r="C931" t="s">
        <v>68</v>
      </c>
      <c r="D931" t="s">
        <v>53</v>
      </c>
      <c r="E931" t="s">
        <v>75</v>
      </c>
      <c r="F931" t="s">
        <v>37</v>
      </c>
      <c r="G931" t="s">
        <v>38</v>
      </c>
      <c r="H931">
        <v>75</v>
      </c>
      <c r="I931">
        <v>79</v>
      </c>
      <c r="J931">
        <v>107</v>
      </c>
      <c r="K931">
        <v>47</v>
      </c>
      <c r="L931">
        <v>74</v>
      </c>
      <c r="M931" s="2">
        <v>573.23</v>
      </c>
      <c r="N931">
        <v>3</v>
      </c>
      <c r="O931">
        <v>4</v>
      </c>
      <c r="P931" t="s">
        <v>33</v>
      </c>
      <c r="Q931" t="s">
        <v>25</v>
      </c>
      <c r="R931" t="s">
        <v>26</v>
      </c>
      <c r="S931" s="2">
        <f t="shared" si="14"/>
        <v>26941.81</v>
      </c>
    </row>
    <row r="932" spans="1:19" x14ac:dyDescent="0.3">
      <c r="A932" t="s">
        <v>993</v>
      </c>
      <c r="B932" s="1">
        <v>46094</v>
      </c>
      <c r="C932" t="s">
        <v>68</v>
      </c>
      <c r="D932" t="s">
        <v>53</v>
      </c>
      <c r="E932" t="s">
        <v>30</v>
      </c>
      <c r="F932" t="s">
        <v>31</v>
      </c>
      <c r="G932" t="s">
        <v>32</v>
      </c>
      <c r="H932">
        <v>84</v>
      </c>
      <c r="I932">
        <v>103</v>
      </c>
      <c r="J932">
        <v>34</v>
      </c>
      <c r="K932">
        <v>153</v>
      </c>
      <c r="L932">
        <v>67</v>
      </c>
      <c r="M932" s="2">
        <v>618.71</v>
      </c>
      <c r="N932">
        <v>6</v>
      </c>
      <c r="O932">
        <v>0</v>
      </c>
      <c r="P932" t="s">
        <v>33</v>
      </c>
      <c r="Q932" t="s">
        <v>47</v>
      </c>
      <c r="R932" t="s">
        <v>59</v>
      </c>
      <c r="S932" s="2">
        <f t="shared" si="14"/>
        <v>94662.63</v>
      </c>
    </row>
    <row r="933" spans="1:19" x14ac:dyDescent="0.3">
      <c r="A933" t="s">
        <v>994</v>
      </c>
      <c r="B933" s="1">
        <v>46360</v>
      </c>
      <c r="C933" t="s">
        <v>45</v>
      </c>
      <c r="D933" t="s">
        <v>46</v>
      </c>
      <c r="E933" t="s">
        <v>58</v>
      </c>
      <c r="F933" t="s">
        <v>31</v>
      </c>
      <c r="G933" t="s">
        <v>32</v>
      </c>
      <c r="H933">
        <v>205</v>
      </c>
      <c r="I933">
        <v>81</v>
      </c>
      <c r="J933">
        <v>63</v>
      </c>
      <c r="K933">
        <v>223</v>
      </c>
      <c r="L933">
        <v>75</v>
      </c>
      <c r="M933" s="2">
        <v>816.93</v>
      </c>
      <c r="N933">
        <v>3</v>
      </c>
      <c r="O933">
        <v>0</v>
      </c>
      <c r="P933" t="s">
        <v>33</v>
      </c>
      <c r="Q933" t="s">
        <v>47</v>
      </c>
      <c r="R933" t="s">
        <v>81</v>
      </c>
      <c r="S933" s="2">
        <f t="shared" si="14"/>
        <v>182175.38999999998</v>
      </c>
    </row>
    <row r="934" spans="1:19" x14ac:dyDescent="0.3">
      <c r="A934" t="s">
        <v>995</v>
      </c>
      <c r="B934" s="1">
        <v>46104</v>
      </c>
      <c r="C934" t="s">
        <v>52</v>
      </c>
      <c r="D934" t="s">
        <v>53</v>
      </c>
      <c r="E934" t="s">
        <v>42</v>
      </c>
      <c r="F934" t="s">
        <v>37</v>
      </c>
      <c r="G934" t="s">
        <v>38</v>
      </c>
      <c r="H934">
        <v>190</v>
      </c>
      <c r="I934">
        <v>94</v>
      </c>
      <c r="J934">
        <v>59</v>
      </c>
      <c r="K934">
        <v>225</v>
      </c>
      <c r="L934">
        <v>82</v>
      </c>
      <c r="M934" s="2">
        <v>665.27</v>
      </c>
      <c r="N934">
        <v>5</v>
      </c>
      <c r="O934">
        <v>0</v>
      </c>
      <c r="P934" t="s">
        <v>24</v>
      </c>
      <c r="Q934" t="s">
        <v>47</v>
      </c>
      <c r="R934" t="s">
        <v>26</v>
      </c>
      <c r="S934" s="2">
        <f t="shared" si="14"/>
        <v>149685.75</v>
      </c>
    </row>
    <row r="935" spans="1:19" x14ac:dyDescent="0.3">
      <c r="A935" t="s">
        <v>996</v>
      </c>
      <c r="B935" s="1">
        <v>46144</v>
      </c>
      <c r="C935" t="s">
        <v>62</v>
      </c>
      <c r="D935" t="s">
        <v>29</v>
      </c>
      <c r="E935" t="s">
        <v>75</v>
      </c>
      <c r="F935" t="s">
        <v>1582</v>
      </c>
      <c r="G935" t="s">
        <v>1583</v>
      </c>
      <c r="H935">
        <v>213</v>
      </c>
      <c r="I935">
        <v>80</v>
      </c>
      <c r="J935">
        <v>56</v>
      </c>
      <c r="K935">
        <v>237</v>
      </c>
      <c r="L935">
        <v>93</v>
      </c>
      <c r="M935" s="2">
        <v>662.41</v>
      </c>
      <c r="N935">
        <v>8</v>
      </c>
      <c r="O935">
        <v>0</v>
      </c>
      <c r="P935" t="s">
        <v>33</v>
      </c>
      <c r="Q935" t="s">
        <v>47</v>
      </c>
      <c r="R935" t="s">
        <v>59</v>
      </c>
      <c r="S935" s="2">
        <f t="shared" si="14"/>
        <v>156991.16999999998</v>
      </c>
    </row>
    <row r="936" spans="1:19" x14ac:dyDescent="0.3">
      <c r="A936" t="s">
        <v>997</v>
      </c>
      <c r="B936" s="1">
        <v>46333</v>
      </c>
      <c r="C936" t="s">
        <v>98</v>
      </c>
      <c r="D936" t="s">
        <v>20</v>
      </c>
      <c r="E936" t="s">
        <v>58</v>
      </c>
      <c r="F936" t="s">
        <v>1582</v>
      </c>
      <c r="G936" t="s">
        <v>1583</v>
      </c>
      <c r="H936">
        <v>56</v>
      </c>
      <c r="I936">
        <v>27</v>
      </c>
      <c r="J936">
        <v>93</v>
      </c>
      <c r="K936">
        <v>0</v>
      </c>
      <c r="L936">
        <v>61</v>
      </c>
      <c r="M936" s="2">
        <v>1292.05</v>
      </c>
      <c r="N936">
        <v>8</v>
      </c>
      <c r="O936">
        <v>8</v>
      </c>
      <c r="P936" t="s">
        <v>33</v>
      </c>
      <c r="Q936" t="s">
        <v>25</v>
      </c>
      <c r="R936" t="s">
        <v>59</v>
      </c>
      <c r="S936" s="2">
        <f t="shared" si="14"/>
        <v>0</v>
      </c>
    </row>
    <row r="937" spans="1:19" x14ac:dyDescent="0.3">
      <c r="A937" t="s">
        <v>998</v>
      </c>
      <c r="B937" s="1">
        <v>46274</v>
      </c>
      <c r="C937" t="s">
        <v>98</v>
      </c>
      <c r="D937" t="s">
        <v>20</v>
      </c>
      <c r="E937" t="s">
        <v>21</v>
      </c>
      <c r="F937" t="s">
        <v>31</v>
      </c>
      <c r="G937" t="s">
        <v>32</v>
      </c>
      <c r="H937">
        <v>218</v>
      </c>
      <c r="I937">
        <v>77</v>
      </c>
      <c r="J937">
        <v>63</v>
      </c>
      <c r="K937">
        <v>232</v>
      </c>
      <c r="L937">
        <v>53</v>
      </c>
      <c r="M937" s="2">
        <v>1536.88</v>
      </c>
      <c r="N937">
        <v>6</v>
      </c>
      <c r="O937">
        <v>0</v>
      </c>
      <c r="P937" t="s">
        <v>33</v>
      </c>
      <c r="Q937" t="s">
        <v>47</v>
      </c>
      <c r="R937" t="s">
        <v>26</v>
      </c>
      <c r="S937" s="2">
        <f t="shared" si="14"/>
        <v>356556.16000000003</v>
      </c>
    </row>
    <row r="938" spans="1:19" x14ac:dyDescent="0.3">
      <c r="A938" t="s">
        <v>999</v>
      </c>
      <c r="B938" s="1">
        <v>46094</v>
      </c>
      <c r="C938" t="s">
        <v>49</v>
      </c>
      <c r="D938" t="s">
        <v>50</v>
      </c>
      <c r="E938" t="s">
        <v>42</v>
      </c>
      <c r="F938" t="s">
        <v>22</v>
      </c>
      <c r="G938" t="s">
        <v>23</v>
      </c>
      <c r="H938">
        <v>81</v>
      </c>
      <c r="I938">
        <v>75</v>
      </c>
      <c r="J938">
        <v>82</v>
      </c>
      <c r="K938">
        <v>74</v>
      </c>
      <c r="L938">
        <v>96</v>
      </c>
      <c r="M938" s="2">
        <v>1375.4</v>
      </c>
      <c r="N938">
        <v>2</v>
      </c>
      <c r="O938">
        <v>2</v>
      </c>
      <c r="P938" t="s">
        <v>33</v>
      </c>
      <c r="Q938" t="s">
        <v>34</v>
      </c>
      <c r="R938" t="s">
        <v>26</v>
      </c>
      <c r="S938" s="2">
        <f t="shared" si="14"/>
        <v>101779.6</v>
      </c>
    </row>
    <row r="939" spans="1:19" x14ac:dyDescent="0.3">
      <c r="A939" t="s">
        <v>1000</v>
      </c>
      <c r="B939" s="1">
        <v>46129</v>
      </c>
      <c r="C939" t="s">
        <v>89</v>
      </c>
      <c r="D939" t="s">
        <v>20</v>
      </c>
      <c r="E939" t="s">
        <v>58</v>
      </c>
      <c r="F939" t="s">
        <v>31</v>
      </c>
      <c r="G939" t="s">
        <v>32</v>
      </c>
      <c r="H939">
        <v>127</v>
      </c>
      <c r="I939">
        <v>43</v>
      </c>
      <c r="J939">
        <v>102</v>
      </c>
      <c r="K939">
        <v>68</v>
      </c>
      <c r="L939">
        <v>91</v>
      </c>
      <c r="M939" s="2">
        <v>1309.8599999999999</v>
      </c>
      <c r="N939">
        <v>7</v>
      </c>
      <c r="O939">
        <v>8</v>
      </c>
      <c r="P939" t="s">
        <v>33</v>
      </c>
      <c r="Q939" t="s">
        <v>34</v>
      </c>
      <c r="R939" t="s">
        <v>26</v>
      </c>
      <c r="S939" s="2">
        <f t="shared" si="14"/>
        <v>89070.48</v>
      </c>
    </row>
    <row r="940" spans="1:19" x14ac:dyDescent="0.3">
      <c r="A940" t="s">
        <v>1001</v>
      </c>
      <c r="B940" s="1">
        <v>46059</v>
      </c>
      <c r="C940" t="s">
        <v>68</v>
      </c>
      <c r="D940" t="s">
        <v>53</v>
      </c>
      <c r="E940" t="s">
        <v>30</v>
      </c>
      <c r="F940" t="s">
        <v>37</v>
      </c>
      <c r="G940" t="s">
        <v>38</v>
      </c>
      <c r="H940">
        <v>131</v>
      </c>
      <c r="I940">
        <v>99</v>
      </c>
      <c r="J940">
        <v>86</v>
      </c>
      <c r="K940">
        <v>144</v>
      </c>
      <c r="L940">
        <v>99</v>
      </c>
      <c r="M940" s="2">
        <v>556.54</v>
      </c>
      <c r="N940">
        <v>2</v>
      </c>
      <c r="O940">
        <v>0</v>
      </c>
      <c r="P940" t="s">
        <v>33</v>
      </c>
      <c r="Q940" t="s">
        <v>34</v>
      </c>
      <c r="R940" t="s">
        <v>26</v>
      </c>
      <c r="S940" s="2">
        <f t="shared" si="14"/>
        <v>80141.759999999995</v>
      </c>
    </row>
    <row r="941" spans="1:19" x14ac:dyDescent="0.3">
      <c r="A941" t="s">
        <v>1002</v>
      </c>
      <c r="B941" s="1">
        <v>46171</v>
      </c>
      <c r="C941" t="s">
        <v>77</v>
      </c>
      <c r="D941" t="s">
        <v>53</v>
      </c>
      <c r="E941" t="s">
        <v>42</v>
      </c>
      <c r="F941" t="s">
        <v>37</v>
      </c>
      <c r="G941" t="s">
        <v>38</v>
      </c>
      <c r="H941">
        <v>65</v>
      </c>
      <c r="I941">
        <v>35</v>
      </c>
      <c r="J941">
        <v>78</v>
      </c>
      <c r="K941">
        <v>22</v>
      </c>
      <c r="L941">
        <v>59</v>
      </c>
      <c r="M941" s="2">
        <v>455.15</v>
      </c>
      <c r="N941">
        <v>6</v>
      </c>
      <c r="O941">
        <v>4</v>
      </c>
      <c r="P941" t="s">
        <v>33</v>
      </c>
      <c r="Q941" t="s">
        <v>25</v>
      </c>
      <c r="R941" t="s">
        <v>43</v>
      </c>
      <c r="S941" s="2">
        <f t="shared" si="14"/>
        <v>10013.299999999999</v>
      </c>
    </row>
    <row r="942" spans="1:19" x14ac:dyDescent="0.3">
      <c r="A942" t="s">
        <v>1003</v>
      </c>
      <c r="B942" s="1">
        <v>46182</v>
      </c>
      <c r="C942" t="s">
        <v>146</v>
      </c>
      <c r="D942" t="s">
        <v>46</v>
      </c>
      <c r="E942" t="s">
        <v>21</v>
      </c>
      <c r="F942" t="s">
        <v>31</v>
      </c>
      <c r="G942" t="s">
        <v>32</v>
      </c>
      <c r="H942">
        <v>80</v>
      </c>
      <c r="I942">
        <v>56</v>
      </c>
      <c r="J942">
        <v>24</v>
      </c>
      <c r="K942">
        <v>112</v>
      </c>
      <c r="L942">
        <v>79</v>
      </c>
      <c r="M942" s="2">
        <v>1522.61</v>
      </c>
      <c r="N942">
        <v>8</v>
      </c>
      <c r="O942">
        <v>0</v>
      </c>
      <c r="P942" t="s">
        <v>33</v>
      </c>
      <c r="Q942" t="s">
        <v>34</v>
      </c>
      <c r="R942" t="s">
        <v>26</v>
      </c>
      <c r="S942" s="2">
        <f t="shared" si="14"/>
        <v>170532.31999999998</v>
      </c>
    </row>
    <row r="943" spans="1:19" x14ac:dyDescent="0.3">
      <c r="A943" t="s">
        <v>1004</v>
      </c>
      <c r="B943" s="1">
        <v>46053</v>
      </c>
      <c r="C943" t="s">
        <v>57</v>
      </c>
      <c r="D943" t="s">
        <v>50</v>
      </c>
      <c r="E943" t="s">
        <v>30</v>
      </c>
      <c r="F943" t="s">
        <v>31</v>
      </c>
      <c r="G943" t="s">
        <v>32</v>
      </c>
      <c r="H943">
        <v>189</v>
      </c>
      <c r="I943">
        <v>80</v>
      </c>
      <c r="J943">
        <v>48</v>
      </c>
      <c r="K943">
        <v>221</v>
      </c>
      <c r="L943">
        <v>86</v>
      </c>
      <c r="M943" s="2">
        <v>2536.79</v>
      </c>
      <c r="N943">
        <v>4</v>
      </c>
      <c r="O943">
        <v>0</v>
      </c>
      <c r="P943" t="s">
        <v>33</v>
      </c>
      <c r="Q943" t="s">
        <v>47</v>
      </c>
      <c r="R943" t="s">
        <v>26</v>
      </c>
      <c r="S943" s="2">
        <f t="shared" si="14"/>
        <v>560630.59</v>
      </c>
    </row>
    <row r="944" spans="1:19" x14ac:dyDescent="0.3">
      <c r="A944" t="s">
        <v>1005</v>
      </c>
      <c r="B944" s="1">
        <v>46041</v>
      </c>
      <c r="C944" t="s">
        <v>28</v>
      </c>
      <c r="D944" t="s">
        <v>29</v>
      </c>
      <c r="E944" t="s">
        <v>30</v>
      </c>
      <c r="F944" t="s">
        <v>37</v>
      </c>
      <c r="G944" t="s">
        <v>38</v>
      </c>
      <c r="H944">
        <v>209</v>
      </c>
      <c r="I944">
        <v>27</v>
      </c>
      <c r="J944">
        <v>45</v>
      </c>
      <c r="K944">
        <v>191</v>
      </c>
      <c r="L944">
        <v>76</v>
      </c>
      <c r="M944" s="2">
        <v>1188.96</v>
      </c>
      <c r="N944">
        <v>6</v>
      </c>
      <c r="O944">
        <v>0</v>
      </c>
      <c r="P944" t="s">
        <v>33</v>
      </c>
      <c r="Q944" t="s">
        <v>47</v>
      </c>
      <c r="R944" t="s">
        <v>59</v>
      </c>
      <c r="S944" s="2">
        <f t="shared" si="14"/>
        <v>227091.36000000002</v>
      </c>
    </row>
    <row r="945" spans="1:19" x14ac:dyDescent="0.3">
      <c r="A945" t="s">
        <v>1006</v>
      </c>
      <c r="B945" s="1">
        <v>46178</v>
      </c>
      <c r="C945" t="s">
        <v>109</v>
      </c>
      <c r="D945" t="s">
        <v>46</v>
      </c>
      <c r="E945" t="s">
        <v>58</v>
      </c>
      <c r="F945" t="s">
        <v>31</v>
      </c>
      <c r="G945" t="s">
        <v>32</v>
      </c>
      <c r="H945">
        <v>181</v>
      </c>
      <c r="I945">
        <v>81</v>
      </c>
      <c r="J945">
        <v>31</v>
      </c>
      <c r="K945">
        <v>231</v>
      </c>
      <c r="L945">
        <v>62</v>
      </c>
      <c r="M945" s="2">
        <v>3342.93</v>
      </c>
      <c r="N945">
        <v>4</v>
      </c>
      <c r="O945">
        <v>2</v>
      </c>
      <c r="P945" t="s">
        <v>24</v>
      </c>
      <c r="Q945" t="s">
        <v>47</v>
      </c>
      <c r="R945" t="s">
        <v>26</v>
      </c>
      <c r="S945" s="2">
        <f t="shared" si="14"/>
        <v>772216.83</v>
      </c>
    </row>
    <row r="946" spans="1:19" x14ac:dyDescent="0.3">
      <c r="A946" t="s">
        <v>1007</v>
      </c>
      <c r="B946" s="1">
        <v>46216</v>
      </c>
      <c r="C946" t="s">
        <v>62</v>
      </c>
      <c r="D946" t="s">
        <v>29</v>
      </c>
      <c r="E946" t="s">
        <v>75</v>
      </c>
      <c r="F946" t="s">
        <v>31</v>
      </c>
      <c r="G946" t="s">
        <v>32</v>
      </c>
      <c r="H946">
        <v>90</v>
      </c>
      <c r="I946">
        <v>88</v>
      </c>
      <c r="J946">
        <v>92</v>
      </c>
      <c r="K946">
        <v>86</v>
      </c>
      <c r="L946">
        <v>100</v>
      </c>
      <c r="M946" s="2">
        <v>683.11</v>
      </c>
      <c r="N946">
        <v>7</v>
      </c>
      <c r="O946">
        <v>8</v>
      </c>
      <c r="P946" t="s">
        <v>33</v>
      </c>
      <c r="Q946" t="s">
        <v>34</v>
      </c>
      <c r="R946" t="s">
        <v>26</v>
      </c>
      <c r="S946" s="2">
        <f t="shared" si="14"/>
        <v>58747.46</v>
      </c>
    </row>
    <row r="947" spans="1:19" x14ac:dyDescent="0.3">
      <c r="A947" t="s">
        <v>1008</v>
      </c>
      <c r="B947" s="1">
        <v>46141</v>
      </c>
      <c r="C947" t="s">
        <v>36</v>
      </c>
      <c r="D947" t="s">
        <v>29</v>
      </c>
      <c r="E947" t="s">
        <v>58</v>
      </c>
      <c r="F947" t="s">
        <v>22</v>
      </c>
      <c r="G947" t="s">
        <v>23</v>
      </c>
      <c r="H947">
        <v>69</v>
      </c>
      <c r="I947">
        <v>76</v>
      </c>
      <c r="J947">
        <v>30</v>
      </c>
      <c r="K947">
        <v>115</v>
      </c>
      <c r="L947">
        <v>84</v>
      </c>
      <c r="M947" s="2">
        <v>2631.62</v>
      </c>
      <c r="N947">
        <v>7</v>
      </c>
      <c r="O947">
        <v>0</v>
      </c>
      <c r="P947" t="s">
        <v>24</v>
      </c>
      <c r="Q947" t="s">
        <v>34</v>
      </c>
      <c r="R947" t="s">
        <v>26</v>
      </c>
      <c r="S947" s="2">
        <f t="shared" si="14"/>
        <v>302636.3</v>
      </c>
    </row>
    <row r="948" spans="1:19" x14ac:dyDescent="0.3">
      <c r="A948" t="s">
        <v>1009</v>
      </c>
      <c r="B948" s="1">
        <v>46052</v>
      </c>
      <c r="C948" t="s">
        <v>19</v>
      </c>
      <c r="D948" t="s">
        <v>20</v>
      </c>
      <c r="E948" t="s">
        <v>42</v>
      </c>
      <c r="F948" t="s">
        <v>1582</v>
      </c>
      <c r="G948" t="s">
        <v>1583</v>
      </c>
      <c r="H948">
        <v>177</v>
      </c>
      <c r="I948">
        <v>92</v>
      </c>
      <c r="J948">
        <v>20</v>
      </c>
      <c r="K948">
        <v>249</v>
      </c>
      <c r="L948">
        <v>96</v>
      </c>
      <c r="M948" s="2">
        <v>1625.36</v>
      </c>
      <c r="N948">
        <v>7</v>
      </c>
      <c r="O948">
        <v>0</v>
      </c>
      <c r="P948" t="s">
        <v>33</v>
      </c>
      <c r="Q948" t="s">
        <v>47</v>
      </c>
      <c r="R948" t="s">
        <v>26</v>
      </c>
      <c r="S948" s="2">
        <f t="shared" si="14"/>
        <v>404714.63999999996</v>
      </c>
    </row>
    <row r="949" spans="1:19" x14ac:dyDescent="0.3">
      <c r="A949" t="s">
        <v>1010</v>
      </c>
      <c r="B949" s="1">
        <v>46268</v>
      </c>
      <c r="C949" t="s">
        <v>36</v>
      </c>
      <c r="D949" t="s">
        <v>29</v>
      </c>
      <c r="E949" t="s">
        <v>42</v>
      </c>
      <c r="F949" t="s">
        <v>37</v>
      </c>
      <c r="G949" t="s">
        <v>38</v>
      </c>
      <c r="H949">
        <v>51</v>
      </c>
      <c r="I949">
        <v>60</v>
      </c>
      <c r="J949">
        <v>59</v>
      </c>
      <c r="K949">
        <v>52</v>
      </c>
      <c r="L949">
        <v>83</v>
      </c>
      <c r="M949" s="2">
        <v>2474.5</v>
      </c>
      <c r="N949">
        <v>3</v>
      </c>
      <c r="O949">
        <v>3</v>
      </c>
      <c r="P949" t="s">
        <v>33</v>
      </c>
      <c r="Q949" t="s">
        <v>25</v>
      </c>
      <c r="R949" t="s">
        <v>26</v>
      </c>
      <c r="S949" s="2">
        <f t="shared" si="14"/>
        <v>128674</v>
      </c>
    </row>
    <row r="950" spans="1:19" x14ac:dyDescent="0.3">
      <c r="A950" t="s">
        <v>1011</v>
      </c>
      <c r="B950" s="1">
        <v>46305</v>
      </c>
      <c r="C950" t="s">
        <v>19</v>
      </c>
      <c r="D950" t="s">
        <v>20</v>
      </c>
      <c r="E950" t="s">
        <v>75</v>
      </c>
      <c r="F950" t="s">
        <v>37</v>
      </c>
      <c r="G950" t="s">
        <v>38</v>
      </c>
      <c r="H950">
        <v>179</v>
      </c>
      <c r="I950">
        <v>46</v>
      </c>
      <c r="J950">
        <v>78</v>
      </c>
      <c r="K950">
        <v>147</v>
      </c>
      <c r="L950">
        <v>90</v>
      </c>
      <c r="M950" s="2">
        <v>1884.68</v>
      </c>
      <c r="N950">
        <v>6</v>
      </c>
      <c r="O950">
        <v>0</v>
      </c>
      <c r="P950" t="s">
        <v>24</v>
      </c>
      <c r="Q950" t="s">
        <v>34</v>
      </c>
      <c r="R950" t="s">
        <v>26</v>
      </c>
      <c r="S950" s="2">
        <f t="shared" si="14"/>
        <v>277047.96000000002</v>
      </c>
    </row>
    <row r="951" spans="1:19" x14ac:dyDescent="0.3">
      <c r="A951" t="s">
        <v>1012</v>
      </c>
      <c r="B951" s="1">
        <v>46341</v>
      </c>
      <c r="C951" t="s">
        <v>80</v>
      </c>
      <c r="D951" t="s">
        <v>46</v>
      </c>
      <c r="E951" t="s">
        <v>30</v>
      </c>
      <c r="F951" t="s">
        <v>37</v>
      </c>
      <c r="G951" t="s">
        <v>38</v>
      </c>
      <c r="H951">
        <v>121</v>
      </c>
      <c r="I951">
        <v>109</v>
      </c>
      <c r="J951">
        <v>84</v>
      </c>
      <c r="K951">
        <v>146</v>
      </c>
      <c r="L951">
        <v>77</v>
      </c>
      <c r="M951" s="2">
        <v>1012.96</v>
      </c>
      <c r="N951">
        <v>4</v>
      </c>
      <c r="O951">
        <v>0</v>
      </c>
      <c r="P951" t="s">
        <v>33</v>
      </c>
      <c r="Q951" t="s">
        <v>34</v>
      </c>
      <c r="R951" t="s">
        <v>59</v>
      </c>
      <c r="S951" s="2">
        <f t="shared" si="14"/>
        <v>147892.16</v>
      </c>
    </row>
    <row r="952" spans="1:19" x14ac:dyDescent="0.3">
      <c r="A952" t="s">
        <v>1013</v>
      </c>
      <c r="B952" s="1">
        <v>46095</v>
      </c>
      <c r="C952" t="s">
        <v>49</v>
      </c>
      <c r="D952" t="s">
        <v>50</v>
      </c>
      <c r="E952" t="s">
        <v>75</v>
      </c>
      <c r="F952" t="s">
        <v>22</v>
      </c>
      <c r="G952" t="s">
        <v>23</v>
      </c>
      <c r="H952">
        <v>75</v>
      </c>
      <c r="I952">
        <v>127</v>
      </c>
      <c r="J952">
        <v>81</v>
      </c>
      <c r="K952">
        <v>121</v>
      </c>
      <c r="L952">
        <v>59</v>
      </c>
      <c r="M952" s="2">
        <v>1249.28</v>
      </c>
      <c r="N952">
        <v>6</v>
      </c>
      <c r="O952">
        <v>0</v>
      </c>
      <c r="P952" t="s">
        <v>33</v>
      </c>
      <c r="Q952" t="s">
        <v>34</v>
      </c>
      <c r="R952" t="s">
        <v>26</v>
      </c>
      <c r="S952" s="2">
        <f t="shared" si="14"/>
        <v>151162.88</v>
      </c>
    </row>
    <row r="953" spans="1:19" x14ac:dyDescent="0.3">
      <c r="A953" t="s">
        <v>1014</v>
      </c>
      <c r="B953" s="1">
        <v>46066</v>
      </c>
      <c r="C953" t="s">
        <v>98</v>
      </c>
      <c r="D953" t="s">
        <v>20</v>
      </c>
      <c r="E953" t="s">
        <v>58</v>
      </c>
      <c r="F953" t="s">
        <v>1582</v>
      </c>
      <c r="G953" t="s">
        <v>1583</v>
      </c>
      <c r="H953">
        <v>69</v>
      </c>
      <c r="I953">
        <v>22</v>
      </c>
      <c r="J953">
        <v>78</v>
      </c>
      <c r="K953">
        <v>13</v>
      </c>
      <c r="L953">
        <v>98</v>
      </c>
      <c r="M953" s="2">
        <v>1269.45</v>
      </c>
      <c r="N953">
        <v>4</v>
      </c>
      <c r="O953">
        <v>5</v>
      </c>
      <c r="P953" t="s">
        <v>33</v>
      </c>
      <c r="Q953" t="s">
        <v>25</v>
      </c>
      <c r="R953" t="s">
        <v>43</v>
      </c>
      <c r="S953" s="2">
        <f t="shared" si="14"/>
        <v>16502.850000000002</v>
      </c>
    </row>
    <row r="954" spans="1:19" x14ac:dyDescent="0.3">
      <c r="A954" t="s">
        <v>1015</v>
      </c>
      <c r="B954" s="1">
        <v>46243</v>
      </c>
      <c r="C954" t="s">
        <v>89</v>
      </c>
      <c r="D954" t="s">
        <v>20</v>
      </c>
      <c r="E954" t="s">
        <v>30</v>
      </c>
      <c r="F954" t="s">
        <v>1582</v>
      </c>
      <c r="G954" t="s">
        <v>1583</v>
      </c>
      <c r="H954">
        <v>166</v>
      </c>
      <c r="I954">
        <v>22</v>
      </c>
      <c r="J954">
        <v>63</v>
      </c>
      <c r="K954">
        <v>125</v>
      </c>
      <c r="L954">
        <v>69</v>
      </c>
      <c r="M954" s="2">
        <v>1186.56</v>
      </c>
      <c r="N954">
        <v>3</v>
      </c>
      <c r="O954">
        <v>0</v>
      </c>
      <c r="P954" t="s">
        <v>33</v>
      </c>
      <c r="Q954" t="s">
        <v>34</v>
      </c>
      <c r="R954" t="s">
        <v>26</v>
      </c>
      <c r="S954" s="2">
        <f t="shared" si="14"/>
        <v>148320</v>
      </c>
    </row>
    <row r="955" spans="1:19" x14ac:dyDescent="0.3">
      <c r="A955" t="s">
        <v>1016</v>
      </c>
      <c r="B955" s="1">
        <v>46157</v>
      </c>
      <c r="C955" t="s">
        <v>77</v>
      </c>
      <c r="D955" t="s">
        <v>53</v>
      </c>
      <c r="E955" t="s">
        <v>21</v>
      </c>
      <c r="F955" t="s">
        <v>31</v>
      </c>
      <c r="G955" t="s">
        <v>32</v>
      </c>
      <c r="H955">
        <v>178</v>
      </c>
      <c r="I955">
        <v>117</v>
      </c>
      <c r="J955">
        <v>59</v>
      </c>
      <c r="K955">
        <v>236</v>
      </c>
      <c r="L955">
        <v>46</v>
      </c>
      <c r="M955" s="2">
        <v>541.01</v>
      </c>
      <c r="N955">
        <v>8</v>
      </c>
      <c r="O955">
        <v>0</v>
      </c>
      <c r="P955" t="s">
        <v>33</v>
      </c>
      <c r="Q955" t="s">
        <v>47</v>
      </c>
      <c r="R955" t="s">
        <v>81</v>
      </c>
      <c r="S955" s="2">
        <f t="shared" si="14"/>
        <v>127678.36</v>
      </c>
    </row>
    <row r="956" spans="1:19" x14ac:dyDescent="0.3">
      <c r="A956" t="s">
        <v>1017</v>
      </c>
      <c r="B956" s="1">
        <v>46306</v>
      </c>
      <c r="C956" t="s">
        <v>87</v>
      </c>
      <c r="D956" t="s">
        <v>53</v>
      </c>
      <c r="E956" t="s">
        <v>75</v>
      </c>
      <c r="F956" t="s">
        <v>37</v>
      </c>
      <c r="G956" t="s">
        <v>38</v>
      </c>
      <c r="H956">
        <v>199</v>
      </c>
      <c r="I956">
        <v>75</v>
      </c>
      <c r="J956">
        <v>69</v>
      </c>
      <c r="K956">
        <v>205</v>
      </c>
      <c r="L956">
        <v>95</v>
      </c>
      <c r="M956" s="2">
        <v>470.63</v>
      </c>
      <c r="N956">
        <v>7</v>
      </c>
      <c r="O956">
        <v>0</v>
      </c>
      <c r="P956" t="s">
        <v>33</v>
      </c>
      <c r="Q956" t="s">
        <v>34</v>
      </c>
      <c r="R956" t="s">
        <v>43</v>
      </c>
      <c r="S956" s="2">
        <f t="shared" si="14"/>
        <v>96479.15</v>
      </c>
    </row>
    <row r="957" spans="1:19" x14ac:dyDescent="0.3">
      <c r="A957" t="s">
        <v>1018</v>
      </c>
      <c r="B957" s="1">
        <v>46144</v>
      </c>
      <c r="C957" t="s">
        <v>49</v>
      </c>
      <c r="D957" t="s">
        <v>50</v>
      </c>
      <c r="E957" t="s">
        <v>30</v>
      </c>
      <c r="F957" t="s">
        <v>1582</v>
      </c>
      <c r="G957" t="s">
        <v>1583</v>
      </c>
      <c r="H957">
        <v>148</v>
      </c>
      <c r="I957">
        <v>93</v>
      </c>
      <c r="J957">
        <v>107</v>
      </c>
      <c r="K957">
        <v>134</v>
      </c>
      <c r="L957">
        <v>81</v>
      </c>
      <c r="M957" s="2">
        <v>1369.94</v>
      </c>
      <c r="N957">
        <v>4</v>
      </c>
      <c r="O957">
        <v>0</v>
      </c>
      <c r="P957" t="s">
        <v>24</v>
      </c>
      <c r="Q957" t="s">
        <v>34</v>
      </c>
      <c r="R957" t="s">
        <v>26</v>
      </c>
      <c r="S957" s="2">
        <f t="shared" si="14"/>
        <v>183571.96000000002</v>
      </c>
    </row>
    <row r="958" spans="1:19" x14ac:dyDescent="0.3">
      <c r="A958" t="s">
        <v>1019</v>
      </c>
      <c r="B958" s="1">
        <v>46360</v>
      </c>
      <c r="C958" t="s">
        <v>62</v>
      </c>
      <c r="D958" t="s">
        <v>29</v>
      </c>
      <c r="E958" t="s">
        <v>21</v>
      </c>
      <c r="F958" t="s">
        <v>37</v>
      </c>
      <c r="G958" t="s">
        <v>38</v>
      </c>
      <c r="H958">
        <v>61</v>
      </c>
      <c r="I958">
        <v>51</v>
      </c>
      <c r="J958">
        <v>84</v>
      </c>
      <c r="K958">
        <v>28</v>
      </c>
      <c r="L958">
        <v>63</v>
      </c>
      <c r="M958" s="2">
        <v>677.25</v>
      </c>
      <c r="N958">
        <v>5</v>
      </c>
      <c r="O958">
        <v>5</v>
      </c>
      <c r="P958" t="s">
        <v>24</v>
      </c>
      <c r="Q958" t="s">
        <v>25</v>
      </c>
      <c r="R958" t="s">
        <v>26</v>
      </c>
      <c r="S958" s="2">
        <f t="shared" si="14"/>
        <v>18963</v>
      </c>
    </row>
    <row r="959" spans="1:19" x14ac:dyDescent="0.3">
      <c r="A959" t="s">
        <v>1020</v>
      </c>
      <c r="B959" s="1">
        <v>46027</v>
      </c>
      <c r="C959" t="s">
        <v>109</v>
      </c>
      <c r="D959" t="s">
        <v>46</v>
      </c>
      <c r="E959" t="s">
        <v>75</v>
      </c>
      <c r="F959" t="s">
        <v>37</v>
      </c>
      <c r="G959" t="s">
        <v>38</v>
      </c>
      <c r="H959">
        <v>185</v>
      </c>
      <c r="I959">
        <v>104</v>
      </c>
      <c r="J959">
        <v>56</v>
      </c>
      <c r="K959">
        <v>233</v>
      </c>
      <c r="L959">
        <v>98</v>
      </c>
      <c r="M959" s="2">
        <v>3049.29</v>
      </c>
      <c r="N959">
        <v>3</v>
      </c>
      <c r="O959">
        <v>0</v>
      </c>
      <c r="P959" t="s">
        <v>33</v>
      </c>
      <c r="Q959" t="s">
        <v>47</v>
      </c>
      <c r="R959" t="s">
        <v>26</v>
      </c>
      <c r="S959" s="2">
        <f t="shared" si="14"/>
        <v>710484.57</v>
      </c>
    </row>
    <row r="960" spans="1:19" x14ac:dyDescent="0.3">
      <c r="A960" t="s">
        <v>1021</v>
      </c>
      <c r="B960" s="1">
        <v>46335</v>
      </c>
      <c r="C960" t="s">
        <v>57</v>
      </c>
      <c r="D960" t="s">
        <v>50</v>
      </c>
      <c r="E960" t="s">
        <v>21</v>
      </c>
      <c r="F960" t="s">
        <v>1582</v>
      </c>
      <c r="G960" t="s">
        <v>1583</v>
      </c>
      <c r="H960">
        <v>203</v>
      </c>
      <c r="I960">
        <v>128</v>
      </c>
      <c r="J960">
        <v>86</v>
      </c>
      <c r="K960">
        <v>245</v>
      </c>
      <c r="L960">
        <v>58</v>
      </c>
      <c r="M960" s="2">
        <v>2748.82</v>
      </c>
      <c r="N960">
        <v>6</v>
      </c>
      <c r="O960">
        <v>0</v>
      </c>
      <c r="P960" t="s">
        <v>33</v>
      </c>
      <c r="Q960" t="s">
        <v>47</v>
      </c>
      <c r="R960" t="s">
        <v>26</v>
      </c>
      <c r="S960" s="2">
        <f t="shared" si="14"/>
        <v>673460.9</v>
      </c>
    </row>
    <row r="961" spans="1:19" x14ac:dyDescent="0.3">
      <c r="A961" t="s">
        <v>1022</v>
      </c>
      <c r="B961" s="1">
        <v>46339</v>
      </c>
      <c r="C961" t="s">
        <v>52</v>
      </c>
      <c r="D961" t="s">
        <v>53</v>
      </c>
      <c r="E961" t="s">
        <v>75</v>
      </c>
      <c r="F961" t="s">
        <v>1582</v>
      </c>
      <c r="G961" t="s">
        <v>1583</v>
      </c>
      <c r="H961">
        <v>86</v>
      </c>
      <c r="I961">
        <v>53</v>
      </c>
      <c r="J961">
        <v>50</v>
      </c>
      <c r="K961">
        <v>89</v>
      </c>
      <c r="L961">
        <v>61</v>
      </c>
      <c r="M961" s="2">
        <v>697.98</v>
      </c>
      <c r="N961">
        <v>3</v>
      </c>
      <c r="O961">
        <v>0</v>
      </c>
      <c r="P961" t="s">
        <v>33</v>
      </c>
      <c r="Q961" t="s">
        <v>34</v>
      </c>
      <c r="R961" t="s">
        <v>26</v>
      </c>
      <c r="S961" s="2">
        <f t="shared" si="14"/>
        <v>62120.22</v>
      </c>
    </row>
    <row r="962" spans="1:19" x14ac:dyDescent="0.3">
      <c r="A962" t="s">
        <v>1023</v>
      </c>
      <c r="B962" s="1">
        <v>46054</v>
      </c>
      <c r="C962" t="s">
        <v>98</v>
      </c>
      <c r="D962" t="s">
        <v>20</v>
      </c>
      <c r="E962" t="s">
        <v>75</v>
      </c>
      <c r="F962" t="s">
        <v>31</v>
      </c>
      <c r="G962" t="s">
        <v>32</v>
      </c>
      <c r="H962">
        <v>87</v>
      </c>
      <c r="I962">
        <v>107</v>
      </c>
      <c r="J962">
        <v>79</v>
      </c>
      <c r="K962">
        <v>115</v>
      </c>
      <c r="L962">
        <v>100</v>
      </c>
      <c r="M962" s="2">
        <v>1383.29</v>
      </c>
      <c r="N962">
        <v>4</v>
      </c>
      <c r="O962">
        <v>0</v>
      </c>
      <c r="P962" t="s">
        <v>24</v>
      </c>
      <c r="Q962" t="s">
        <v>34</v>
      </c>
      <c r="R962" t="s">
        <v>59</v>
      </c>
      <c r="S962" s="2">
        <f t="shared" ref="S962:S1025" si="15">K962*M962</f>
        <v>159078.35</v>
      </c>
    </row>
    <row r="963" spans="1:19" x14ac:dyDescent="0.3">
      <c r="A963" t="s">
        <v>1024</v>
      </c>
      <c r="B963" s="1">
        <v>46284</v>
      </c>
      <c r="C963" t="s">
        <v>45</v>
      </c>
      <c r="D963" t="s">
        <v>46</v>
      </c>
      <c r="E963" t="s">
        <v>75</v>
      </c>
      <c r="F963" t="s">
        <v>37</v>
      </c>
      <c r="G963" t="s">
        <v>38</v>
      </c>
      <c r="H963">
        <v>178</v>
      </c>
      <c r="I963">
        <v>111</v>
      </c>
      <c r="J963">
        <v>20</v>
      </c>
      <c r="K963">
        <v>269</v>
      </c>
      <c r="L963">
        <v>83</v>
      </c>
      <c r="M963" s="2">
        <v>757.55</v>
      </c>
      <c r="N963">
        <v>2</v>
      </c>
      <c r="O963">
        <v>0</v>
      </c>
      <c r="P963" t="s">
        <v>24</v>
      </c>
      <c r="Q963" t="s">
        <v>47</v>
      </c>
      <c r="R963" t="s">
        <v>26</v>
      </c>
      <c r="S963" s="2">
        <f t="shared" si="15"/>
        <v>203780.94999999998</v>
      </c>
    </row>
    <row r="964" spans="1:19" x14ac:dyDescent="0.3">
      <c r="A964" t="s">
        <v>1025</v>
      </c>
      <c r="B964" s="1">
        <v>46190</v>
      </c>
      <c r="C964" t="s">
        <v>98</v>
      </c>
      <c r="D964" t="s">
        <v>20</v>
      </c>
      <c r="E964" t="s">
        <v>42</v>
      </c>
      <c r="F964" t="s">
        <v>37</v>
      </c>
      <c r="G964" t="s">
        <v>38</v>
      </c>
      <c r="H964">
        <v>186</v>
      </c>
      <c r="I964">
        <v>67</v>
      </c>
      <c r="J964">
        <v>102</v>
      </c>
      <c r="K964">
        <v>151</v>
      </c>
      <c r="L964">
        <v>71</v>
      </c>
      <c r="M964" s="2">
        <v>1279.99</v>
      </c>
      <c r="N964">
        <v>5</v>
      </c>
      <c r="O964">
        <v>0</v>
      </c>
      <c r="P964" t="s">
        <v>33</v>
      </c>
      <c r="Q964" t="s">
        <v>34</v>
      </c>
      <c r="R964" t="s">
        <v>26</v>
      </c>
      <c r="S964" s="2">
        <f t="shared" si="15"/>
        <v>193278.49</v>
      </c>
    </row>
    <row r="965" spans="1:19" x14ac:dyDescent="0.3">
      <c r="A965" t="s">
        <v>1026</v>
      </c>
      <c r="B965" s="1">
        <v>46099</v>
      </c>
      <c r="C965" t="s">
        <v>52</v>
      </c>
      <c r="D965" t="s">
        <v>53</v>
      </c>
      <c r="E965" t="s">
        <v>21</v>
      </c>
      <c r="F965" t="s">
        <v>1582</v>
      </c>
      <c r="G965" t="s">
        <v>1583</v>
      </c>
      <c r="H965">
        <v>206</v>
      </c>
      <c r="I965">
        <v>67</v>
      </c>
      <c r="J965">
        <v>75</v>
      </c>
      <c r="K965">
        <v>198</v>
      </c>
      <c r="L965">
        <v>63</v>
      </c>
      <c r="M965" s="2">
        <v>665.85</v>
      </c>
      <c r="N965">
        <v>3</v>
      </c>
      <c r="O965">
        <v>0</v>
      </c>
      <c r="P965" t="s">
        <v>33</v>
      </c>
      <c r="Q965" t="s">
        <v>47</v>
      </c>
      <c r="R965" t="s">
        <v>26</v>
      </c>
      <c r="S965" s="2">
        <f t="shared" si="15"/>
        <v>131838.30000000002</v>
      </c>
    </row>
    <row r="966" spans="1:19" x14ac:dyDescent="0.3">
      <c r="A966" t="s">
        <v>1027</v>
      </c>
      <c r="B966" s="1">
        <v>46133</v>
      </c>
      <c r="C966" t="s">
        <v>77</v>
      </c>
      <c r="D966" t="s">
        <v>53</v>
      </c>
      <c r="E966" t="s">
        <v>75</v>
      </c>
      <c r="F966" t="s">
        <v>22</v>
      </c>
      <c r="G966" t="s">
        <v>23</v>
      </c>
      <c r="H966">
        <v>120</v>
      </c>
      <c r="I966">
        <v>85</v>
      </c>
      <c r="J966">
        <v>106</v>
      </c>
      <c r="K966">
        <v>99</v>
      </c>
      <c r="L966">
        <v>94</v>
      </c>
      <c r="M966" s="2">
        <v>524.20000000000005</v>
      </c>
      <c r="N966">
        <v>8</v>
      </c>
      <c r="O966">
        <v>0</v>
      </c>
      <c r="P966" t="s">
        <v>33</v>
      </c>
      <c r="Q966" t="s">
        <v>34</v>
      </c>
      <c r="R966" t="s">
        <v>26</v>
      </c>
      <c r="S966" s="2">
        <f t="shared" si="15"/>
        <v>51895.8</v>
      </c>
    </row>
    <row r="967" spans="1:19" x14ac:dyDescent="0.3">
      <c r="A967" t="s">
        <v>1028</v>
      </c>
      <c r="B967" s="1">
        <v>46298</v>
      </c>
      <c r="C967" t="s">
        <v>57</v>
      </c>
      <c r="D967" t="s">
        <v>50</v>
      </c>
      <c r="E967" t="s">
        <v>42</v>
      </c>
      <c r="F967" t="s">
        <v>1582</v>
      </c>
      <c r="G967" t="s">
        <v>1583</v>
      </c>
      <c r="H967">
        <v>206</v>
      </c>
      <c r="I967">
        <v>30</v>
      </c>
      <c r="J967">
        <v>24</v>
      </c>
      <c r="K967">
        <v>212</v>
      </c>
      <c r="L967">
        <v>59</v>
      </c>
      <c r="M967" s="2">
        <v>2836.63</v>
      </c>
      <c r="N967">
        <v>6</v>
      </c>
      <c r="O967">
        <v>0</v>
      </c>
      <c r="P967" t="s">
        <v>33</v>
      </c>
      <c r="Q967" t="s">
        <v>47</v>
      </c>
      <c r="R967" t="s">
        <v>59</v>
      </c>
      <c r="S967" s="2">
        <f t="shared" si="15"/>
        <v>601365.56000000006</v>
      </c>
    </row>
    <row r="968" spans="1:19" x14ac:dyDescent="0.3">
      <c r="A968" t="s">
        <v>1029</v>
      </c>
      <c r="B968" s="1">
        <v>46147</v>
      </c>
      <c r="C968" t="s">
        <v>19</v>
      </c>
      <c r="D968" t="s">
        <v>20</v>
      </c>
      <c r="E968" t="s">
        <v>30</v>
      </c>
      <c r="F968" t="s">
        <v>1582</v>
      </c>
      <c r="G968" t="s">
        <v>1583</v>
      </c>
      <c r="H968">
        <v>208</v>
      </c>
      <c r="I968">
        <v>87</v>
      </c>
      <c r="J968">
        <v>81</v>
      </c>
      <c r="K968">
        <v>214</v>
      </c>
      <c r="L968">
        <v>73</v>
      </c>
      <c r="M968" s="2">
        <v>1734.1</v>
      </c>
      <c r="N968">
        <v>3</v>
      </c>
      <c r="O968">
        <v>0</v>
      </c>
      <c r="P968" t="s">
        <v>33</v>
      </c>
      <c r="Q968" t="s">
        <v>47</v>
      </c>
      <c r="R968" t="s">
        <v>26</v>
      </c>
      <c r="S968" s="2">
        <f t="shared" si="15"/>
        <v>371097.39999999997</v>
      </c>
    </row>
    <row r="969" spans="1:19" x14ac:dyDescent="0.3">
      <c r="A969" t="s">
        <v>1030</v>
      </c>
      <c r="B969" s="1">
        <v>46208</v>
      </c>
      <c r="C969" t="s">
        <v>80</v>
      </c>
      <c r="D969" t="s">
        <v>46</v>
      </c>
      <c r="E969" t="s">
        <v>21</v>
      </c>
      <c r="F969" t="s">
        <v>22</v>
      </c>
      <c r="G969" t="s">
        <v>23</v>
      </c>
      <c r="H969">
        <v>156</v>
      </c>
      <c r="I969">
        <v>60</v>
      </c>
      <c r="J969">
        <v>110</v>
      </c>
      <c r="K969">
        <v>106</v>
      </c>
      <c r="L969">
        <v>52</v>
      </c>
      <c r="M969" s="2">
        <v>1142.48</v>
      </c>
      <c r="N969">
        <v>5</v>
      </c>
      <c r="O969">
        <v>0</v>
      </c>
      <c r="P969" t="s">
        <v>33</v>
      </c>
      <c r="Q969" t="s">
        <v>34</v>
      </c>
      <c r="R969" t="s">
        <v>43</v>
      </c>
      <c r="S969" s="2">
        <f t="shared" si="15"/>
        <v>121102.88</v>
      </c>
    </row>
    <row r="970" spans="1:19" x14ac:dyDescent="0.3">
      <c r="A970" t="s">
        <v>1031</v>
      </c>
      <c r="B970" s="1">
        <v>46087</v>
      </c>
      <c r="C970" t="s">
        <v>89</v>
      </c>
      <c r="D970" t="s">
        <v>20</v>
      </c>
      <c r="E970" t="s">
        <v>30</v>
      </c>
      <c r="F970" t="s">
        <v>31</v>
      </c>
      <c r="G970" t="s">
        <v>32</v>
      </c>
      <c r="H970">
        <v>132</v>
      </c>
      <c r="I970">
        <v>103</v>
      </c>
      <c r="J970">
        <v>76</v>
      </c>
      <c r="K970">
        <v>159</v>
      </c>
      <c r="L970">
        <v>83</v>
      </c>
      <c r="M970" s="2">
        <v>1135.28</v>
      </c>
      <c r="N970">
        <v>8</v>
      </c>
      <c r="O970">
        <v>0</v>
      </c>
      <c r="P970" t="s">
        <v>33</v>
      </c>
      <c r="Q970" t="s">
        <v>34</v>
      </c>
      <c r="R970" t="s">
        <v>26</v>
      </c>
      <c r="S970" s="2">
        <f t="shared" si="15"/>
        <v>180509.52</v>
      </c>
    </row>
    <row r="971" spans="1:19" x14ac:dyDescent="0.3">
      <c r="A971" t="s">
        <v>1032</v>
      </c>
      <c r="B971" s="1">
        <v>46098</v>
      </c>
      <c r="C971" t="s">
        <v>87</v>
      </c>
      <c r="D971" t="s">
        <v>53</v>
      </c>
      <c r="E971" t="s">
        <v>58</v>
      </c>
      <c r="F971" t="s">
        <v>22</v>
      </c>
      <c r="G971" t="s">
        <v>23</v>
      </c>
      <c r="H971">
        <v>195</v>
      </c>
      <c r="I971">
        <v>53</v>
      </c>
      <c r="J971">
        <v>51</v>
      </c>
      <c r="K971">
        <v>197</v>
      </c>
      <c r="L971">
        <v>66</v>
      </c>
      <c r="M971" s="2">
        <v>433.25</v>
      </c>
      <c r="N971">
        <v>2</v>
      </c>
      <c r="O971">
        <v>0</v>
      </c>
      <c r="P971" t="s">
        <v>33</v>
      </c>
      <c r="Q971" t="s">
        <v>47</v>
      </c>
      <c r="R971" t="s">
        <v>26</v>
      </c>
      <c r="S971" s="2">
        <f t="shared" si="15"/>
        <v>85350.25</v>
      </c>
    </row>
    <row r="972" spans="1:19" x14ac:dyDescent="0.3">
      <c r="A972" t="s">
        <v>1033</v>
      </c>
      <c r="B972" s="1">
        <v>46074</v>
      </c>
      <c r="C972" t="s">
        <v>68</v>
      </c>
      <c r="D972" t="s">
        <v>53</v>
      </c>
      <c r="E972" t="s">
        <v>42</v>
      </c>
      <c r="F972" t="s">
        <v>22</v>
      </c>
      <c r="G972" t="s">
        <v>23</v>
      </c>
      <c r="H972">
        <v>156</v>
      </c>
      <c r="I972">
        <v>21</v>
      </c>
      <c r="J972">
        <v>36</v>
      </c>
      <c r="K972">
        <v>141</v>
      </c>
      <c r="L972">
        <v>52</v>
      </c>
      <c r="M972" s="2">
        <v>590.24</v>
      </c>
      <c r="N972">
        <v>8</v>
      </c>
      <c r="O972">
        <v>0</v>
      </c>
      <c r="P972" t="s">
        <v>33</v>
      </c>
      <c r="Q972" t="s">
        <v>47</v>
      </c>
      <c r="R972" t="s">
        <v>81</v>
      </c>
      <c r="S972" s="2">
        <f t="shared" si="15"/>
        <v>83223.839999999997</v>
      </c>
    </row>
    <row r="973" spans="1:19" x14ac:dyDescent="0.3">
      <c r="A973" t="s">
        <v>1034</v>
      </c>
      <c r="B973" s="1">
        <v>46204</v>
      </c>
      <c r="C973" t="s">
        <v>62</v>
      </c>
      <c r="D973" t="s">
        <v>29</v>
      </c>
      <c r="E973" t="s">
        <v>58</v>
      </c>
      <c r="F973" t="s">
        <v>31</v>
      </c>
      <c r="G973" t="s">
        <v>32</v>
      </c>
      <c r="H973">
        <v>216</v>
      </c>
      <c r="I973">
        <v>41</v>
      </c>
      <c r="J973">
        <v>24</v>
      </c>
      <c r="K973">
        <v>233</v>
      </c>
      <c r="L973">
        <v>53</v>
      </c>
      <c r="M973" s="2">
        <v>702.09</v>
      </c>
      <c r="N973">
        <v>6</v>
      </c>
      <c r="O973">
        <v>0</v>
      </c>
      <c r="P973" t="s">
        <v>33</v>
      </c>
      <c r="Q973" t="s">
        <v>47</v>
      </c>
      <c r="R973" t="s">
        <v>43</v>
      </c>
      <c r="S973" s="2">
        <f t="shared" si="15"/>
        <v>163586.97</v>
      </c>
    </row>
    <row r="974" spans="1:19" x14ac:dyDescent="0.3">
      <c r="A974" t="s">
        <v>1035</v>
      </c>
      <c r="B974" s="1">
        <v>46046</v>
      </c>
      <c r="C974" t="s">
        <v>36</v>
      </c>
      <c r="D974" t="s">
        <v>29</v>
      </c>
      <c r="E974" t="s">
        <v>30</v>
      </c>
      <c r="F974" t="s">
        <v>22</v>
      </c>
      <c r="G974" t="s">
        <v>23</v>
      </c>
      <c r="H974">
        <v>115</v>
      </c>
      <c r="I974">
        <v>35</v>
      </c>
      <c r="J974">
        <v>58</v>
      </c>
      <c r="K974">
        <v>92</v>
      </c>
      <c r="L974">
        <v>97</v>
      </c>
      <c r="M974" s="2">
        <v>2591.21</v>
      </c>
      <c r="N974">
        <v>6</v>
      </c>
      <c r="O974">
        <v>2</v>
      </c>
      <c r="P974" t="s">
        <v>33</v>
      </c>
      <c r="Q974" t="s">
        <v>34</v>
      </c>
      <c r="R974" t="s">
        <v>81</v>
      </c>
      <c r="S974" s="2">
        <f t="shared" si="15"/>
        <v>238391.32</v>
      </c>
    </row>
    <row r="975" spans="1:19" x14ac:dyDescent="0.3">
      <c r="A975" t="s">
        <v>1036</v>
      </c>
      <c r="B975" s="1">
        <v>46116</v>
      </c>
      <c r="C975" t="s">
        <v>89</v>
      </c>
      <c r="D975" t="s">
        <v>20</v>
      </c>
      <c r="E975" t="s">
        <v>58</v>
      </c>
      <c r="F975" t="s">
        <v>1582</v>
      </c>
      <c r="G975" t="s">
        <v>1583</v>
      </c>
      <c r="H975">
        <v>201</v>
      </c>
      <c r="I975">
        <v>77</v>
      </c>
      <c r="J975">
        <v>109</v>
      </c>
      <c r="K975">
        <v>169</v>
      </c>
      <c r="L975">
        <v>98</v>
      </c>
      <c r="M975" s="2">
        <v>1184.57</v>
      </c>
      <c r="N975">
        <v>8</v>
      </c>
      <c r="O975">
        <v>0</v>
      </c>
      <c r="P975" t="s">
        <v>33</v>
      </c>
      <c r="Q975" t="s">
        <v>34</v>
      </c>
      <c r="R975" t="s">
        <v>26</v>
      </c>
      <c r="S975" s="2">
        <f t="shared" si="15"/>
        <v>200192.33</v>
      </c>
    </row>
    <row r="976" spans="1:19" x14ac:dyDescent="0.3">
      <c r="A976" t="s">
        <v>1037</v>
      </c>
      <c r="B976" s="1">
        <v>46324</v>
      </c>
      <c r="C976" t="s">
        <v>77</v>
      </c>
      <c r="D976" t="s">
        <v>53</v>
      </c>
      <c r="E976" t="s">
        <v>42</v>
      </c>
      <c r="F976" t="s">
        <v>31</v>
      </c>
      <c r="G976" t="s">
        <v>32</v>
      </c>
      <c r="H976">
        <v>191</v>
      </c>
      <c r="I976">
        <v>95</v>
      </c>
      <c r="J976">
        <v>62</v>
      </c>
      <c r="K976">
        <v>224</v>
      </c>
      <c r="L976">
        <v>88</v>
      </c>
      <c r="M976" s="2">
        <v>514.94000000000005</v>
      </c>
      <c r="N976">
        <v>5</v>
      </c>
      <c r="O976">
        <v>0</v>
      </c>
      <c r="P976" t="s">
        <v>33</v>
      </c>
      <c r="Q976" t="s">
        <v>47</v>
      </c>
      <c r="R976" t="s">
        <v>26</v>
      </c>
      <c r="S976" s="2">
        <f t="shared" si="15"/>
        <v>115346.56000000001</v>
      </c>
    </row>
    <row r="977" spans="1:19" x14ac:dyDescent="0.3">
      <c r="A977" t="s">
        <v>1038</v>
      </c>
      <c r="B977" s="1">
        <v>46241</v>
      </c>
      <c r="C977" t="s">
        <v>109</v>
      </c>
      <c r="D977" t="s">
        <v>46</v>
      </c>
      <c r="E977" t="s">
        <v>42</v>
      </c>
      <c r="F977" t="s">
        <v>37</v>
      </c>
      <c r="G977" t="s">
        <v>38</v>
      </c>
      <c r="H977">
        <v>166</v>
      </c>
      <c r="I977">
        <v>63</v>
      </c>
      <c r="J977">
        <v>21</v>
      </c>
      <c r="K977">
        <v>208</v>
      </c>
      <c r="L977">
        <v>81</v>
      </c>
      <c r="M977" s="2">
        <v>3211.31</v>
      </c>
      <c r="N977">
        <v>6</v>
      </c>
      <c r="O977">
        <v>0</v>
      </c>
      <c r="P977" t="s">
        <v>33</v>
      </c>
      <c r="Q977" t="s">
        <v>47</v>
      </c>
      <c r="R977" t="s">
        <v>43</v>
      </c>
      <c r="S977" s="2">
        <f t="shared" si="15"/>
        <v>667952.48</v>
      </c>
    </row>
    <row r="978" spans="1:19" x14ac:dyDescent="0.3">
      <c r="A978" t="s">
        <v>1039</v>
      </c>
      <c r="B978" s="1">
        <v>46317</v>
      </c>
      <c r="C978" t="s">
        <v>45</v>
      </c>
      <c r="D978" t="s">
        <v>46</v>
      </c>
      <c r="E978" t="s">
        <v>58</v>
      </c>
      <c r="F978" t="s">
        <v>37</v>
      </c>
      <c r="G978" t="s">
        <v>38</v>
      </c>
      <c r="H978">
        <v>85</v>
      </c>
      <c r="I978">
        <v>38</v>
      </c>
      <c r="J978">
        <v>20</v>
      </c>
      <c r="K978">
        <v>103</v>
      </c>
      <c r="L978">
        <v>97</v>
      </c>
      <c r="M978" s="2">
        <v>871.21</v>
      </c>
      <c r="N978">
        <v>7</v>
      </c>
      <c r="O978">
        <v>0</v>
      </c>
      <c r="P978" t="s">
        <v>33</v>
      </c>
      <c r="Q978" t="s">
        <v>34</v>
      </c>
      <c r="R978" t="s">
        <v>26</v>
      </c>
      <c r="S978" s="2">
        <f t="shared" si="15"/>
        <v>89734.63</v>
      </c>
    </row>
    <row r="979" spans="1:19" x14ac:dyDescent="0.3">
      <c r="A979" t="s">
        <v>1040</v>
      </c>
      <c r="B979" s="1">
        <v>46155</v>
      </c>
      <c r="C979" t="s">
        <v>52</v>
      </c>
      <c r="D979" t="s">
        <v>53</v>
      </c>
      <c r="E979" t="s">
        <v>75</v>
      </c>
      <c r="F979" t="s">
        <v>37</v>
      </c>
      <c r="G979" t="s">
        <v>38</v>
      </c>
      <c r="H979">
        <v>112</v>
      </c>
      <c r="I979">
        <v>41</v>
      </c>
      <c r="J979">
        <v>30</v>
      </c>
      <c r="K979">
        <v>123</v>
      </c>
      <c r="L979">
        <v>63</v>
      </c>
      <c r="M979" s="2">
        <v>620.6</v>
      </c>
      <c r="N979">
        <v>5</v>
      </c>
      <c r="O979">
        <v>0</v>
      </c>
      <c r="P979" t="s">
        <v>33</v>
      </c>
      <c r="Q979" t="s">
        <v>34</v>
      </c>
      <c r="R979" t="s">
        <v>26</v>
      </c>
      <c r="S979" s="2">
        <f t="shared" si="15"/>
        <v>76333.8</v>
      </c>
    </row>
    <row r="980" spans="1:19" x14ac:dyDescent="0.3">
      <c r="A980" t="s">
        <v>1041</v>
      </c>
      <c r="B980" s="1">
        <v>46299</v>
      </c>
      <c r="C980" t="s">
        <v>77</v>
      </c>
      <c r="D980" t="s">
        <v>53</v>
      </c>
      <c r="E980" t="s">
        <v>42</v>
      </c>
      <c r="F980" t="s">
        <v>37</v>
      </c>
      <c r="G980" t="s">
        <v>38</v>
      </c>
      <c r="H980">
        <v>76</v>
      </c>
      <c r="I980">
        <v>32</v>
      </c>
      <c r="J980">
        <v>41</v>
      </c>
      <c r="K980">
        <v>67</v>
      </c>
      <c r="L980">
        <v>80</v>
      </c>
      <c r="M980" s="2">
        <v>533.88</v>
      </c>
      <c r="N980">
        <v>8</v>
      </c>
      <c r="O980">
        <v>1</v>
      </c>
      <c r="P980" t="s">
        <v>24</v>
      </c>
      <c r="Q980" t="s">
        <v>34</v>
      </c>
      <c r="R980" t="s">
        <v>81</v>
      </c>
      <c r="S980" s="2">
        <f t="shared" si="15"/>
        <v>35769.96</v>
      </c>
    </row>
    <row r="981" spans="1:19" x14ac:dyDescent="0.3">
      <c r="A981" t="s">
        <v>1042</v>
      </c>
      <c r="B981" s="1">
        <v>46087</v>
      </c>
      <c r="C981" t="s">
        <v>87</v>
      </c>
      <c r="D981" t="s">
        <v>53</v>
      </c>
      <c r="E981" t="s">
        <v>75</v>
      </c>
      <c r="F981" t="s">
        <v>1582</v>
      </c>
      <c r="G981" t="s">
        <v>1583</v>
      </c>
      <c r="H981">
        <v>46</v>
      </c>
      <c r="I981">
        <v>67</v>
      </c>
      <c r="J981">
        <v>41</v>
      </c>
      <c r="K981">
        <v>72</v>
      </c>
      <c r="L981">
        <v>63</v>
      </c>
      <c r="M981" s="2">
        <v>489.76</v>
      </c>
      <c r="N981">
        <v>6</v>
      </c>
      <c r="O981">
        <v>0</v>
      </c>
      <c r="P981" t="s">
        <v>33</v>
      </c>
      <c r="Q981" t="s">
        <v>34</v>
      </c>
      <c r="R981" t="s">
        <v>26</v>
      </c>
      <c r="S981" s="2">
        <f t="shared" si="15"/>
        <v>35262.720000000001</v>
      </c>
    </row>
    <row r="982" spans="1:19" x14ac:dyDescent="0.3">
      <c r="A982" t="s">
        <v>1043</v>
      </c>
      <c r="B982" s="1">
        <v>46082</v>
      </c>
      <c r="C982" t="s">
        <v>49</v>
      </c>
      <c r="D982" t="s">
        <v>50</v>
      </c>
      <c r="E982" t="s">
        <v>75</v>
      </c>
      <c r="F982" t="s">
        <v>31</v>
      </c>
      <c r="G982" t="s">
        <v>32</v>
      </c>
      <c r="H982">
        <v>153</v>
      </c>
      <c r="I982">
        <v>75</v>
      </c>
      <c r="J982">
        <v>78</v>
      </c>
      <c r="K982">
        <v>150</v>
      </c>
      <c r="L982">
        <v>61</v>
      </c>
      <c r="M982" s="2">
        <v>1192.58</v>
      </c>
      <c r="N982">
        <v>3</v>
      </c>
      <c r="O982">
        <v>0</v>
      </c>
      <c r="P982" t="s">
        <v>33</v>
      </c>
      <c r="Q982" t="s">
        <v>47</v>
      </c>
      <c r="R982" t="s">
        <v>59</v>
      </c>
      <c r="S982" s="2">
        <f t="shared" si="15"/>
        <v>178887</v>
      </c>
    </row>
    <row r="983" spans="1:19" x14ac:dyDescent="0.3">
      <c r="A983" t="s">
        <v>1044</v>
      </c>
      <c r="B983" s="1">
        <v>46060</v>
      </c>
      <c r="C983" t="s">
        <v>109</v>
      </c>
      <c r="D983" t="s">
        <v>46</v>
      </c>
      <c r="E983" t="s">
        <v>42</v>
      </c>
      <c r="F983" t="s">
        <v>31</v>
      </c>
      <c r="G983" t="s">
        <v>32</v>
      </c>
      <c r="H983">
        <v>123</v>
      </c>
      <c r="I983">
        <v>40</v>
      </c>
      <c r="J983">
        <v>79</v>
      </c>
      <c r="K983">
        <v>84</v>
      </c>
      <c r="L983">
        <v>66</v>
      </c>
      <c r="M983" s="2">
        <v>3056.71</v>
      </c>
      <c r="N983">
        <v>7</v>
      </c>
      <c r="O983">
        <v>0</v>
      </c>
      <c r="P983" t="s">
        <v>33</v>
      </c>
      <c r="Q983" t="s">
        <v>34</v>
      </c>
      <c r="R983" t="s">
        <v>26</v>
      </c>
      <c r="S983" s="2">
        <f t="shared" si="15"/>
        <v>256763.64</v>
      </c>
    </row>
    <row r="984" spans="1:19" x14ac:dyDescent="0.3">
      <c r="A984" t="s">
        <v>1045</v>
      </c>
      <c r="B984" s="1">
        <v>46344</v>
      </c>
      <c r="C984" t="s">
        <v>109</v>
      </c>
      <c r="D984" t="s">
        <v>46</v>
      </c>
      <c r="E984" t="s">
        <v>58</v>
      </c>
      <c r="F984" t="s">
        <v>31</v>
      </c>
      <c r="G984" t="s">
        <v>32</v>
      </c>
      <c r="H984">
        <v>220</v>
      </c>
      <c r="I984">
        <v>121</v>
      </c>
      <c r="J984">
        <v>81</v>
      </c>
      <c r="K984">
        <v>260</v>
      </c>
      <c r="L984">
        <v>65</v>
      </c>
      <c r="M984" s="2">
        <v>3001.86</v>
      </c>
      <c r="N984">
        <v>10</v>
      </c>
      <c r="O984">
        <v>0</v>
      </c>
      <c r="P984" t="s">
        <v>33</v>
      </c>
      <c r="Q984" t="s">
        <v>47</v>
      </c>
      <c r="R984" t="s">
        <v>81</v>
      </c>
      <c r="S984" s="2">
        <f t="shared" si="15"/>
        <v>780483.6</v>
      </c>
    </row>
    <row r="985" spans="1:19" x14ac:dyDescent="0.3">
      <c r="A985" t="s">
        <v>1046</v>
      </c>
      <c r="B985" s="1">
        <v>46167</v>
      </c>
      <c r="C985" t="s">
        <v>98</v>
      </c>
      <c r="D985" t="s">
        <v>20</v>
      </c>
      <c r="E985" t="s">
        <v>42</v>
      </c>
      <c r="F985" t="s">
        <v>1582</v>
      </c>
      <c r="G985" t="s">
        <v>1583</v>
      </c>
      <c r="H985">
        <v>96</v>
      </c>
      <c r="I985">
        <v>106</v>
      </c>
      <c r="J985">
        <v>40</v>
      </c>
      <c r="K985">
        <v>162</v>
      </c>
      <c r="L985">
        <v>61</v>
      </c>
      <c r="M985" s="2">
        <v>1391.63</v>
      </c>
      <c r="N985">
        <v>5</v>
      </c>
      <c r="O985">
        <v>0</v>
      </c>
      <c r="P985" t="s">
        <v>33</v>
      </c>
      <c r="Q985" t="s">
        <v>47</v>
      </c>
      <c r="R985" t="s">
        <v>59</v>
      </c>
      <c r="S985" s="2">
        <f t="shared" si="15"/>
        <v>225444.06000000003</v>
      </c>
    </row>
    <row r="986" spans="1:19" x14ac:dyDescent="0.3">
      <c r="A986" t="s">
        <v>1047</v>
      </c>
      <c r="B986" s="1">
        <v>46375</v>
      </c>
      <c r="C986" t="s">
        <v>28</v>
      </c>
      <c r="D986" t="s">
        <v>29</v>
      </c>
      <c r="E986" t="s">
        <v>75</v>
      </c>
      <c r="F986" t="s">
        <v>22</v>
      </c>
      <c r="G986" t="s">
        <v>23</v>
      </c>
      <c r="H986">
        <v>40</v>
      </c>
      <c r="I986">
        <v>75</v>
      </c>
      <c r="J986">
        <v>23</v>
      </c>
      <c r="K986">
        <v>92</v>
      </c>
      <c r="L986">
        <v>76</v>
      </c>
      <c r="M986" s="2">
        <v>1315.01</v>
      </c>
      <c r="N986">
        <v>3</v>
      </c>
      <c r="O986">
        <v>0</v>
      </c>
      <c r="P986" t="s">
        <v>33</v>
      </c>
      <c r="Q986" t="s">
        <v>34</v>
      </c>
      <c r="R986" t="s">
        <v>26</v>
      </c>
      <c r="S986" s="2">
        <f t="shared" si="15"/>
        <v>120980.92</v>
      </c>
    </row>
    <row r="987" spans="1:19" x14ac:dyDescent="0.3">
      <c r="A987" t="s">
        <v>1048</v>
      </c>
      <c r="B987" s="1">
        <v>46172</v>
      </c>
      <c r="C987" t="s">
        <v>146</v>
      </c>
      <c r="D987" t="s">
        <v>46</v>
      </c>
      <c r="E987" t="s">
        <v>30</v>
      </c>
      <c r="F987" t="s">
        <v>22</v>
      </c>
      <c r="G987" t="s">
        <v>23</v>
      </c>
      <c r="H987">
        <v>203</v>
      </c>
      <c r="I987">
        <v>64</v>
      </c>
      <c r="J987">
        <v>76</v>
      </c>
      <c r="K987">
        <v>191</v>
      </c>
      <c r="L987">
        <v>78</v>
      </c>
      <c r="M987" s="2">
        <v>1547.08</v>
      </c>
      <c r="N987">
        <v>3</v>
      </c>
      <c r="O987">
        <v>0</v>
      </c>
      <c r="P987" t="s">
        <v>33</v>
      </c>
      <c r="Q987" t="s">
        <v>47</v>
      </c>
      <c r="R987" t="s">
        <v>43</v>
      </c>
      <c r="S987" s="2">
        <f t="shared" si="15"/>
        <v>295492.27999999997</v>
      </c>
    </row>
    <row r="988" spans="1:19" x14ac:dyDescent="0.3">
      <c r="A988" t="s">
        <v>1049</v>
      </c>
      <c r="B988" s="1">
        <v>46251</v>
      </c>
      <c r="C988" t="s">
        <v>55</v>
      </c>
      <c r="D988" t="s">
        <v>50</v>
      </c>
      <c r="E988" t="s">
        <v>58</v>
      </c>
      <c r="F988" t="s">
        <v>37</v>
      </c>
      <c r="G988" t="s">
        <v>38</v>
      </c>
      <c r="H988">
        <v>179</v>
      </c>
      <c r="I988">
        <v>81</v>
      </c>
      <c r="J988">
        <v>52</v>
      </c>
      <c r="K988">
        <v>208</v>
      </c>
      <c r="L988">
        <v>51</v>
      </c>
      <c r="M988" s="2">
        <v>943.79</v>
      </c>
      <c r="N988">
        <v>8</v>
      </c>
      <c r="O988">
        <v>0</v>
      </c>
      <c r="P988" t="s">
        <v>33</v>
      </c>
      <c r="Q988" t="s">
        <v>47</v>
      </c>
      <c r="R988" t="s">
        <v>26</v>
      </c>
      <c r="S988" s="2">
        <f t="shared" si="15"/>
        <v>196308.32</v>
      </c>
    </row>
    <row r="989" spans="1:19" x14ac:dyDescent="0.3">
      <c r="A989" t="s">
        <v>1050</v>
      </c>
      <c r="B989" s="1">
        <v>46270</v>
      </c>
      <c r="C989" t="s">
        <v>80</v>
      </c>
      <c r="D989" t="s">
        <v>46</v>
      </c>
      <c r="E989" t="s">
        <v>58</v>
      </c>
      <c r="F989" t="s">
        <v>31</v>
      </c>
      <c r="G989" t="s">
        <v>32</v>
      </c>
      <c r="H989">
        <v>85</v>
      </c>
      <c r="I989">
        <v>79</v>
      </c>
      <c r="J989">
        <v>55</v>
      </c>
      <c r="K989">
        <v>109</v>
      </c>
      <c r="L989">
        <v>87</v>
      </c>
      <c r="M989" s="2">
        <v>1014.98</v>
      </c>
      <c r="N989">
        <v>7</v>
      </c>
      <c r="O989">
        <v>0</v>
      </c>
      <c r="P989" t="s">
        <v>33</v>
      </c>
      <c r="Q989" t="s">
        <v>34</v>
      </c>
      <c r="R989" t="s">
        <v>26</v>
      </c>
      <c r="S989" s="2">
        <f t="shared" si="15"/>
        <v>110632.82</v>
      </c>
    </row>
    <row r="990" spans="1:19" x14ac:dyDescent="0.3">
      <c r="A990" t="s">
        <v>1051</v>
      </c>
      <c r="B990" s="1">
        <v>46188</v>
      </c>
      <c r="C990" t="s">
        <v>55</v>
      </c>
      <c r="D990" t="s">
        <v>50</v>
      </c>
      <c r="E990" t="s">
        <v>42</v>
      </c>
      <c r="F990" t="s">
        <v>31</v>
      </c>
      <c r="G990" t="s">
        <v>32</v>
      </c>
      <c r="H990">
        <v>114</v>
      </c>
      <c r="I990">
        <v>54</v>
      </c>
      <c r="J990">
        <v>79</v>
      </c>
      <c r="K990">
        <v>89</v>
      </c>
      <c r="L990">
        <v>58</v>
      </c>
      <c r="M990" s="2">
        <v>1077.96</v>
      </c>
      <c r="N990">
        <v>8</v>
      </c>
      <c r="O990">
        <v>0</v>
      </c>
      <c r="P990" t="s">
        <v>33</v>
      </c>
      <c r="Q990" t="s">
        <v>34</v>
      </c>
      <c r="R990" t="s">
        <v>26</v>
      </c>
      <c r="S990" s="2">
        <f t="shared" si="15"/>
        <v>95938.44</v>
      </c>
    </row>
    <row r="991" spans="1:19" x14ac:dyDescent="0.3">
      <c r="A991" t="s">
        <v>1052</v>
      </c>
      <c r="B991" s="1">
        <v>46348</v>
      </c>
      <c r="C991" t="s">
        <v>45</v>
      </c>
      <c r="D991" t="s">
        <v>46</v>
      </c>
      <c r="E991" t="s">
        <v>58</v>
      </c>
      <c r="F991" t="s">
        <v>1582</v>
      </c>
      <c r="G991" t="s">
        <v>1583</v>
      </c>
      <c r="H991">
        <v>153</v>
      </c>
      <c r="I991">
        <v>74</v>
      </c>
      <c r="J991">
        <v>66</v>
      </c>
      <c r="K991">
        <v>161</v>
      </c>
      <c r="L991">
        <v>61</v>
      </c>
      <c r="M991" s="2">
        <v>865.98</v>
      </c>
      <c r="N991">
        <v>4</v>
      </c>
      <c r="O991">
        <v>0</v>
      </c>
      <c r="P991" t="s">
        <v>33</v>
      </c>
      <c r="Q991" t="s">
        <v>47</v>
      </c>
      <c r="R991" t="s">
        <v>26</v>
      </c>
      <c r="S991" s="2">
        <f t="shared" si="15"/>
        <v>139422.78</v>
      </c>
    </row>
    <row r="992" spans="1:19" x14ac:dyDescent="0.3">
      <c r="A992" t="s">
        <v>1053</v>
      </c>
      <c r="B992" s="1">
        <v>46335</v>
      </c>
      <c r="C992" t="s">
        <v>89</v>
      </c>
      <c r="D992" t="s">
        <v>20</v>
      </c>
      <c r="E992" t="s">
        <v>58</v>
      </c>
      <c r="F992" t="s">
        <v>1582</v>
      </c>
      <c r="G992" t="s">
        <v>1583</v>
      </c>
      <c r="H992">
        <v>96</v>
      </c>
      <c r="I992">
        <v>93</v>
      </c>
      <c r="J992">
        <v>36</v>
      </c>
      <c r="K992">
        <v>153</v>
      </c>
      <c r="L992">
        <v>79</v>
      </c>
      <c r="M992" s="2">
        <v>1129.49</v>
      </c>
      <c r="N992">
        <v>7</v>
      </c>
      <c r="O992">
        <v>0</v>
      </c>
      <c r="P992" t="s">
        <v>24</v>
      </c>
      <c r="Q992" t="s">
        <v>34</v>
      </c>
      <c r="R992" t="s">
        <v>81</v>
      </c>
      <c r="S992" s="2">
        <f t="shared" si="15"/>
        <v>172811.97</v>
      </c>
    </row>
    <row r="993" spans="1:19" x14ac:dyDescent="0.3">
      <c r="A993" t="s">
        <v>1054</v>
      </c>
      <c r="B993" s="1">
        <v>46306</v>
      </c>
      <c r="C993" t="s">
        <v>80</v>
      </c>
      <c r="D993" t="s">
        <v>46</v>
      </c>
      <c r="E993" t="s">
        <v>30</v>
      </c>
      <c r="F993" t="s">
        <v>31</v>
      </c>
      <c r="G993" t="s">
        <v>32</v>
      </c>
      <c r="H993">
        <v>45</v>
      </c>
      <c r="I993">
        <v>122</v>
      </c>
      <c r="J993">
        <v>63</v>
      </c>
      <c r="K993">
        <v>104</v>
      </c>
      <c r="L993">
        <v>50</v>
      </c>
      <c r="M993" s="2">
        <v>1161.7</v>
      </c>
      <c r="N993">
        <v>4</v>
      </c>
      <c r="O993">
        <v>0</v>
      </c>
      <c r="P993" t="s">
        <v>33</v>
      </c>
      <c r="Q993" t="s">
        <v>34</v>
      </c>
      <c r="R993" t="s">
        <v>59</v>
      </c>
      <c r="S993" s="2">
        <f t="shared" si="15"/>
        <v>120816.8</v>
      </c>
    </row>
    <row r="994" spans="1:19" x14ac:dyDescent="0.3">
      <c r="A994" t="s">
        <v>1055</v>
      </c>
      <c r="B994" s="1">
        <v>46105</v>
      </c>
      <c r="C994" t="s">
        <v>19</v>
      </c>
      <c r="D994" t="s">
        <v>20</v>
      </c>
      <c r="E994" t="s">
        <v>30</v>
      </c>
      <c r="F994" t="s">
        <v>22</v>
      </c>
      <c r="G994" t="s">
        <v>23</v>
      </c>
      <c r="H994">
        <v>132</v>
      </c>
      <c r="I994">
        <v>88</v>
      </c>
      <c r="J994">
        <v>40</v>
      </c>
      <c r="K994">
        <v>180</v>
      </c>
      <c r="L994">
        <v>55</v>
      </c>
      <c r="M994" s="2">
        <v>1921.73</v>
      </c>
      <c r="N994">
        <v>5</v>
      </c>
      <c r="O994">
        <v>0</v>
      </c>
      <c r="P994" t="s">
        <v>33</v>
      </c>
      <c r="Q994" t="s">
        <v>47</v>
      </c>
      <c r="R994" t="s">
        <v>26</v>
      </c>
      <c r="S994" s="2">
        <f t="shared" si="15"/>
        <v>345911.4</v>
      </c>
    </row>
    <row r="995" spans="1:19" x14ac:dyDescent="0.3">
      <c r="A995" t="s">
        <v>1056</v>
      </c>
      <c r="B995" s="1">
        <v>46279</v>
      </c>
      <c r="C995" t="s">
        <v>45</v>
      </c>
      <c r="D995" t="s">
        <v>46</v>
      </c>
      <c r="E995" t="s">
        <v>58</v>
      </c>
      <c r="F995" t="s">
        <v>22</v>
      </c>
      <c r="G995" t="s">
        <v>23</v>
      </c>
      <c r="H995">
        <v>181</v>
      </c>
      <c r="I995">
        <v>113</v>
      </c>
      <c r="J995">
        <v>46</v>
      </c>
      <c r="K995">
        <v>248</v>
      </c>
      <c r="L995">
        <v>45</v>
      </c>
      <c r="M995" s="2">
        <v>725.77</v>
      </c>
      <c r="N995">
        <v>2</v>
      </c>
      <c r="O995">
        <v>0</v>
      </c>
      <c r="P995" t="s">
        <v>33</v>
      </c>
      <c r="Q995" t="s">
        <v>47</v>
      </c>
      <c r="R995" t="s">
        <v>26</v>
      </c>
      <c r="S995" s="2">
        <f t="shared" si="15"/>
        <v>179990.96</v>
      </c>
    </row>
    <row r="996" spans="1:19" x14ac:dyDescent="0.3">
      <c r="A996" t="s">
        <v>1057</v>
      </c>
      <c r="B996" s="1">
        <v>46086</v>
      </c>
      <c r="C996" t="s">
        <v>55</v>
      </c>
      <c r="D996" t="s">
        <v>50</v>
      </c>
      <c r="E996" t="s">
        <v>75</v>
      </c>
      <c r="F996" t="s">
        <v>22</v>
      </c>
      <c r="G996" t="s">
        <v>23</v>
      </c>
      <c r="H996">
        <v>112</v>
      </c>
      <c r="I996">
        <v>58</v>
      </c>
      <c r="J996">
        <v>18</v>
      </c>
      <c r="K996">
        <v>152</v>
      </c>
      <c r="L996">
        <v>59</v>
      </c>
      <c r="M996" s="2">
        <v>1026.31</v>
      </c>
      <c r="N996">
        <v>7</v>
      </c>
      <c r="O996">
        <v>0</v>
      </c>
      <c r="P996" t="s">
        <v>33</v>
      </c>
      <c r="Q996" t="s">
        <v>47</v>
      </c>
      <c r="R996" t="s">
        <v>26</v>
      </c>
      <c r="S996" s="2">
        <f t="shared" si="15"/>
        <v>155999.12</v>
      </c>
    </row>
    <row r="997" spans="1:19" x14ac:dyDescent="0.3">
      <c r="A997" t="s">
        <v>1058</v>
      </c>
      <c r="B997" s="1">
        <v>46300</v>
      </c>
      <c r="C997" t="s">
        <v>55</v>
      </c>
      <c r="D997" t="s">
        <v>50</v>
      </c>
      <c r="E997" t="s">
        <v>42</v>
      </c>
      <c r="F997" t="s">
        <v>37</v>
      </c>
      <c r="G997" t="s">
        <v>38</v>
      </c>
      <c r="H997">
        <v>61</v>
      </c>
      <c r="I997">
        <v>29</v>
      </c>
      <c r="J997">
        <v>24</v>
      </c>
      <c r="K997">
        <v>66</v>
      </c>
      <c r="L997">
        <v>77</v>
      </c>
      <c r="M997" s="2">
        <v>1044.42</v>
      </c>
      <c r="N997">
        <v>8</v>
      </c>
      <c r="O997">
        <v>1</v>
      </c>
      <c r="P997" t="s">
        <v>33</v>
      </c>
      <c r="Q997" t="s">
        <v>34</v>
      </c>
      <c r="R997" t="s">
        <v>26</v>
      </c>
      <c r="S997" s="2">
        <f t="shared" si="15"/>
        <v>68931.72</v>
      </c>
    </row>
    <row r="998" spans="1:19" x14ac:dyDescent="0.3">
      <c r="A998" t="s">
        <v>1059</v>
      </c>
      <c r="B998" s="1">
        <v>46177</v>
      </c>
      <c r="C998" t="s">
        <v>87</v>
      </c>
      <c r="D998" t="s">
        <v>53</v>
      </c>
      <c r="E998" t="s">
        <v>75</v>
      </c>
      <c r="F998" t="s">
        <v>1582</v>
      </c>
      <c r="G998" t="s">
        <v>1583</v>
      </c>
      <c r="H998">
        <v>89</v>
      </c>
      <c r="I998">
        <v>126</v>
      </c>
      <c r="J998">
        <v>92</v>
      </c>
      <c r="K998">
        <v>123</v>
      </c>
      <c r="L998">
        <v>99</v>
      </c>
      <c r="M998" s="2">
        <v>433.1</v>
      </c>
      <c r="N998">
        <v>4</v>
      </c>
      <c r="O998">
        <v>0</v>
      </c>
      <c r="P998" t="s">
        <v>33</v>
      </c>
      <c r="Q998" t="s">
        <v>34</v>
      </c>
      <c r="R998" t="s">
        <v>59</v>
      </c>
      <c r="S998" s="2">
        <f t="shared" si="15"/>
        <v>53271.3</v>
      </c>
    </row>
    <row r="999" spans="1:19" x14ac:dyDescent="0.3">
      <c r="A999" t="s">
        <v>1060</v>
      </c>
      <c r="B999" s="1">
        <v>46310</v>
      </c>
      <c r="C999" t="s">
        <v>146</v>
      </c>
      <c r="D999" t="s">
        <v>46</v>
      </c>
      <c r="E999" t="s">
        <v>42</v>
      </c>
      <c r="F999" t="s">
        <v>31</v>
      </c>
      <c r="G999" t="s">
        <v>32</v>
      </c>
      <c r="H999">
        <v>107</v>
      </c>
      <c r="I999">
        <v>103</v>
      </c>
      <c r="J999">
        <v>88</v>
      </c>
      <c r="K999">
        <v>122</v>
      </c>
      <c r="L999">
        <v>75</v>
      </c>
      <c r="M999" s="2">
        <v>1462.97</v>
      </c>
      <c r="N999">
        <v>5</v>
      </c>
      <c r="O999">
        <v>0</v>
      </c>
      <c r="P999" t="s">
        <v>24</v>
      </c>
      <c r="Q999" t="s">
        <v>34</v>
      </c>
      <c r="R999" t="s">
        <v>81</v>
      </c>
      <c r="S999" s="2">
        <f t="shared" si="15"/>
        <v>178482.34</v>
      </c>
    </row>
    <row r="1000" spans="1:19" x14ac:dyDescent="0.3">
      <c r="A1000" t="s">
        <v>1061</v>
      </c>
      <c r="B1000" s="1">
        <v>46318</v>
      </c>
      <c r="C1000" t="s">
        <v>146</v>
      </c>
      <c r="D1000" t="s">
        <v>46</v>
      </c>
      <c r="E1000" t="s">
        <v>21</v>
      </c>
      <c r="F1000" t="s">
        <v>22</v>
      </c>
      <c r="G1000" t="s">
        <v>23</v>
      </c>
      <c r="H1000">
        <v>137</v>
      </c>
      <c r="I1000">
        <v>22</v>
      </c>
      <c r="J1000">
        <v>78</v>
      </c>
      <c r="K1000">
        <v>81</v>
      </c>
      <c r="L1000">
        <v>91</v>
      </c>
      <c r="M1000" s="2">
        <v>1468.09</v>
      </c>
      <c r="N1000">
        <v>4</v>
      </c>
      <c r="O1000">
        <v>2</v>
      </c>
      <c r="P1000" t="s">
        <v>33</v>
      </c>
      <c r="Q1000" t="s">
        <v>34</v>
      </c>
      <c r="R1000" t="s">
        <v>26</v>
      </c>
      <c r="S1000" s="2">
        <f t="shared" si="15"/>
        <v>118915.29</v>
      </c>
    </row>
    <row r="1001" spans="1:19" x14ac:dyDescent="0.3">
      <c r="A1001" t="s">
        <v>1062</v>
      </c>
      <c r="B1001" s="1">
        <v>46065</v>
      </c>
      <c r="C1001" t="s">
        <v>40</v>
      </c>
      <c r="D1001" t="s">
        <v>20</v>
      </c>
      <c r="E1001" t="s">
        <v>42</v>
      </c>
      <c r="F1001" t="s">
        <v>1582</v>
      </c>
      <c r="G1001" t="s">
        <v>1583</v>
      </c>
      <c r="H1001">
        <v>134</v>
      </c>
      <c r="I1001">
        <v>81</v>
      </c>
      <c r="J1001">
        <v>87</v>
      </c>
      <c r="K1001">
        <v>128</v>
      </c>
      <c r="L1001">
        <v>51</v>
      </c>
      <c r="M1001" s="2">
        <v>925.71</v>
      </c>
      <c r="N1001">
        <v>4</v>
      </c>
      <c r="O1001">
        <v>0</v>
      </c>
      <c r="P1001" t="s">
        <v>24</v>
      </c>
      <c r="Q1001" t="s">
        <v>47</v>
      </c>
      <c r="R1001" t="s">
        <v>26</v>
      </c>
      <c r="S1001" s="2">
        <f t="shared" si="15"/>
        <v>118490.88</v>
      </c>
    </row>
    <row r="1002" spans="1:19" x14ac:dyDescent="0.3">
      <c r="A1002" t="s">
        <v>1063</v>
      </c>
      <c r="B1002" s="1">
        <v>46313</v>
      </c>
      <c r="C1002" t="s">
        <v>98</v>
      </c>
      <c r="D1002" t="s">
        <v>20</v>
      </c>
      <c r="E1002" t="s">
        <v>42</v>
      </c>
      <c r="F1002" t="s">
        <v>1582</v>
      </c>
      <c r="G1002" t="s">
        <v>1583</v>
      </c>
      <c r="H1002">
        <v>191</v>
      </c>
      <c r="I1002">
        <v>51</v>
      </c>
      <c r="J1002">
        <v>25</v>
      </c>
      <c r="K1002">
        <v>217</v>
      </c>
      <c r="L1002">
        <v>54</v>
      </c>
      <c r="M1002" s="2">
        <v>1372.89</v>
      </c>
      <c r="N1002">
        <v>8</v>
      </c>
      <c r="O1002">
        <v>0</v>
      </c>
      <c r="P1002" t="s">
        <v>33</v>
      </c>
      <c r="Q1002" t="s">
        <v>47</v>
      </c>
      <c r="R1002" t="s">
        <v>59</v>
      </c>
      <c r="S1002" s="2">
        <f t="shared" si="15"/>
        <v>297917.13</v>
      </c>
    </row>
    <row r="1003" spans="1:19" x14ac:dyDescent="0.3">
      <c r="A1003" t="s">
        <v>1064</v>
      </c>
      <c r="B1003" s="1">
        <v>46231</v>
      </c>
      <c r="C1003" t="s">
        <v>62</v>
      </c>
      <c r="D1003" t="s">
        <v>29</v>
      </c>
      <c r="E1003" t="s">
        <v>58</v>
      </c>
      <c r="F1003" t="s">
        <v>37</v>
      </c>
      <c r="G1003" t="s">
        <v>38</v>
      </c>
      <c r="H1003">
        <v>145</v>
      </c>
      <c r="I1003">
        <v>59</v>
      </c>
      <c r="J1003">
        <v>109</v>
      </c>
      <c r="K1003">
        <v>95</v>
      </c>
      <c r="L1003">
        <v>66</v>
      </c>
      <c r="M1003" s="2">
        <v>746.81</v>
      </c>
      <c r="N1003">
        <v>2</v>
      </c>
      <c r="O1003">
        <v>0</v>
      </c>
      <c r="P1003" t="s">
        <v>33</v>
      </c>
      <c r="Q1003" t="s">
        <v>34</v>
      </c>
      <c r="R1003" t="s">
        <v>26</v>
      </c>
      <c r="S1003" s="2">
        <f t="shared" si="15"/>
        <v>70946.95</v>
      </c>
    </row>
    <row r="1004" spans="1:19" x14ac:dyDescent="0.3">
      <c r="A1004" t="s">
        <v>1065</v>
      </c>
      <c r="B1004" s="1">
        <v>46064</v>
      </c>
      <c r="C1004" t="s">
        <v>89</v>
      </c>
      <c r="D1004" t="s">
        <v>20</v>
      </c>
      <c r="E1004" t="s">
        <v>42</v>
      </c>
      <c r="F1004" t="s">
        <v>1582</v>
      </c>
      <c r="G1004" t="s">
        <v>1583</v>
      </c>
      <c r="H1004">
        <v>179</v>
      </c>
      <c r="I1004">
        <v>83</v>
      </c>
      <c r="J1004">
        <v>55</v>
      </c>
      <c r="K1004">
        <v>207</v>
      </c>
      <c r="L1004">
        <v>86</v>
      </c>
      <c r="M1004" s="2">
        <v>1136.58</v>
      </c>
      <c r="N1004">
        <v>5</v>
      </c>
      <c r="O1004">
        <v>0</v>
      </c>
      <c r="P1004" t="s">
        <v>33</v>
      </c>
      <c r="Q1004" t="s">
        <v>47</v>
      </c>
      <c r="R1004" t="s">
        <v>26</v>
      </c>
      <c r="S1004" s="2">
        <f t="shared" si="15"/>
        <v>235272.06</v>
      </c>
    </row>
    <row r="1005" spans="1:19" x14ac:dyDescent="0.3">
      <c r="A1005" t="s">
        <v>1066</v>
      </c>
      <c r="B1005" s="1">
        <v>46081</v>
      </c>
      <c r="C1005" t="s">
        <v>40</v>
      </c>
      <c r="D1005" t="s">
        <v>20</v>
      </c>
      <c r="E1005" t="s">
        <v>75</v>
      </c>
      <c r="F1005" t="s">
        <v>1582</v>
      </c>
      <c r="G1005" t="s">
        <v>1583</v>
      </c>
      <c r="H1005">
        <v>72</v>
      </c>
      <c r="I1005">
        <v>116</v>
      </c>
      <c r="J1005">
        <v>16</v>
      </c>
      <c r="K1005">
        <v>172</v>
      </c>
      <c r="L1005">
        <v>55</v>
      </c>
      <c r="M1005" s="2">
        <v>903.59</v>
      </c>
      <c r="N1005">
        <v>2</v>
      </c>
      <c r="O1005">
        <v>0</v>
      </c>
      <c r="P1005" t="s">
        <v>24</v>
      </c>
      <c r="Q1005" t="s">
        <v>47</v>
      </c>
      <c r="R1005" t="s">
        <v>26</v>
      </c>
      <c r="S1005" s="2">
        <f t="shared" si="15"/>
        <v>155417.48000000001</v>
      </c>
    </row>
    <row r="1006" spans="1:19" x14ac:dyDescent="0.3">
      <c r="A1006" t="s">
        <v>1067</v>
      </c>
      <c r="B1006" s="1">
        <v>46174</v>
      </c>
      <c r="C1006" t="s">
        <v>40</v>
      </c>
      <c r="D1006" t="s">
        <v>20</v>
      </c>
      <c r="E1006" t="s">
        <v>58</v>
      </c>
      <c r="F1006" t="s">
        <v>22</v>
      </c>
      <c r="G1006" t="s">
        <v>23</v>
      </c>
      <c r="H1006">
        <v>200</v>
      </c>
      <c r="I1006">
        <v>122</v>
      </c>
      <c r="J1006">
        <v>82</v>
      </c>
      <c r="K1006">
        <v>240</v>
      </c>
      <c r="L1006">
        <v>76</v>
      </c>
      <c r="M1006" s="2">
        <v>835.18</v>
      </c>
      <c r="N1006">
        <v>8</v>
      </c>
      <c r="O1006">
        <v>0</v>
      </c>
      <c r="P1006" t="s">
        <v>33</v>
      </c>
      <c r="Q1006" t="s">
        <v>47</v>
      </c>
      <c r="R1006" t="s">
        <v>26</v>
      </c>
      <c r="S1006" s="2">
        <f t="shared" si="15"/>
        <v>200443.19999999998</v>
      </c>
    </row>
    <row r="1007" spans="1:19" x14ac:dyDescent="0.3">
      <c r="A1007" t="s">
        <v>1068</v>
      </c>
      <c r="B1007" s="1">
        <v>46127</v>
      </c>
      <c r="C1007" t="s">
        <v>40</v>
      </c>
      <c r="D1007" t="s">
        <v>20</v>
      </c>
      <c r="E1007" t="s">
        <v>21</v>
      </c>
      <c r="F1007" t="s">
        <v>37</v>
      </c>
      <c r="G1007" t="s">
        <v>38</v>
      </c>
      <c r="H1007">
        <v>173</v>
      </c>
      <c r="I1007">
        <v>61</v>
      </c>
      <c r="J1007">
        <v>93</v>
      </c>
      <c r="K1007">
        <v>141</v>
      </c>
      <c r="L1007">
        <v>68</v>
      </c>
      <c r="M1007" s="2">
        <v>911.49</v>
      </c>
      <c r="N1007">
        <v>3</v>
      </c>
      <c r="O1007">
        <v>0</v>
      </c>
      <c r="P1007" t="s">
        <v>24</v>
      </c>
      <c r="Q1007" t="s">
        <v>34</v>
      </c>
      <c r="R1007" t="s">
        <v>26</v>
      </c>
      <c r="S1007" s="2">
        <f t="shared" si="15"/>
        <v>128520.09</v>
      </c>
    </row>
    <row r="1008" spans="1:19" x14ac:dyDescent="0.3">
      <c r="A1008" t="s">
        <v>1069</v>
      </c>
      <c r="B1008" s="1">
        <v>46107</v>
      </c>
      <c r="C1008" t="s">
        <v>52</v>
      </c>
      <c r="D1008" t="s">
        <v>53</v>
      </c>
      <c r="E1008" t="s">
        <v>30</v>
      </c>
      <c r="F1008" t="s">
        <v>37</v>
      </c>
      <c r="G1008" t="s">
        <v>38</v>
      </c>
      <c r="H1008">
        <v>160</v>
      </c>
      <c r="I1008">
        <v>79</v>
      </c>
      <c r="J1008">
        <v>41</v>
      </c>
      <c r="K1008">
        <v>198</v>
      </c>
      <c r="L1008">
        <v>66</v>
      </c>
      <c r="M1008" s="2">
        <v>705.52</v>
      </c>
      <c r="N1008">
        <v>7</v>
      </c>
      <c r="O1008">
        <v>0</v>
      </c>
      <c r="P1008" t="s">
        <v>33</v>
      </c>
      <c r="Q1008" t="s">
        <v>47</v>
      </c>
      <c r="R1008" t="s">
        <v>81</v>
      </c>
      <c r="S1008" s="2">
        <f t="shared" si="15"/>
        <v>139692.96</v>
      </c>
    </row>
    <row r="1009" spans="1:19" x14ac:dyDescent="0.3">
      <c r="A1009" t="s">
        <v>1070</v>
      </c>
      <c r="B1009" s="1">
        <v>46378</v>
      </c>
      <c r="C1009" t="s">
        <v>68</v>
      </c>
      <c r="D1009" t="s">
        <v>53</v>
      </c>
      <c r="E1009" t="s">
        <v>75</v>
      </c>
      <c r="F1009" t="s">
        <v>37</v>
      </c>
      <c r="G1009" t="s">
        <v>38</v>
      </c>
      <c r="H1009">
        <v>146</v>
      </c>
      <c r="I1009">
        <v>42</v>
      </c>
      <c r="J1009">
        <v>34</v>
      </c>
      <c r="K1009">
        <v>154</v>
      </c>
      <c r="L1009">
        <v>75</v>
      </c>
      <c r="M1009" s="2">
        <v>548.04999999999995</v>
      </c>
      <c r="N1009">
        <v>2</v>
      </c>
      <c r="O1009">
        <v>0</v>
      </c>
      <c r="P1009" t="s">
        <v>33</v>
      </c>
      <c r="Q1009" t="s">
        <v>34</v>
      </c>
      <c r="R1009" t="s">
        <v>26</v>
      </c>
      <c r="S1009" s="2">
        <f t="shared" si="15"/>
        <v>84399.7</v>
      </c>
    </row>
    <row r="1010" spans="1:19" x14ac:dyDescent="0.3">
      <c r="A1010" t="s">
        <v>1071</v>
      </c>
      <c r="B1010" s="1">
        <v>46030</v>
      </c>
      <c r="C1010" t="s">
        <v>40</v>
      </c>
      <c r="D1010" t="s">
        <v>20</v>
      </c>
      <c r="E1010" t="s">
        <v>21</v>
      </c>
      <c r="F1010" t="s">
        <v>31</v>
      </c>
      <c r="G1010" t="s">
        <v>32</v>
      </c>
      <c r="H1010">
        <v>55</v>
      </c>
      <c r="I1010">
        <v>99</v>
      </c>
      <c r="J1010">
        <v>74</v>
      </c>
      <c r="K1010">
        <v>80</v>
      </c>
      <c r="L1010">
        <v>83</v>
      </c>
      <c r="M1010" s="2">
        <v>838.16</v>
      </c>
      <c r="N1010">
        <v>4</v>
      </c>
      <c r="O1010">
        <v>4</v>
      </c>
      <c r="P1010" t="s">
        <v>33</v>
      </c>
      <c r="Q1010" t="s">
        <v>34</v>
      </c>
      <c r="R1010" t="s">
        <v>26</v>
      </c>
      <c r="S1010" s="2">
        <f t="shared" si="15"/>
        <v>67052.800000000003</v>
      </c>
    </row>
    <row r="1011" spans="1:19" x14ac:dyDescent="0.3">
      <c r="A1011" t="s">
        <v>1072</v>
      </c>
      <c r="B1011" s="1">
        <v>46351</v>
      </c>
      <c r="C1011" t="s">
        <v>83</v>
      </c>
      <c r="D1011" t="s">
        <v>29</v>
      </c>
      <c r="E1011" t="s">
        <v>21</v>
      </c>
      <c r="F1011" t="s">
        <v>1582</v>
      </c>
      <c r="G1011" t="s">
        <v>1583</v>
      </c>
      <c r="H1011">
        <v>189</v>
      </c>
      <c r="I1011">
        <v>113</v>
      </c>
      <c r="J1011">
        <v>54</v>
      </c>
      <c r="K1011">
        <v>248</v>
      </c>
      <c r="L1011">
        <v>68</v>
      </c>
      <c r="M1011" s="2">
        <v>1639.84</v>
      </c>
      <c r="N1011">
        <v>5</v>
      </c>
      <c r="O1011">
        <v>0</v>
      </c>
      <c r="P1011" t="s">
        <v>33</v>
      </c>
      <c r="Q1011" t="s">
        <v>47</v>
      </c>
      <c r="R1011" t="s">
        <v>26</v>
      </c>
      <c r="S1011" s="2">
        <f t="shared" si="15"/>
        <v>406680.32000000001</v>
      </c>
    </row>
    <row r="1012" spans="1:19" x14ac:dyDescent="0.3">
      <c r="A1012" t="s">
        <v>1073</v>
      </c>
      <c r="B1012" s="1">
        <v>46323</v>
      </c>
      <c r="C1012" t="s">
        <v>62</v>
      </c>
      <c r="D1012" t="s">
        <v>29</v>
      </c>
      <c r="E1012" t="s">
        <v>30</v>
      </c>
      <c r="F1012" t="s">
        <v>22</v>
      </c>
      <c r="G1012" t="s">
        <v>23</v>
      </c>
      <c r="H1012">
        <v>66</v>
      </c>
      <c r="I1012">
        <v>113</v>
      </c>
      <c r="J1012">
        <v>42</v>
      </c>
      <c r="K1012">
        <v>137</v>
      </c>
      <c r="L1012">
        <v>62</v>
      </c>
      <c r="M1012" s="2">
        <v>654.97</v>
      </c>
      <c r="N1012">
        <v>6</v>
      </c>
      <c r="O1012">
        <v>0</v>
      </c>
      <c r="P1012" t="s">
        <v>24</v>
      </c>
      <c r="Q1012" t="s">
        <v>47</v>
      </c>
      <c r="R1012" t="s">
        <v>59</v>
      </c>
      <c r="S1012" s="2">
        <f t="shared" si="15"/>
        <v>89730.89</v>
      </c>
    </row>
    <row r="1013" spans="1:19" x14ac:dyDescent="0.3">
      <c r="A1013" t="s">
        <v>1074</v>
      </c>
      <c r="B1013" s="1">
        <v>46337</v>
      </c>
      <c r="C1013" t="s">
        <v>49</v>
      </c>
      <c r="D1013" t="s">
        <v>50</v>
      </c>
      <c r="E1013" t="s">
        <v>30</v>
      </c>
      <c r="F1013" t="s">
        <v>37</v>
      </c>
      <c r="G1013" t="s">
        <v>38</v>
      </c>
      <c r="H1013">
        <v>197</v>
      </c>
      <c r="I1013">
        <v>105</v>
      </c>
      <c r="J1013">
        <v>75</v>
      </c>
      <c r="K1013">
        <v>227</v>
      </c>
      <c r="L1013">
        <v>58</v>
      </c>
      <c r="M1013" s="2">
        <v>1213.71</v>
      </c>
      <c r="N1013">
        <v>8</v>
      </c>
      <c r="O1013">
        <v>0</v>
      </c>
      <c r="P1013" t="s">
        <v>33</v>
      </c>
      <c r="Q1013" t="s">
        <v>47</v>
      </c>
      <c r="R1013" t="s">
        <v>26</v>
      </c>
      <c r="S1013" s="2">
        <f t="shared" si="15"/>
        <v>275512.17</v>
      </c>
    </row>
    <row r="1014" spans="1:19" x14ac:dyDescent="0.3">
      <c r="A1014" t="s">
        <v>1075</v>
      </c>
      <c r="B1014" s="1">
        <v>46190</v>
      </c>
      <c r="C1014" t="s">
        <v>28</v>
      </c>
      <c r="D1014" t="s">
        <v>29</v>
      </c>
      <c r="E1014" t="s">
        <v>42</v>
      </c>
      <c r="F1014" t="s">
        <v>1582</v>
      </c>
      <c r="G1014" t="s">
        <v>1583</v>
      </c>
      <c r="H1014">
        <v>40</v>
      </c>
      <c r="I1014">
        <v>61</v>
      </c>
      <c r="J1014">
        <v>24</v>
      </c>
      <c r="K1014">
        <v>77</v>
      </c>
      <c r="L1014">
        <v>48</v>
      </c>
      <c r="M1014" s="2">
        <v>1205.6099999999999</v>
      </c>
      <c r="N1014">
        <v>8</v>
      </c>
      <c r="O1014">
        <v>0</v>
      </c>
      <c r="P1014" t="s">
        <v>33</v>
      </c>
      <c r="Q1014" t="s">
        <v>34</v>
      </c>
      <c r="R1014" t="s">
        <v>26</v>
      </c>
      <c r="S1014" s="2">
        <f t="shared" si="15"/>
        <v>92831.969999999987</v>
      </c>
    </row>
    <row r="1015" spans="1:19" x14ac:dyDescent="0.3">
      <c r="A1015" t="s">
        <v>1076</v>
      </c>
      <c r="B1015" s="1">
        <v>46063</v>
      </c>
      <c r="C1015" t="s">
        <v>109</v>
      </c>
      <c r="D1015" t="s">
        <v>46</v>
      </c>
      <c r="E1015" t="s">
        <v>42</v>
      </c>
      <c r="F1015" t="s">
        <v>1582</v>
      </c>
      <c r="G1015" t="s">
        <v>1583</v>
      </c>
      <c r="H1015">
        <v>136</v>
      </c>
      <c r="I1015">
        <v>119</v>
      </c>
      <c r="J1015">
        <v>64</v>
      </c>
      <c r="K1015">
        <v>191</v>
      </c>
      <c r="L1015">
        <v>90</v>
      </c>
      <c r="M1015" s="2">
        <v>3183.67</v>
      </c>
      <c r="N1015">
        <v>4</v>
      </c>
      <c r="O1015">
        <v>0</v>
      </c>
      <c r="P1015" t="s">
        <v>33</v>
      </c>
      <c r="Q1015" t="s">
        <v>34</v>
      </c>
      <c r="R1015" t="s">
        <v>26</v>
      </c>
      <c r="S1015" s="2">
        <f t="shared" si="15"/>
        <v>608080.97</v>
      </c>
    </row>
    <row r="1016" spans="1:19" x14ac:dyDescent="0.3">
      <c r="A1016" t="s">
        <v>1077</v>
      </c>
      <c r="B1016" s="1">
        <v>46308</v>
      </c>
      <c r="C1016" t="s">
        <v>87</v>
      </c>
      <c r="D1016" t="s">
        <v>53</v>
      </c>
      <c r="E1016" t="s">
        <v>42</v>
      </c>
      <c r="F1016" t="s">
        <v>37</v>
      </c>
      <c r="G1016" t="s">
        <v>38</v>
      </c>
      <c r="H1016">
        <v>76</v>
      </c>
      <c r="I1016">
        <v>127</v>
      </c>
      <c r="J1016">
        <v>70</v>
      </c>
      <c r="K1016">
        <v>133</v>
      </c>
      <c r="L1016">
        <v>80</v>
      </c>
      <c r="M1016" s="2">
        <v>444.75</v>
      </c>
      <c r="N1016">
        <v>7</v>
      </c>
      <c r="O1016">
        <v>0</v>
      </c>
      <c r="P1016" t="s">
        <v>33</v>
      </c>
      <c r="Q1016" t="s">
        <v>34</v>
      </c>
      <c r="R1016" t="s">
        <v>59</v>
      </c>
      <c r="S1016" s="2">
        <f t="shared" si="15"/>
        <v>59151.75</v>
      </c>
    </row>
    <row r="1017" spans="1:19" x14ac:dyDescent="0.3">
      <c r="A1017" t="s">
        <v>1078</v>
      </c>
      <c r="B1017" s="1">
        <v>46120</v>
      </c>
      <c r="C1017" t="s">
        <v>49</v>
      </c>
      <c r="D1017" t="s">
        <v>50</v>
      </c>
      <c r="E1017" t="s">
        <v>42</v>
      </c>
      <c r="F1017" t="s">
        <v>31</v>
      </c>
      <c r="G1017" t="s">
        <v>32</v>
      </c>
      <c r="H1017">
        <v>133</v>
      </c>
      <c r="I1017">
        <v>129</v>
      </c>
      <c r="J1017">
        <v>74</v>
      </c>
      <c r="K1017">
        <v>188</v>
      </c>
      <c r="L1017">
        <v>94</v>
      </c>
      <c r="M1017" s="2">
        <v>1344.21</v>
      </c>
      <c r="N1017">
        <v>7</v>
      </c>
      <c r="O1017">
        <v>0</v>
      </c>
      <c r="P1017" t="s">
        <v>33</v>
      </c>
      <c r="Q1017" t="s">
        <v>34</v>
      </c>
      <c r="R1017" t="s">
        <v>26</v>
      </c>
      <c r="S1017" s="2">
        <f t="shared" si="15"/>
        <v>252711.48</v>
      </c>
    </row>
    <row r="1018" spans="1:19" x14ac:dyDescent="0.3">
      <c r="A1018" t="s">
        <v>1079</v>
      </c>
      <c r="B1018" s="1">
        <v>46211</v>
      </c>
      <c r="C1018" t="s">
        <v>49</v>
      </c>
      <c r="D1018" t="s">
        <v>50</v>
      </c>
      <c r="E1018" t="s">
        <v>42</v>
      </c>
      <c r="F1018" t="s">
        <v>31</v>
      </c>
      <c r="G1018" t="s">
        <v>32</v>
      </c>
      <c r="H1018">
        <v>90</v>
      </c>
      <c r="I1018">
        <v>76</v>
      </c>
      <c r="J1018">
        <v>61</v>
      </c>
      <c r="K1018">
        <v>105</v>
      </c>
      <c r="L1018">
        <v>78</v>
      </c>
      <c r="M1018" s="2">
        <v>1220.67</v>
      </c>
      <c r="N1018">
        <v>6</v>
      </c>
      <c r="O1018">
        <v>0</v>
      </c>
      <c r="P1018" t="s">
        <v>33</v>
      </c>
      <c r="Q1018" t="s">
        <v>34</v>
      </c>
      <c r="R1018" t="s">
        <v>26</v>
      </c>
      <c r="S1018" s="2">
        <f t="shared" si="15"/>
        <v>128170.35</v>
      </c>
    </row>
    <row r="1019" spans="1:19" x14ac:dyDescent="0.3">
      <c r="A1019" t="s">
        <v>1080</v>
      </c>
      <c r="B1019" s="1">
        <v>46163</v>
      </c>
      <c r="C1019" t="s">
        <v>109</v>
      </c>
      <c r="D1019" t="s">
        <v>46</v>
      </c>
      <c r="E1019" t="s">
        <v>30</v>
      </c>
      <c r="F1019" t="s">
        <v>37</v>
      </c>
      <c r="G1019" t="s">
        <v>38</v>
      </c>
      <c r="H1019">
        <v>48</v>
      </c>
      <c r="I1019">
        <v>102</v>
      </c>
      <c r="J1019">
        <v>50</v>
      </c>
      <c r="K1019">
        <v>100</v>
      </c>
      <c r="L1019">
        <v>86</v>
      </c>
      <c r="M1019" s="2">
        <v>3186.39</v>
      </c>
      <c r="N1019">
        <v>2</v>
      </c>
      <c r="O1019">
        <v>0</v>
      </c>
      <c r="P1019" t="s">
        <v>33</v>
      </c>
      <c r="Q1019" t="s">
        <v>34</v>
      </c>
      <c r="R1019" t="s">
        <v>59</v>
      </c>
      <c r="S1019" s="2">
        <f t="shared" si="15"/>
        <v>318639</v>
      </c>
    </row>
    <row r="1020" spans="1:19" x14ac:dyDescent="0.3">
      <c r="A1020" t="s">
        <v>1081</v>
      </c>
      <c r="B1020" s="1">
        <v>46212</v>
      </c>
      <c r="C1020" t="s">
        <v>19</v>
      </c>
      <c r="D1020" t="s">
        <v>20</v>
      </c>
      <c r="E1020" t="s">
        <v>58</v>
      </c>
      <c r="F1020" t="s">
        <v>1582</v>
      </c>
      <c r="G1020" t="s">
        <v>1583</v>
      </c>
      <c r="H1020">
        <v>165</v>
      </c>
      <c r="I1020">
        <v>42</v>
      </c>
      <c r="J1020">
        <v>75</v>
      </c>
      <c r="K1020">
        <v>132</v>
      </c>
      <c r="L1020">
        <v>92</v>
      </c>
      <c r="M1020" s="2">
        <v>1934.98</v>
      </c>
      <c r="N1020">
        <v>8</v>
      </c>
      <c r="O1020">
        <v>0</v>
      </c>
      <c r="P1020" t="s">
        <v>33</v>
      </c>
      <c r="Q1020" t="s">
        <v>34</v>
      </c>
      <c r="R1020" t="s">
        <v>26</v>
      </c>
      <c r="S1020" s="2">
        <f t="shared" si="15"/>
        <v>255417.36000000002</v>
      </c>
    </row>
    <row r="1021" spans="1:19" x14ac:dyDescent="0.3">
      <c r="A1021" t="s">
        <v>1082</v>
      </c>
      <c r="B1021" s="1">
        <v>46301</v>
      </c>
      <c r="C1021" t="s">
        <v>98</v>
      </c>
      <c r="D1021" t="s">
        <v>20</v>
      </c>
      <c r="E1021" t="s">
        <v>42</v>
      </c>
      <c r="F1021" t="s">
        <v>22</v>
      </c>
      <c r="G1021" t="s">
        <v>23</v>
      </c>
      <c r="H1021">
        <v>61</v>
      </c>
      <c r="I1021">
        <v>73</v>
      </c>
      <c r="J1021">
        <v>30</v>
      </c>
      <c r="K1021">
        <v>104</v>
      </c>
      <c r="L1021">
        <v>48</v>
      </c>
      <c r="M1021" s="2">
        <v>1384.15</v>
      </c>
      <c r="N1021">
        <v>7</v>
      </c>
      <c r="O1021">
        <v>0</v>
      </c>
      <c r="P1021" t="s">
        <v>24</v>
      </c>
      <c r="Q1021" t="s">
        <v>34</v>
      </c>
      <c r="R1021" t="s">
        <v>26</v>
      </c>
      <c r="S1021" s="2">
        <f t="shared" si="15"/>
        <v>143951.6</v>
      </c>
    </row>
    <row r="1022" spans="1:19" x14ac:dyDescent="0.3">
      <c r="A1022" t="s">
        <v>1083</v>
      </c>
      <c r="B1022" s="1">
        <v>46210</v>
      </c>
      <c r="C1022" t="s">
        <v>80</v>
      </c>
      <c r="D1022" t="s">
        <v>46</v>
      </c>
      <c r="E1022" t="s">
        <v>30</v>
      </c>
      <c r="F1022" t="s">
        <v>31</v>
      </c>
      <c r="G1022" t="s">
        <v>32</v>
      </c>
      <c r="H1022">
        <v>125</v>
      </c>
      <c r="I1022">
        <v>127</v>
      </c>
      <c r="J1022">
        <v>101</v>
      </c>
      <c r="K1022">
        <v>151</v>
      </c>
      <c r="L1022">
        <v>99</v>
      </c>
      <c r="M1022" s="2">
        <v>1187.93</v>
      </c>
      <c r="N1022">
        <v>7</v>
      </c>
      <c r="O1022">
        <v>0</v>
      </c>
      <c r="P1022" t="s">
        <v>24</v>
      </c>
      <c r="Q1022" t="s">
        <v>34</v>
      </c>
      <c r="R1022" t="s">
        <v>81</v>
      </c>
      <c r="S1022" s="2">
        <f t="shared" si="15"/>
        <v>179377.43000000002</v>
      </c>
    </row>
    <row r="1023" spans="1:19" x14ac:dyDescent="0.3">
      <c r="A1023" t="s">
        <v>1084</v>
      </c>
      <c r="B1023" s="1">
        <v>46065</v>
      </c>
      <c r="C1023" t="s">
        <v>77</v>
      </c>
      <c r="D1023" t="s">
        <v>53</v>
      </c>
      <c r="E1023" t="s">
        <v>58</v>
      </c>
      <c r="F1023" t="s">
        <v>1582</v>
      </c>
      <c r="G1023" t="s">
        <v>1583</v>
      </c>
      <c r="H1023">
        <v>210</v>
      </c>
      <c r="I1023">
        <v>105</v>
      </c>
      <c r="J1023">
        <v>22</v>
      </c>
      <c r="K1023">
        <v>293</v>
      </c>
      <c r="L1023">
        <v>49</v>
      </c>
      <c r="M1023" s="2">
        <v>469.29</v>
      </c>
      <c r="N1023">
        <v>8</v>
      </c>
      <c r="O1023">
        <v>0</v>
      </c>
      <c r="P1023" t="s">
        <v>33</v>
      </c>
      <c r="Q1023" t="s">
        <v>47</v>
      </c>
      <c r="R1023" t="s">
        <v>59</v>
      </c>
      <c r="S1023" s="2">
        <f t="shared" si="15"/>
        <v>137501.97</v>
      </c>
    </row>
    <row r="1024" spans="1:19" x14ac:dyDescent="0.3">
      <c r="A1024" t="s">
        <v>1085</v>
      </c>
      <c r="B1024" s="1">
        <v>46024</v>
      </c>
      <c r="C1024" t="s">
        <v>36</v>
      </c>
      <c r="D1024" t="s">
        <v>29</v>
      </c>
      <c r="E1024" t="s">
        <v>75</v>
      </c>
      <c r="F1024" t="s">
        <v>37</v>
      </c>
      <c r="G1024" t="s">
        <v>38</v>
      </c>
      <c r="H1024">
        <v>195</v>
      </c>
      <c r="I1024">
        <v>45</v>
      </c>
      <c r="J1024">
        <v>103</v>
      </c>
      <c r="K1024">
        <v>137</v>
      </c>
      <c r="L1024">
        <v>77</v>
      </c>
      <c r="M1024" s="2">
        <v>2356.44</v>
      </c>
      <c r="N1024">
        <v>7</v>
      </c>
      <c r="O1024">
        <v>0</v>
      </c>
      <c r="P1024" t="s">
        <v>33</v>
      </c>
      <c r="Q1024" t="s">
        <v>34</v>
      </c>
      <c r="R1024" t="s">
        <v>43</v>
      </c>
      <c r="S1024" s="2">
        <f t="shared" si="15"/>
        <v>322832.28000000003</v>
      </c>
    </row>
    <row r="1025" spans="1:19" x14ac:dyDescent="0.3">
      <c r="A1025" t="s">
        <v>1086</v>
      </c>
      <c r="B1025" s="1">
        <v>46069</v>
      </c>
      <c r="C1025" t="s">
        <v>45</v>
      </c>
      <c r="D1025" t="s">
        <v>46</v>
      </c>
      <c r="E1025" t="s">
        <v>30</v>
      </c>
      <c r="F1025" t="s">
        <v>37</v>
      </c>
      <c r="G1025" t="s">
        <v>38</v>
      </c>
      <c r="H1025">
        <v>70</v>
      </c>
      <c r="I1025">
        <v>63</v>
      </c>
      <c r="J1025">
        <v>74</v>
      </c>
      <c r="K1025">
        <v>59</v>
      </c>
      <c r="L1025">
        <v>81</v>
      </c>
      <c r="M1025" s="2">
        <v>853.78</v>
      </c>
      <c r="N1025">
        <v>2</v>
      </c>
      <c r="O1025">
        <v>8</v>
      </c>
      <c r="P1025" t="s">
        <v>33</v>
      </c>
      <c r="Q1025" t="s">
        <v>34</v>
      </c>
      <c r="R1025" t="s">
        <v>26</v>
      </c>
      <c r="S1025" s="2">
        <f t="shared" si="15"/>
        <v>50373.02</v>
      </c>
    </row>
    <row r="1026" spans="1:19" x14ac:dyDescent="0.3">
      <c r="A1026" t="s">
        <v>1087</v>
      </c>
      <c r="B1026" s="1">
        <v>46064</v>
      </c>
      <c r="C1026" t="s">
        <v>62</v>
      </c>
      <c r="D1026" t="s">
        <v>29</v>
      </c>
      <c r="E1026" t="s">
        <v>42</v>
      </c>
      <c r="F1026" t="s">
        <v>37</v>
      </c>
      <c r="G1026" t="s">
        <v>38</v>
      </c>
      <c r="H1026">
        <v>191</v>
      </c>
      <c r="I1026">
        <v>100</v>
      </c>
      <c r="J1026">
        <v>17</v>
      </c>
      <c r="K1026">
        <v>274</v>
      </c>
      <c r="L1026">
        <v>94</v>
      </c>
      <c r="M1026" s="2">
        <v>653.71</v>
      </c>
      <c r="N1026">
        <v>2</v>
      </c>
      <c r="O1026">
        <v>0</v>
      </c>
      <c r="P1026" t="s">
        <v>33</v>
      </c>
      <c r="Q1026" t="s">
        <v>47</v>
      </c>
      <c r="R1026" t="s">
        <v>26</v>
      </c>
      <c r="S1026" s="2">
        <f t="shared" ref="S1026:S1089" si="16">K1026*M1026</f>
        <v>179116.54</v>
      </c>
    </row>
    <row r="1027" spans="1:19" x14ac:dyDescent="0.3">
      <c r="A1027" t="s">
        <v>1088</v>
      </c>
      <c r="B1027" s="1">
        <v>46119</v>
      </c>
      <c r="C1027" t="s">
        <v>83</v>
      </c>
      <c r="D1027" t="s">
        <v>29</v>
      </c>
      <c r="E1027" t="s">
        <v>42</v>
      </c>
      <c r="F1027" t="s">
        <v>22</v>
      </c>
      <c r="G1027" t="s">
        <v>23</v>
      </c>
      <c r="H1027">
        <v>119</v>
      </c>
      <c r="I1027">
        <v>26</v>
      </c>
      <c r="J1027">
        <v>63</v>
      </c>
      <c r="K1027">
        <v>82</v>
      </c>
      <c r="L1027">
        <v>90</v>
      </c>
      <c r="M1027" s="2">
        <v>1531.86</v>
      </c>
      <c r="N1027">
        <v>4</v>
      </c>
      <c r="O1027">
        <v>6</v>
      </c>
      <c r="P1027" t="s">
        <v>24</v>
      </c>
      <c r="Q1027" t="s">
        <v>34</v>
      </c>
      <c r="R1027" t="s">
        <v>26</v>
      </c>
      <c r="S1027" s="2">
        <f t="shared" si="16"/>
        <v>125612.51999999999</v>
      </c>
    </row>
    <row r="1028" spans="1:19" x14ac:dyDescent="0.3">
      <c r="A1028" t="s">
        <v>1089</v>
      </c>
      <c r="B1028" s="1">
        <v>46351</v>
      </c>
      <c r="C1028" t="s">
        <v>80</v>
      </c>
      <c r="D1028" t="s">
        <v>46</v>
      </c>
      <c r="E1028" t="s">
        <v>42</v>
      </c>
      <c r="F1028" t="s">
        <v>37</v>
      </c>
      <c r="G1028" t="s">
        <v>38</v>
      </c>
      <c r="H1028">
        <v>106</v>
      </c>
      <c r="I1028">
        <v>109</v>
      </c>
      <c r="J1028">
        <v>71</v>
      </c>
      <c r="K1028">
        <v>144</v>
      </c>
      <c r="L1028">
        <v>61</v>
      </c>
      <c r="M1028" s="2">
        <v>1010.33</v>
      </c>
      <c r="N1028">
        <v>4</v>
      </c>
      <c r="O1028">
        <v>0</v>
      </c>
      <c r="P1028" t="s">
        <v>33</v>
      </c>
      <c r="Q1028" t="s">
        <v>47</v>
      </c>
      <c r="R1028" t="s">
        <v>26</v>
      </c>
      <c r="S1028" s="2">
        <f t="shared" si="16"/>
        <v>145487.52000000002</v>
      </c>
    </row>
    <row r="1029" spans="1:19" x14ac:dyDescent="0.3">
      <c r="A1029" t="s">
        <v>1090</v>
      </c>
      <c r="B1029" s="1">
        <v>46372</v>
      </c>
      <c r="C1029" t="s">
        <v>68</v>
      </c>
      <c r="D1029" t="s">
        <v>53</v>
      </c>
      <c r="E1029" t="s">
        <v>42</v>
      </c>
      <c r="F1029" t="s">
        <v>31</v>
      </c>
      <c r="G1029" t="s">
        <v>32</v>
      </c>
      <c r="H1029">
        <v>189</v>
      </c>
      <c r="I1029">
        <v>69</v>
      </c>
      <c r="J1029">
        <v>34</v>
      </c>
      <c r="K1029">
        <v>224</v>
      </c>
      <c r="L1029">
        <v>79</v>
      </c>
      <c r="M1029" s="2">
        <v>608.25</v>
      </c>
      <c r="N1029">
        <v>7</v>
      </c>
      <c r="O1029">
        <v>0</v>
      </c>
      <c r="P1029" t="s">
        <v>33</v>
      </c>
      <c r="Q1029" t="s">
        <v>47</v>
      </c>
      <c r="R1029" t="s">
        <v>26</v>
      </c>
      <c r="S1029" s="2">
        <f t="shared" si="16"/>
        <v>136248</v>
      </c>
    </row>
    <row r="1030" spans="1:19" x14ac:dyDescent="0.3">
      <c r="A1030" t="s">
        <v>1091</v>
      </c>
      <c r="B1030" s="1">
        <v>46360</v>
      </c>
      <c r="C1030" t="s">
        <v>80</v>
      </c>
      <c r="D1030" t="s">
        <v>46</v>
      </c>
      <c r="E1030" t="s">
        <v>21</v>
      </c>
      <c r="F1030" t="s">
        <v>37</v>
      </c>
      <c r="G1030" t="s">
        <v>38</v>
      </c>
      <c r="H1030">
        <v>63</v>
      </c>
      <c r="I1030">
        <v>85</v>
      </c>
      <c r="J1030">
        <v>41</v>
      </c>
      <c r="K1030">
        <v>107</v>
      </c>
      <c r="L1030">
        <v>61</v>
      </c>
      <c r="M1030" s="2">
        <v>1038.02</v>
      </c>
      <c r="N1030">
        <v>4</v>
      </c>
      <c r="O1030">
        <v>0</v>
      </c>
      <c r="P1030" t="s">
        <v>24</v>
      </c>
      <c r="Q1030" t="s">
        <v>34</v>
      </c>
      <c r="R1030" t="s">
        <v>26</v>
      </c>
      <c r="S1030" s="2">
        <f t="shared" si="16"/>
        <v>111068.14</v>
      </c>
    </row>
    <row r="1031" spans="1:19" x14ac:dyDescent="0.3">
      <c r="A1031" t="s">
        <v>1092</v>
      </c>
      <c r="B1031" s="1">
        <v>46076</v>
      </c>
      <c r="C1031" t="s">
        <v>36</v>
      </c>
      <c r="D1031" t="s">
        <v>29</v>
      </c>
      <c r="E1031" t="s">
        <v>42</v>
      </c>
      <c r="F1031" t="s">
        <v>1582</v>
      </c>
      <c r="G1031" t="s">
        <v>1583</v>
      </c>
      <c r="H1031">
        <v>190</v>
      </c>
      <c r="I1031">
        <v>61</v>
      </c>
      <c r="J1031">
        <v>62</v>
      </c>
      <c r="K1031">
        <v>189</v>
      </c>
      <c r="L1031">
        <v>81</v>
      </c>
      <c r="M1031" s="2">
        <v>2341.4</v>
      </c>
      <c r="N1031">
        <v>6</v>
      </c>
      <c r="O1031">
        <v>0</v>
      </c>
      <c r="P1031" t="s">
        <v>33</v>
      </c>
      <c r="Q1031" t="s">
        <v>47</v>
      </c>
      <c r="R1031" t="s">
        <v>26</v>
      </c>
      <c r="S1031" s="2">
        <f t="shared" si="16"/>
        <v>442524.60000000003</v>
      </c>
    </row>
    <row r="1032" spans="1:19" x14ac:dyDescent="0.3">
      <c r="A1032" t="s">
        <v>1093</v>
      </c>
      <c r="B1032" s="1">
        <v>46262</v>
      </c>
      <c r="C1032" t="s">
        <v>109</v>
      </c>
      <c r="D1032" t="s">
        <v>46</v>
      </c>
      <c r="E1032" t="s">
        <v>42</v>
      </c>
      <c r="F1032" t="s">
        <v>1582</v>
      </c>
      <c r="G1032" t="s">
        <v>1583</v>
      </c>
      <c r="H1032">
        <v>161</v>
      </c>
      <c r="I1032">
        <v>62</v>
      </c>
      <c r="J1032">
        <v>58</v>
      </c>
      <c r="K1032">
        <v>165</v>
      </c>
      <c r="L1032">
        <v>86</v>
      </c>
      <c r="M1032" s="2">
        <v>3457.91</v>
      </c>
      <c r="N1032">
        <v>3</v>
      </c>
      <c r="O1032">
        <v>0</v>
      </c>
      <c r="P1032" t="s">
        <v>33</v>
      </c>
      <c r="Q1032" t="s">
        <v>34</v>
      </c>
      <c r="R1032" t="s">
        <v>26</v>
      </c>
      <c r="S1032" s="2">
        <f t="shared" si="16"/>
        <v>570555.15</v>
      </c>
    </row>
    <row r="1033" spans="1:19" x14ac:dyDescent="0.3">
      <c r="A1033" t="s">
        <v>1094</v>
      </c>
      <c r="B1033" s="1">
        <v>46152</v>
      </c>
      <c r="C1033" t="s">
        <v>87</v>
      </c>
      <c r="D1033" t="s">
        <v>53</v>
      </c>
      <c r="E1033" t="s">
        <v>75</v>
      </c>
      <c r="F1033" t="s">
        <v>1582</v>
      </c>
      <c r="G1033" t="s">
        <v>1583</v>
      </c>
      <c r="H1033">
        <v>197</v>
      </c>
      <c r="I1033">
        <v>78</v>
      </c>
      <c r="J1033">
        <v>90</v>
      </c>
      <c r="K1033">
        <v>185</v>
      </c>
      <c r="L1033">
        <v>81</v>
      </c>
      <c r="M1033" s="2">
        <v>467.5</v>
      </c>
      <c r="N1033">
        <v>7</v>
      </c>
      <c r="O1033">
        <v>0</v>
      </c>
      <c r="P1033" t="s">
        <v>33</v>
      </c>
      <c r="Q1033" t="s">
        <v>47</v>
      </c>
      <c r="R1033" t="s">
        <v>43</v>
      </c>
      <c r="S1033" s="2">
        <f t="shared" si="16"/>
        <v>86487.5</v>
      </c>
    </row>
    <row r="1034" spans="1:19" x14ac:dyDescent="0.3">
      <c r="A1034" t="s">
        <v>1095</v>
      </c>
      <c r="B1034" s="1">
        <v>46160</v>
      </c>
      <c r="C1034" t="s">
        <v>45</v>
      </c>
      <c r="D1034" t="s">
        <v>46</v>
      </c>
      <c r="E1034" t="s">
        <v>58</v>
      </c>
      <c r="F1034" t="s">
        <v>1582</v>
      </c>
      <c r="G1034" t="s">
        <v>1583</v>
      </c>
      <c r="H1034">
        <v>116</v>
      </c>
      <c r="I1034">
        <v>25</v>
      </c>
      <c r="J1034">
        <v>44</v>
      </c>
      <c r="K1034">
        <v>97</v>
      </c>
      <c r="L1034">
        <v>93</v>
      </c>
      <c r="M1034" s="2">
        <v>869.56</v>
      </c>
      <c r="N1034">
        <v>6</v>
      </c>
      <c r="O1034">
        <v>0</v>
      </c>
      <c r="P1034" t="s">
        <v>24</v>
      </c>
      <c r="Q1034" t="s">
        <v>34</v>
      </c>
      <c r="R1034" t="s">
        <v>26</v>
      </c>
      <c r="S1034" s="2">
        <f t="shared" si="16"/>
        <v>84347.319999999992</v>
      </c>
    </row>
    <row r="1035" spans="1:19" x14ac:dyDescent="0.3">
      <c r="A1035" t="s">
        <v>1096</v>
      </c>
      <c r="B1035" s="1">
        <v>46313</v>
      </c>
      <c r="C1035" t="s">
        <v>68</v>
      </c>
      <c r="D1035" t="s">
        <v>53</v>
      </c>
      <c r="E1035" t="s">
        <v>30</v>
      </c>
      <c r="F1035" t="s">
        <v>31</v>
      </c>
      <c r="G1035" t="s">
        <v>32</v>
      </c>
      <c r="H1035">
        <v>81</v>
      </c>
      <c r="I1035">
        <v>85</v>
      </c>
      <c r="J1035">
        <v>36</v>
      </c>
      <c r="K1035">
        <v>130</v>
      </c>
      <c r="L1035">
        <v>64</v>
      </c>
      <c r="M1035" s="2">
        <v>646.39</v>
      </c>
      <c r="N1035">
        <v>7</v>
      </c>
      <c r="O1035">
        <v>0</v>
      </c>
      <c r="P1035" t="s">
        <v>33</v>
      </c>
      <c r="Q1035" t="s">
        <v>34</v>
      </c>
      <c r="R1035" t="s">
        <v>26</v>
      </c>
      <c r="S1035" s="2">
        <f t="shared" si="16"/>
        <v>84030.7</v>
      </c>
    </row>
    <row r="1036" spans="1:19" x14ac:dyDescent="0.3">
      <c r="A1036" t="s">
        <v>1097</v>
      </c>
      <c r="B1036" s="1">
        <v>46177</v>
      </c>
      <c r="C1036" t="s">
        <v>28</v>
      </c>
      <c r="D1036" t="s">
        <v>29</v>
      </c>
      <c r="E1036" t="s">
        <v>21</v>
      </c>
      <c r="F1036" t="s">
        <v>31</v>
      </c>
      <c r="G1036" t="s">
        <v>32</v>
      </c>
      <c r="H1036">
        <v>63</v>
      </c>
      <c r="I1036">
        <v>59</v>
      </c>
      <c r="J1036">
        <v>33</v>
      </c>
      <c r="K1036">
        <v>89</v>
      </c>
      <c r="L1036">
        <v>96</v>
      </c>
      <c r="M1036" s="2">
        <v>1259.99</v>
      </c>
      <c r="N1036">
        <v>7</v>
      </c>
      <c r="O1036">
        <v>5</v>
      </c>
      <c r="P1036" t="s">
        <v>24</v>
      </c>
      <c r="Q1036" t="s">
        <v>34</v>
      </c>
      <c r="R1036" t="s">
        <v>43</v>
      </c>
      <c r="S1036" s="2">
        <f t="shared" si="16"/>
        <v>112139.11</v>
      </c>
    </row>
    <row r="1037" spans="1:19" x14ac:dyDescent="0.3">
      <c r="A1037" t="s">
        <v>1098</v>
      </c>
      <c r="B1037" s="1">
        <v>46025</v>
      </c>
      <c r="C1037" t="s">
        <v>109</v>
      </c>
      <c r="D1037" t="s">
        <v>46</v>
      </c>
      <c r="E1037" t="s">
        <v>42</v>
      </c>
      <c r="F1037" t="s">
        <v>22</v>
      </c>
      <c r="G1037" t="s">
        <v>23</v>
      </c>
      <c r="H1037">
        <v>92</v>
      </c>
      <c r="I1037">
        <v>75</v>
      </c>
      <c r="J1037">
        <v>26</v>
      </c>
      <c r="K1037">
        <v>141</v>
      </c>
      <c r="L1037">
        <v>91</v>
      </c>
      <c r="M1037" s="2">
        <v>3036.63</v>
      </c>
      <c r="N1037">
        <v>7</v>
      </c>
      <c r="O1037">
        <v>0</v>
      </c>
      <c r="P1037" t="s">
        <v>33</v>
      </c>
      <c r="Q1037" t="s">
        <v>34</v>
      </c>
      <c r="R1037" t="s">
        <v>59</v>
      </c>
      <c r="S1037" s="2">
        <f t="shared" si="16"/>
        <v>428164.83</v>
      </c>
    </row>
    <row r="1038" spans="1:19" x14ac:dyDescent="0.3">
      <c r="A1038" t="s">
        <v>1099</v>
      </c>
      <c r="B1038" s="1">
        <v>46384</v>
      </c>
      <c r="C1038" t="s">
        <v>72</v>
      </c>
      <c r="D1038" t="s">
        <v>50</v>
      </c>
      <c r="E1038" t="s">
        <v>21</v>
      </c>
      <c r="F1038" t="s">
        <v>31</v>
      </c>
      <c r="G1038" t="s">
        <v>32</v>
      </c>
      <c r="H1038">
        <v>160</v>
      </c>
      <c r="I1038">
        <v>90</v>
      </c>
      <c r="J1038">
        <v>102</v>
      </c>
      <c r="K1038">
        <v>148</v>
      </c>
      <c r="L1038">
        <v>70</v>
      </c>
      <c r="M1038" s="2">
        <v>2287.46</v>
      </c>
      <c r="N1038">
        <v>5</v>
      </c>
      <c r="O1038">
        <v>0</v>
      </c>
      <c r="P1038" t="s">
        <v>33</v>
      </c>
      <c r="Q1038" t="s">
        <v>34</v>
      </c>
      <c r="R1038" t="s">
        <v>43</v>
      </c>
      <c r="S1038" s="2">
        <f t="shared" si="16"/>
        <v>338544.08</v>
      </c>
    </row>
    <row r="1039" spans="1:19" x14ac:dyDescent="0.3">
      <c r="A1039" t="s">
        <v>1100</v>
      </c>
      <c r="B1039" s="1">
        <v>46240</v>
      </c>
      <c r="C1039" t="s">
        <v>62</v>
      </c>
      <c r="D1039" t="s">
        <v>29</v>
      </c>
      <c r="E1039" t="s">
        <v>58</v>
      </c>
      <c r="F1039" t="s">
        <v>22</v>
      </c>
      <c r="G1039" t="s">
        <v>23</v>
      </c>
      <c r="H1039">
        <v>121</v>
      </c>
      <c r="I1039">
        <v>117</v>
      </c>
      <c r="J1039">
        <v>32</v>
      </c>
      <c r="K1039">
        <v>206</v>
      </c>
      <c r="L1039">
        <v>70</v>
      </c>
      <c r="M1039" s="2">
        <v>738.26</v>
      </c>
      <c r="N1039">
        <v>4</v>
      </c>
      <c r="O1039">
        <v>0</v>
      </c>
      <c r="P1039" t="s">
        <v>33</v>
      </c>
      <c r="Q1039" t="s">
        <v>47</v>
      </c>
      <c r="R1039" t="s">
        <v>59</v>
      </c>
      <c r="S1039" s="2">
        <f t="shared" si="16"/>
        <v>152081.56</v>
      </c>
    </row>
    <row r="1040" spans="1:19" x14ac:dyDescent="0.3">
      <c r="A1040" t="s">
        <v>1101</v>
      </c>
      <c r="B1040" s="1">
        <v>46143</v>
      </c>
      <c r="C1040" t="s">
        <v>68</v>
      </c>
      <c r="D1040" t="s">
        <v>53</v>
      </c>
      <c r="E1040" t="s">
        <v>30</v>
      </c>
      <c r="F1040" t="s">
        <v>31</v>
      </c>
      <c r="G1040" t="s">
        <v>32</v>
      </c>
      <c r="H1040">
        <v>128</v>
      </c>
      <c r="I1040">
        <v>82</v>
      </c>
      <c r="J1040">
        <v>100</v>
      </c>
      <c r="K1040">
        <v>110</v>
      </c>
      <c r="L1040">
        <v>92</v>
      </c>
      <c r="M1040" s="2">
        <v>656.43</v>
      </c>
      <c r="N1040">
        <v>2</v>
      </c>
      <c r="O1040">
        <v>0</v>
      </c>
      <c r="P1040" t="s">
        <v>33</v>
      </c>
      <c r="Q1040" t="s">
        <v>34</v>
      </c>
      <c r="R1040" t="s">
        <v>26</v>
      </c>
      <c r="S1040" s="2">
        <f t="shared" si="16"/>
        <v>72207.299999999988</v>
      </c>
    </row>
    <row r="1041" spans="1:19" x14ac:dyDescent="0.3">
      <c r="A1041" t="s">
        <v>1102</v>
      </c>
      <c r="B1041" s="1">
        <v>46177</v>
      </c>
      <c r="C1041" t="s">
        <v>45</v>
      </c>
      <c r="D1041" t="s">
        <v>46</v>
      </c>
      <c r="E1041" t="s">
        <v>21</v>
      </c>
      <c r="F1041" t="s">
        <v>31</v>
      </c>
      <c r="G1041" t="s">
        <v>32</v>
      </c>
      <c r="H1041">
        <v>196</v>
      </c>
      <c r="I1041">
        <v>96</v>
      </c>
      <c r="J1041">
        <v>65</v>
      </c>
      <c r="K1041">
        <v>227</v>
      </c>
      <c r="L1041">
        <v>49</v>
      </c>
      <c r="M1041" s="2">
        <v>823.29</v>
      </c>
      <c r="N1041">
        <v>3</v>
      </c>
      <c r="O1041">
        <v>0</v>
      </c>
      <c r="P1041" t="s">
        <v>33</v>
      </c>
      <c r="Q1041" t="s">
        <v>47</v>
      </c>
      <c r="R1041" t="s">
        <v>26</v>
      </c>
      <c r="S1041" s="2">
        <f t="shared" si="16"/>
        <v>186886.83</v>
      </c>
    </row>
    <row r="1042" spans="1:19" x14ac:dyDescent="0.3">
      <c r="A1042" t="s">
        <v>1103</v>
      </c>
      <c r="B1042" s="1">
        <v>46156</v>
      </c>
      <c r="C1042" t="s">
        <v>57</v>
      </c>
      <c r="D1042" t="s">
        <v>50</v>
      </c>
      <c r="E1042" t="s">
        <v>21</v>
      </c>
      <c r="F1042" t="s">
        <v>1582</v>
      </c>
      <c r="G1042" t="s">
        <v>1583</v>
      </c>
      <c r="H1042">
        <v>207</v>
      </c>
      <c r="I1042">
        <v>43</v>
      </c>
      <c r="J1042">
        <v>69</v>
      </c>
      <c r="K1042">
        <v>181</v>
      </c>
      <c r="L1042">
        <v>54</v>
      </c>
      <c r="M1042" s="2">
        <v>2679.58</v>
      </c>
      <c r="N1042">
        <v>5</v>
      </c>
      <c r="O1042">
        <v>0</v>
      </c>
      <c r="P1042" t="s">
        <v>33</v>
      </c>
      <c r="Q1042" t="s">
        <v>47</v>
      </c>
      <c r="R1042" t="s">
        <v>26</v>
      </c>
      <c r="S1042" s="2">
        <f t="shared" si="16"/>
        <v>485003.98</v>
      </c>
    </row>
    <row r="1043" spans="1:19" x14ac:dyDescent="0.3">
      <c r="A1043" t="s">
        <v>1104</v>
      </c>
      <c r="B1043" s="1">
        <v>46029</v>
      </c>
      <c r="C1043" t="s">
        <v>72</v>
      </c>
      <c r="D1043" t="s">
        <v>50</v>
      </c>
      <c r="E1043" t="s">
        <v>42</v>
      </c>
      <c r="F1043" t="s">
        <v>1582</v>
      </c>
      <c r="G1043" t="s">
        <v>1583</v>
      </c>
      <c r="H1043">
        <v>214</v>
      </c>
      <c r="I1043">
        <v>86</v>
      </c>
      <c r="J1043">
        <v>28</v>
      </c>
      <c r="K1043">
        <v>272</v>
      </c>
      <c r="L1043">
        <v>74</v>
      </c>
      <c r="M1043" s="2">
        <v>2334.7399999999998</v>
      </c>
      <c r="N1043">
        <v>8</v>
      </c>
      <c r="O1043">
        <v>0</v>
      </c>
      <c r="P1043" t="s">
        <v>33</v>
      </c>
      <c r="Q1043" t="s">
        <v>47</v>
      </c>
      <c r="R1043" t="s">
        <v>26</v>
      </c>
      <c r="S1043" s="2">
        <f t="shared" si="16"/>
        <v>635049.27999999991</v>
      </c>
    </row>
    <row r="1044" spans="1:19" x14ac:dyDescent="0.3">
      <c r="A1044" t="s">
        <v>1105</v>
      </c>
      <c r="B1044" s="1">
        <v>46178</v>
      </c>
      <c r="C1044" t="s">
        <v>83</v>
      </c>
      <c r="D1044" t="s">
        <v>29</v>
      </c>
      <c r="E1044" t="s">
        <v>42</v>
      </c>
      <c r="F1044" t="s">
        <v>1582</v>
      </c>
      <c r="G1044" t="s">
        <v>1583</v>
      </c>
      <c r="H1044">
        <v>215</v>
      </c>
      <c r="I1044">
        <v>78</v>
      </c>
      <c r="J1044">
        <v>16</v>
      </c>
      <c r="K1044">
        <v>277</v>
      </c>
      <c r="L1044">
        <v>76</v>
      </c>
      <c r="M1044" s="2">
        <v>1649.22</v>
      </c>
      <c r="N1044">
        <v>7</v>
      </c>
      <c r="O1044">
        <v>0</v>
      </c>
      <c r="P1044" t="s">
        <v>33</v>
      </c>
      <c r="Q1044" t="s">
        <v>47</v>
      </c>
      <c r="R1044" t="s">
        <v>59</v>
      </c>
      <c r="S1044" s="2">
        <f t="shared" si="16"/>
        <v>456833.94</v>
      </c>
    </row>
    <row r="1045" spans="1:19" x14ac:dyDescent="0.3">
      <c r="A1045" t="s">
        <v>1106</v>
      </c>
      <c r="B1045" s="1">
        <v>46114</v>
      </c>
      <c r="C1045" t="s">
        <v>49</v>
      </c>
      <c r="D1045" t="s">
        <v>50</v>
      </c>
      <c r="E1045" t="s">
        <v>75</v>
      </c>
      <c r="F1045" t="s">
        <v>1582</v>
      </c>
      <c r="G1045" t="s">
        <v>1583</v>
      </c>
      <c r="H1045">
        <v>168</v>
      </c>
      <c r="I1045">
        <v>67</v>
      </c>
      <c r="J1045">
        <v>75</v>
      </c>
      <c r="K1045">
        <v>160</v>
      </c>
      <c r="L1045">
        <v>90</v>
      </c>
      <c r="M1045" s="2">
        <v>1257.1199999999999</v>
      </c>
      <c r="N1045">
        <v>6</v>
      </c>
      <c r="O1045">
        <v>0</v>
      </c>
      <c r="P1045" t="s">
        <v>33</v>
      </c>
      <c r="Q1045" t="s">
        <v>34</v>
      </c>
      <c r="R1045" t="s">
        <v>26</v>
      </c>
      <c r="S1045" s="2">
        <f t="shared" si="16"/>
        <v>201139.19999999998</v>
      </c>
    </row>
    <row r="1046" spans="1:19" x14ac:dyDescent="0.3">
      <c r="A1046" t="s">
        <v>1107</v>
      </c>
      <c r="B1046" s="1">
        <v>46260</v>
      </c>
      <c r="C1046" t="s">
        <v>55</v>
      </c>
      <c r="D1046" t="s">
        <v>50</v>
      </c>
      <c r="E1046" t="s">
        <v>75</v>
      </c>
      <c r="F1046" t="s">
        <v>22</v>
      </c>
      <c r="G1046" t="s">
        <v>23</v>
      </c>
      <c r="H1046">
        <v>41</v>
      </c>
      <c r="I1046">
        <v>63</v>
      </c>
      <c r="J1046">
        <v>105</v>
      </c>
      <c r="K1046">
        <v>0</v>
      </c>
      <c r="L1046">
        <v>82</v>
      </c>
      <c r="M1046" s="2">
        <v>951.57</v>
      </c>
      <c r="N1046">
        <v>6</v>
      </c>
      <c r="O1046">
        <v>8</v>
      </c>
      <c r="P1046" t="s">
        <v>33</v>
      </c>
      <c r="Q1046" t="s">
        <v>25</v>
      </c>
      <c r="R1046" t="s">
        <v>26</v>
      </c>
      <c r="S1046" s="2">
        <f t="shared" si="16"/>
        <v>0</v>
      </c>
    </row>
    <row r="1047" spans="1:19" x14ac:dyDescent="0.3">
      <c r="A1047" t="s">
        <v>1108</v>
      </c>
      <c r="B1047" s="1">
        <v>46035</v>
      </c>
      <c r="C1047" t="s">
        <v>109</v>
      </c>
      <c r="D1047" t="s">
        <v>46</v>
      </c>
      <c r="E1047" t="s">
        <v>75</v>
      </c>
      <c r="F1047" t="s">
        <v>1582</v>
      </c>
      <c r="G1047" t="s">
        <v>1583</v>
      </c>
      <c r="H1047">
        <v>157</v>
      </c>
      <c r="I1047">
        <v>66</v>
      </c>
      <c r="J1047">
        <v>21</v>
      </c>
      <c r="K1047">
        <v>202</v>
      </c>
      <c r="L1047">
        <v>83</v>
      </c>
      <c r="M1047" s="2">
        <v>3319.29</v>
      </c>
      <c r="N1047">
        <v>4</v>
      </c>
      <c r="O1047">
        <v>0</v>
      </c>
      <c r="P1047" t="s">
        <v>33</v>
      </c>
      <c r="Q1047" t="s">
        <v>47</v>
      </c>
      <c r="R1047" t="s">
        <v>26</v>
      </c>
      <c r="S1047" s="2">
        <f t="shared" si="16"/>
        <v>670496.57999999996</v>
      </c>
    </row>
    <row r="1048" spans="1:19" x14ac:dyDescent="0.3">
      <c r="A1048" t="s">
        <v>1109</v>
      </c>
      <c r="B1048" s="1">
        <v>46041</v>
      </c>
      <c r="C1048" t="s">
        <v>52</v>
      </c>
      <c r="D1048" t="s">
        <v>53</v>
      </c>
      <c r="E1048" t="s">
        <v>42</v>
      </c>
      <c r="F1048" t="s">
        <v>37</v>
      </c>
      <c r="G1048" t="s">
        <v>38</v>
      </c>
      <c r="H1048">
        <v>131</v>
      </c>
      <c r="I1048">
        <v>73</v>
      </c>
      <c r="J1048">
        <v>17</v>
      </c>
      <c r="K1048">
        <v>187</v>
      </c>
      <c r="L1048">
        <v>73</v>
      </c>
      <c r="M1048" s="2">
        <v>627.20000000000005</v>
      </c>
      <c r="N1048">
        <v>7</v>
      </c>
      <c r="O1048">
        <v>0</v>
      </c>
      <c r="P1048" t="s">
        <v>24</v>
      </c>
      <c r="Q1048" t="s">
        <v>47</v>
      </c>
      <c r="R1048" t="s">
        <v>26</v>
      </c>
      <c r="S1048" s="2">
        <f t="shared" si="16"/>
        <v>117286.40000000001</v>
      </c>
    </row>
    <row r="1049" spans="1:19" x14ac:dyDescent="0.3">
      <c r="A1049" t="s">
        <v>1110</v>
      </c>
      <c r="B1049" s="1">
        <v>46199</v>
      </c>
      <c r="C1049" t="s">
        <v>68</v>
      </c>
      <c r="D1049" t="s">
        <v>53</v>
      </c>
      <c r="E1049" t="s">
        <v>42</v>
      </c>
      <c r="F1049" t="s">
        <v>22</v>
      </c>
      <c r="G1049" t="s">
        <v>23</v>
      </c>
      <c r="H1049">
        <v>61</v>
      </c>
      <c r="I1049">
        <v>88</v>
      </c>
      <c r="J1049">
        <v>27</v>
      </c>
      <c r="K1049">
        <v>122</v>
      </c>
      <c r="L1049">
        <v>53</v>
      </c>
      <c r="M1049" s="2">
        <v>627.21</v>
      </c>
      <c r="N1049">
        <v>7</v>
      </c>
      <c r="O1049">
        <v>0</v>
      </c>
      <c r="P1049" t="s">
        <v>33</v>
      </c>
      <c r="Q1049" t="s">
        <v>47</v>
      </c>
      <c r="R1049" t="s">
        <v>43</v>
      </c>
      <c r="S1049" s="2">
        <f t="shared" si="16"/>
        <v>76519.62000000001</v>
      </c>
    </row>
    <row r="1050" spans="1:19" x14ac:dyDescent="0.3">
      <c r="A1050" t="s">
        <v>1111</v>
      </c>
      <c r="B1050" s="1">
        <v>46063</v>
      </c>
      <c r="C1050" t="s">
        <v>72</v>
      </c>
      <c r="D1050" t="s">
        <v>50</v>
      </c>
      <c r="E1050" t="s">
        <v>30</v>
      </c>
      <c r="F1050" t="s">
        <v>1582</v>
      </c>
      <c r="G1050" t="s">
        <v>1583</v>
      </c>
      <c r="H1050">
        <v>50</v>
      </c>
      <c r="I1050">
        <v>29</v>
      </c>
      <c r="J1050">
        <v>56</v>
      </c>
      <c r="K1050">
        <v>23</v>
      </c>
      <c r="L1050">
        <v>68</v>
      </c>
      <c r="M1050" s="2">
        <v>1996.85</v>
      </c>
      <c r="N1050">
        <v>6</v>
      </c>
      <c r="O1050">
        <v>2</v>
      </c>
      <c r="P1050" t="s">
        <v>33</v>
      </c>
      <c r="Q1050" t="s">
        <v>25</v>
      </c>
      <c r="R1050" t="s">
        <v>26</v>
      </c>
      <c r="S1050" s="2">
        <f t="shared" si="16"/>
        <v>45927.549999999996</v>
      </c>
    </row>
    <row r="1051" spans="1:19" x14ac:dyDescent="0.3">
      <c r="A1051" t="s">
        <v>1112</v>
      </c>
      <c r="B1051" s="1">
        <v>46121</v>
      </c>
      <c r="C1051" t="s">
        <v>45</v>
      </c>
      <c r="D1051" t="s">
        <v>46</v>
      </c>
      <c r="E1051" t="s">
        <v>58</v>
      </c>
      <c r="F1051" t="s">
        <v>1582</v>
      </c>
      <c r="G1051" t="s">
        <v>1583</v>
      </c>
      <c r="H1051">
        <v>45</v>
      </c>
      <c r="I1051">
        <v>43</v>
      </c>
      <c r="J1051">
        <v>110</v>
      </c>
      <c r="K1051">
        <v>0</v>
      </c>
      <c r="L1051">
        <v>61</v>
      </c>
      <c r="M1051" s="2">
        <v>835.46</v>
      </c>
      <c r="N1051">
        <v>7</v>
      </c>
      <c r="O1051">
        <v>7</v>
      </c>
      <c r="P1051" t="s">
        <v>33</v>
      </c>
      <c r="Q1051" t="s">
        <v>25</v>
      </c>
      <c r="R1051" t="s">
        <v>81</v>
      </c>
      <c r="S1051" s="2">
        <f t="shared" si="16"/>
        <v>0</v>
      </c>
    </row>
    <row r="1052" spans="1:19" x14ac:dyDescent="0.3">
      <c r="A1052" t="s">
        <v>1113</v>
      </c>
      <c r="B1052" s="1">
        <v>46375</v>
      </c>
      <c r="C1052" t="s">
        <v>52</v>
      </c>
      <c r="D1052" t="s">
        <v>53</v>
      </c>
      <c r="E1052" t="s">
        <v>21</v>
      </c>
      <c r="F1052" t="s">
        <v>22</v>
      </c>
      <c r="G1052" t="s">
        <v>23</v>
      </c>
      <c r="H1052">
        <v>217</v>
      </c>
      <c r="I1052">
        <v>122</v>
      </c>
      <c r="J1052">
        <v>21</v>
      </c>
      <c r="K1052">
        <v>318</v>
      </c>
      <c r="L1052">
        <v>68</v>
      </c>
      <c r="M1052" s="2">
        <v>659.53</v>
      </c>
      <c r="N1052">
        <v>3</v>
      </c>
      <c r="O1052">
        <v>0</v>
      </c>
      <c r="P1052" t="s">
        <v>33</v>
      </c>
      <c r="Q1052" t="s">
        <v>47</v>
      </c>
      <c r="R1052" t="s">
        <v>26</v>
      </c>
      <c r="S1052" s="2">
        <f t="shared" si="16"/>
        <v>209730.53999999998</v>
      </c>
    </row>
    <row r="1053" spans="1:19" x14ac:dyDescent="0.3">
      <c r="A1053" t="s">
        <v>1114</v>
      </c>
      <c r="B1053" s="1">
        <v>46235</v>
      </c>
      <c r="C1053" t="s">
        <v>83</v>
      </c>
      <c r="D1053" t="s">
        <v>29</v>
      </c>
      <c r="E1053" t="s">
        <v>30</v>
      </c>
      <c r="F1053" t="s">
        <v>31</v>
      </c>
      <c r="G1053" t="s">
        <v>32</v>
      </c>
      <c r="H1053">
        <v>194</v>
      </c>
      <c r="I1053">
        <v>71</v>
      </c>
      <c r="J1053">
        <v>38</v>
      </c>
      <c r="K1053">
        <v>227</v>
      </c>
      <c r="L1053">
        <v>88</v>
      </c>
      <c r="M1053" s="2">
        <v>1531.17</v>
      </c>
      <c r="N1053">
        <v>2</v>
      </c>
      <c r="O1053">
        <v>0</v>
      </c>
      <c r="P1053" t="s">
        <v>33</v>
      </c>
      <c r="Q1053" t="s">
        <v>47</v>
      </c>
      <c r="R1053" t="s">
        <v>26</v>
      </c>
      <c r="S1053" s="2">
        <f t="shared" si="16"/>
        <v>347575.59</v>
      </c>
    </row>
    <row r="1054" spans="1:19" x14ac:dyDescent="0.3">
      <c r="A1054" t="s">
        <v>1115</v>
      </c>
      <c r="B1054" s="1">
        <v>46055</v>
      </c>
      <c r="C1054" t="s">
        <v>83</v>
      </c>
      <c r="D1054" t="s">
        <v>29</v>
      </c>
      <c r="E1054" t="s">
        <v>21</v>
      </c>
      <c r="F1054" t="s">
        <v>1582</v>
      </c>
      <c r="G1054" t="s">
        <v>1583</v>
      </c>
      <c r="H1054">
        <v>193</v>
      </c>
      <c r="I1054">
        <v>121</v>
      </c>
      <c r="J1054">
        <v>96</v>
      </c>
      <c r="K1054">
        <v>218</v>
      </c>
      <c r="L1054">
        <v>65</v>
      </c>
      <c r="M1054" s="2">
        <v>1471.09</v>
      </c>
      <c r="N1054">
        <v>3</v>
      </c>
      <c r="O1054">
        <v>0</v>
      </c>
      <c r="P1054" t="s">
        <v>24</v>
      </c>
      <c r="Q1054" t="s">
        <v>47</v>
      </c>
      <c r="R1054" t="s">
        <v>26</v>
      </c>
      <c r="S1054" s="2">
        <f t="shared" si="16"/>
        <v>320697.62</v>
      </c>
    </row>
    <row r="1055" spans="1:19" x14ac:dyDescent="0.3">
      <c r="A1055" t="s">
        <v>1116</v>
      </c>
      <c r="B1055" s="1">
        <v>46198</v>
      </c>
      <c r="C1055" t="s">
        <v>52</v>
      </c>
      <c r="D1055" t="s">
        <v>53</v>
      </c>
      <c r="E1055" t="s">
        <v>30</v>
      </c>
      <c r="F1055" t="s">
        <v>1582</v>
      </c>
      <c r="G1055" t="s">
        <v>1583</v>
      </c>
      <c r="H1055">
        <v>190</v>
      </c>
      <c r="I1055">
        <v>73</v>
      </c>
      <c r="J1055">
        <v>96</v>
      </c>
      <c r="K1055">
        <v>167</v>
      </c>
      <c r="L1055">
        <v>83</v>
      </c>
      <c r="M1055" s="2">
        <v>627.74</v>
      </c>
      <c r="N1055">
        <v>5</v>
      </c>
      <c r="O1055">
        <v>0</v>
      </c>
      <c r="P1055" t="s">
        <v>33</v>
      </c>
      <c r="Q1055" t="s">
        <v>34</v>
      </c>
      <c r="R1055" t="s">
        <v>26</v>
      </c>
      <c r="S1055" s="2">
        <f t="shared" si="16"/>
        <v>104832.58</v>
      </c>
    </row>
    <row r="1056" spans="1:19" x14ac:dyDescent="0.3">
      <c r="A1056" t="s">
        <v>1117</v>
      </c>
      <c r="B1056" s="1">
        <v>46039</v>
      </c>
      <c r="C1056" t="s">
        <v>45</v>
      </c>
      <c r="D1056" t="s">
        <v>46</v>
      </c>
      <c r="E1056" t="s">
        <v>21</v>
      </c>
      <c r="F1056" t="s">
        <v>1582</v>
      </c>
      <c r="G1056" t="s">
        <v>1583</v>
      </c>
      <c r="H1056">
        <v>78</v>
      </c>
      <c r="I1056">
        <v>79</v>
      </c>
      <c r="J1056">
        <v>110</v>
      </c>
      <c r="K1056">
        <v>47</v>
      </c>
      <c r="L1056">
        <v>76</v>
      </c>
      <c r="M1056" s="2">
        <v>753.7</v>
      </c>
      <c r="N1056">
        <v>7</v>
      </c>
      <c r="O1056">
        <v>7</v>
      </c>
      <c r="P1056" t="s">
        <v>33</v>
      </c>
      <c r="Q1056" t="s">
        <v>25</v>
      </c>
      <c r="R1056" t="s">
        <v>26</v>
      </c>
      <c r="S1056" s="2">
        <f t="shared" si="16"/>
        <v>35423.9</v>
      </c>
    </row>
    <row r="1057" spans="1:19" x14ac:dyDescent="0.3">
      <c r="A1057" t="s">
        <v>1118</v>
      </c>
      <c r="B1057" s="1">
        <v>46038</v>
      </c>
      <c r="C1057" t="s">
        <v>77</v>
      </c>
      <c r="D1057" t="s">
        <v>53</v>
      </c>
      <c r="E1057" t="s">
        <v>58</v>
      </c>
      <c r="F1057" t="s">
        <v>37</v>
      </c>
      <c r="G1057" t="s">
        <v>38</v>
      </c>
      <c r="H1057">
        <v>61</v>
      </c>
      <c r="I1057">
        <v>46</v>
      </c>
      <c r="J1057">
        <v>110</v>
      </c>
      <c r="K1057">
        <v>0</v>
      </c>
      <c r="L1057">
        <v>78</v>
      </c>
      <c r="M1057" s="2">
        <v>486.92</v>
      </c>
      <c r="N1057">
        <v>4</v>
      </c>
      <c r="O1057">
        <v>8</v>
      </c>
      <c r="P1057" t="s">
        <v>33</v>
      </c>
      <c r="Q1057" t="s">
        <v>25</v>
      </c>
      <c r="R1057" t="s">
        <v>26</v>
      </c>
      <c r="S1057" s="2">
        <f t="shared" si="16"/>
        <v>0</v>
      </c>
    </row>
    <row r="1058" spans="1:19" x14ac:dyDescent="0.3">
      <c r="A1058" t="s">
        <v>1119</v>
      </c>
      <c r="B1058" s="1">
        <v>46143</v>
      </c>
      <c r="C1058" t="s">
        <v>28</v>
      </c>
      <c r="D1058" t="s">
        <v>29</v>
      </c>
      <c r="E1058" t="s">
        <v>30</v>
      </c>
      <c r="F1058" t="s">
        <v>37</v>
      </c>
      <c r="G1058" t="s">
        <v>38</v>
      </c>
      <c r="H1058">
        <v>184</v>
      </c>
      <c r="I1058">
        <v>75</v>
      </c>
      <c r="J1058">
        <v>68</v>
      </c>
      <c r="K1058">
        <v>191</v>
      </c>
      <c r="L1058">
        <v>93</v>
      </c>
      <c r="M1058" s="2">
        <v>1176.0899999999999</v>
      </c>
      <c r="N1058">
        <v>4</v>
      </c>
      <c r="O1058">
        <v>0</v>
      </c>
      <c r="P1058" t="s">
        <v>33</v>
      </c>
      <c r="Q1058" t="s">
        <v>34</v>
      </c>
      <c r="R1058" t="s">
        <v>26</v>
      </c>
      <c r="S1058" s="2">
        <f t="shared" si="16"/>
        <v>224633.18999999997</v>
      </c>
    </row>
    <row r="1059" spans="1:19" x14ac:dyDescent="0.3">
      <c r="A1059" t="s">
        <v>1120</v>
      </c>
      <c r="B1059" s="1">
        <v>46228</v>
      </c>
      <c r="C1059" t="s">
        <v>72</v>
      </c>
      <c r="D1059" t="s">
        <v>50</v>
      </c>
      <c r="E1059" t="s">
        <v>58</v>
      </c>
      <c r="F1059" t="s">
        <v>31</v>
      </c>
      <c r="G1059" t="s">
        <v>32</v>
      </c>
      <c r="H1059">
        <v>64</v>
      </c>
      <c r="I1059">
        <v>70</v>
      </c>
      <c r="J1059">
        <v>42</v>
      </c>
      <c r="K1059">
        <v>92</v>
      </c>
      <c r="L1059">
        <v>58</v>
      </c>
      <c r="M1059" s="2">
        <v>2416.54</v>
      </c>
      <c r="N1059">
        <v>6</v>
      </c>
      <c r="O1059">
        <v>0</v>
      </c>
      <c r="P1059" t="s">
        <v>33</v>
      </c>
      <c r="Q1059" t="s">
        <v>34</v>
      </c>
      <c r="R1059" t="s">
        <v>43</v>
      </c>
      <c r="S1059" s="2">
        <f t="shared" si="16"/>
        <v>222321.68</v>
      </c>
    </row>
    <row r="1060" spans="1:19" x14ac:dyDescent="0.3">
      <c r="A1060" t="s">
        <v>1121</v>
      </c>
      <c r="B1060" s="1">
        <v>46347</v>
      </c>
      <c r="C1060" t="s">
        <v>68</v>
      </c>
      <c r="D1060" t="s">
        <v>53</v>
      </c>
      <c r="E1060" t="s">
        <v>21</v>
      </c>
      <c r="F1060" t="s">
        <v>22</v>
      </c>
      <c r="G1060" t="s">
        <v>23</v>
      </c>
      <c r="H1060">
        <v>147</v>
      </c>
      <c r="I1060">
        <v>96</v>
      </c>
      <c r="J1060">
        <v>50</v>
      </c>
      <c r="K1060">
        <v>193</v>
      </c>
      <c r="L1060">
        <v>65</v>
      </c>
      <c r="M1060" s="2">
        <v>632.46</v>
      </c>
      <c r="N1060">
        <v>7</v>
      </c>
      <c r="O1060">
        <v>0</v>
      </c>
      <c r="P1060" t="s">
        <v>24</v>
      </c>
      <c r="Q1060" t="s">
        <v>47</v>
      </c>
      <c r="R1060" t="s">
        <v>43</v>
      </c>
      <c r="S1060" s="2">
        <f t="shared" si="16"/>
        <v>122064.78000000001</v>
      </c>
    </row>
    <row r="1061" spans="1:19" x14ac:dyDescent="0.3">
      <c r="A1061" t="s">
        <v>1122</v>
      </c>
      <c r="B1061" s="1">
        <v>46227</v>
      </c>
      <c r="C1061" t="s">
        <v>146</v>
      </c>
      <c r="D1061" t="s">
        <v>46</v>
      </c>
      <c r="E1061" t="s">
        <v>42</v>
      </c>
      <c r="F1061" t="s">
        <v>1582</v>
      </c>
      <c r="G1061" t="s">
        <v>1583</v>
      </c>
      <c r="H1061">
        <v>166</v>
      </c>
      <c r="I1061">
        <v>116</v>
      </c>
      <c r="J1061">
        <v>74</v>
      </c>
      <c r="K1061">
        <v>208</v>
      </c>
      <c r="L1061">
        <v>63</v>
      </c>
      <c r="M1061" s="2">
        <v>1597.84</v>
      </c>
      <c r="N1061">
        <v>5</v>
      </c>
      <c r="O1061">
        <v>0</v>
      </c>
      <c r="P1061" t="s">
        <v>24</v>
      </c>
      <c r="Q1061" t="s">
        <v>47</v>
      </c>
      <c r="R1061" t="s">
        <v>43</v>
      </c>
      <c r="S1061" s="2">
        <f t="shared" si="16"/>
        <v>332350.71999999997</v>
      </c>
    </row>
    <row r="1062" spans="1:19" x14ac:dyDescent="0.3">
      <c r="A1062" t="s">
        <v>1123</v>
      </c>
      <c r="B1062" s="1">
        <v>46237</v>
      </c>
      <c r="C1062" t="s">
        <v>109</v>
      </c>
      <c r="D1062" t="s">
        <v>46</v>
      </c>
      <c r="E1062" t="s">
        <v>30</v>
      </c>
      <c r="F1062" t="s">
        <v>37</v>
      </c>
      <c r="G1062" t="s">
        <v>38</v>
      </c>
      <c r="H1062">
        <v>158</v>
      </c>
      <c r="I1062">
        <v>103</v>
      </c>
      <c r="J1062">
        <v>37</v>
      </c>
      <c r="K1062">
        <v>224</v>
      </c>
      <c r="L1062">
        <v>88</v>
      </c>
      <c r="M1062" s="2">
        <v>3460.66</v>
      </c>
      <c r="N1062">
        <v>5</v>
      </c>
      <c r="O1062">
        <v>0</v>
      </c>
      <c r="P1062" t="s">
        <v>33</v>
      </c>
      <c r="Q1062" t="s">
        <v>47</v>
      </c>
      <c r="R1062" t="s">
        <v>26</v>
      </c>
      <c r="S1062" s="2">
        <f t="shared" si="16"/>
        <v>775187.84</v>
      </c>
    </row>
    <row r="1063" spans="1:19" x14ac:dyDescent="0.3">
      <c r="A1063" t="s">
        <v>1124</v>
      </c>
      <c r="B1063" s="1">
        <v>46034</v>
      </c>
      <c r="C1063" t="s">
        <v>72</v>
      </c>
      <c r="D1063" t="s">
        <v>50</v>
      </c>
      <c r="E1063" t="s">
        <v>75</v>
      </c>
      <c r="F1063" t="s">
        <v>22</v>
      </c>
      <c r="G1063" t="s">
        <v>23</v>
      </c>
      <c r="H1063">
        <v>75</v>
      </c>
      <c r="I1063">
        <v>98</v>
      </c>
      <c r="J1063">
        <v>94</v>
      </c>
      <c r="K1063">
        <v>79</v>
      </c>
      <c r="L1063">
        <v>77</v>
      </c>
      <c r="M1063" s="2">
        <v>2419.52</v>
      </c>
      <c r="N1063">
        <v>6</v>
      </c>
      <c r="O1063">
        <v>0</v>
      </c>
      <c r="P1063" t="s">
        <v>33</v>
      </c>
      <c r="Q1063" t="s">
        <v>34</v>
      </c>
      <c r="R1063" t="s">
        <v>26</v>
      </c>
      <c r="S1063" s="2">
        <f t="shared" si="16"/>
        <v>191142.08</v>
      </c>
    </row>
    <row r="1064" spans="1:19" x14ac:dyDescent="0.3">
      <c r="A1064" t="s">
        <v>1125</v>
      </c>
      <c r="B1064" s="1">
        <v>46121</v>
      </c>
      <c r="C1064" t="s">
        <v>80</v>
      </c>
      <c r="D1064" t="s">
        <v>46</v>
      </c>
      <c r="E1064" t="s">
        <v>42</v>
      </c>
      <c r="F1064" t="s">
        <v>1582</v>
      </c>
      <c r="G1064" t="s">
        <v>1583</v>
      </c>
      <c r="H1064">
        <v>215</v>
      </c>
      <c r="I1064">
        <v>31</v>
      </c>
      <c r="J1064">
        <v>62</v>
      </c>
      <c r="K1064">
        <v>184</v>
      </c>
      <c r="L1064">
        <v>46</v>
      </c>
      <c r="M1064" s="2">
        <v>1153.45</v>
      </c>
      <c r="N1064">
        <v>8</v>
      </c>
      <c r="O1064">
        <v>0</v>
      </c>
      <c r="P1064" t="s">
        <v>33</v>
      </c>
      <c r="Q1064" t="s">
        <v>47</v>
      </c>
      <c r="R1064" t="s">
        <v>26</v>
      </c>
      <c r="S1064" s="2">
        <f t="shared" si="16"/>
        <v>212234.80000000002</v>
      </c>
    </row>
    <row r="1065" spans="1:19" x14ac:dyDescent="0.3">
      <c r="A1065" t="s">
        <v>1126</v>
      </c>
      <c r="B1065" s="1">
        <v>46318</v>
      </c>
      <c r="C1065" t="s">
        <v>36</v>
      </c>
      <c r="D1065" t="s">
        <v>29</v>
      </c>
      <c r="E1065" t="s">
        <v>21</v>
      </c>
      <c r="F1065" t="s">
        <v>22</v>
      </c>
      <c r="G1065" t="s">
        <v>23</v>
      </c>
      <c r="H1065">
        <v>84</v>
      </c>
      <c r="I1065">
        <v>80</v>
      </c>
      <c r="J1065">
        <v>106</v>
      </c>
      <c r="K1065">
        <v>58</v>
      </c>
      <c r="L1065">
        <v>57</v>
      </c>
      <c r="M1065" s="2">
        <v>2314.91</v>
      </c>
      <c r="N1065">
        <v>4</v>
      </c>
      <c r="O1065">
        <v>0</v>
      </c>
      <c r="P1065" t="s">
        <v>24</v>
      </c>
      <c r="Q1065" t="s">
        <v>34</v>
      </c>
      <c r="R1065" t="s">
        <v>26</v>
      </c>
      <c r="S1065" s="2">
        <f t="shared" si="16"/>
        <v>134264.78</v>
      </c>
    </row>
    <row r="1066" spans="1:19" x14ac:dyDescent="0.3">
      <c r="A1066" t="s">
        <v>1127</v>
      </c>
      <c r="B1066" s="1">
        <v>46104</v>
      </c>
      <c r="C1066" t="s">
        <v>55</v>
      </c>
      <c r="D1066" t="s">
        <v>50</v>
      </c>
      <c r="E1066" t="s">
        <v>42</v>
      </c>
      <c r="F1066" t="s">
        <v>1582</v>
      </c>
      <c r="G1066" t="s">
        <v>1583</v>
      </c>
      <c r="H1066">
        <v>101</v>
      </c>
      <c r="I1066">
        <v>121</v>
      </c>
      <c r="J1066">
        <v>37</v>
      </c>
      <c r="K1066">
        <v>185</v>
      </c>
      <c r="L1066">
        <v>74</v>
      </c>
      <c r="M1066" s="2">
        <v>1000.04</v>
      </c>
      <c r="N1066">
        <v>2</v>
      </c>
      <c r="O1066">
        <v>0</v>
      </c>
      <c r="P1066" t="s">
        <v>33</v>
      </c>
      <c r="Q1066" t="s">
        <v>47</v>
      </c>
      <c r="R1066" t="s">
        <v>43</v>
      </c>
      <c r="S1066" s="2">
        <f t="shared" si="16"/>
        <v>185007.4</v>
      </c>
    </row>
    <row r="1067" spans="1:19" x14ac:dyDescent="0.3">
      <c r="A1067" t="s">
        <v>1128</v>
      </c>
      <c r="B1067" s="1">
        <v>46156</v>
      </c>
      <c r="C1067" t="s">
        <v>36</v>
      </c>
      <c r="D1067" t="s">
        <v>29</v>
      </c>
      <c r="E1067" t="s">
        <v>75</v>
      </c>
      <c r="F1067" t="s">
        <v>31</v>
      </c>
      <c r="G1067" t="s">
        <v>32</v>
      </c>
      <c r="H1067">
        <v>48</v>
      </c>
      <c r="I1067">
        <v>107</v>
      </c>
      <c r="J1067">
        <v>101</v>
      </c>
      <c r="K1067">
        <v>54</v>
      </c>
      <c r="L1067">
        <v>71</v>
      </c>
      <c r="M1067" s="2">
        <v>2576.19</v>
      </c>
      <c r="N1067">
        <v>5</v>
      </c>
      <c r="O1067">
        <v>2</v>
      </c>
      <c r="P1067" t="s">
        <v>33</v>
      </c>
      <c r="Q1067" t="s">
        <v>34</v>
      </c>
      <c r="R1067" t="s">
        <v>59</v>
      </c>
      <c r="S1067" s="2">
        <f t="shared" si="16"/>
        <v>139114.26</v>
      </c>
    </row>
    <row r="1068" spans="1:19" x14ac:dyDescent="0.3">
      <c r="A1068" t="s">
        <v>1129</v>
      </c>
      <c r="B1068" s="1">
        <v>46043</v>
      </c>
      <c r="C1068" t="s">
        <v>77</v>
      </c>
      <c r="D1068" t="s">
        <v>53</v>
      </c>
      <c r="E1068" t="s">
        <v>30</v>
      </c>
      <c r="F1068" t="s">
        <v>31</v>
      </c>
      <c r="G1068" t="s">
        <v>32</v>
      </c>
      <c r="H1068">
        <v>152</v>
      </c>
      <c r="I1068">
        <v>81</v>
      </c>
      <c r="J1068">
        <v>107</v>
      </c>
      <c r="K1068">
        <v>126</v>
      </c>
      <c r="L1068">
        <v>48</v>
      </c>
      <c r="M1068" s="2">
        <v>479.3</v>
      </c>
      <c r="N1068">
        <v>5</v>
      </c>
      <c r="O1068">
        <v>0</v>
      </c>
      <c r="P1068" t="s">
        <v>33</v>
      </c>
      <c r="Q1068" t="s">
        <v>47</v>
      </c>
      <c r="R1068" t="s">
        <v>59</v>
      </c>
      <c r="S1068" s="2">
        <f t="shared" si="16"/>
        <v>60391.8</v>
      </c>
    </row>
    <row r="1069" spans="1:19" x14ac:dyDescent="0.3">
      <c r="A1069" t="s">
        <v>1130</v>
      </c>
      <c r="B1069" s="1">
        <v>46080</v>
      </c>
      <c r="C1069" t="s">
        <v>146</v>
      </c>
      <c r="D1069" t="s">
        <v>46</v>
      </c>
      <c r="E1069" t="s">
        <v>30</v>
      </c>
      <c r="F1069" t="s">
        <v>1582</v>
      </c>
      <c r="G1069" t="s">
        <v>1583</v>
      </c>
      <c r="H1069">
        <v>149</v>
      </c>
      <c r="I1069">
        <v>120</v>
      </c>
      <c r="J1069">
        <v>30</v>
      </c>
      <c r="K1069">
        <v>239</v>
      </c>
      <c r="L1069">
        <v>51</v>
      </c>
      <c r="M1069" s="2">
        <v>1393.8</v>
      </c>
      <c r="N1069">
        <v>4</v>
      </c>
      <c r="O1069">
        <v>0</v>
      </c>
      <c r="P1069" t="s">
        <v>33</v>
      </c>
      <c r="Q1069" t="s">
        <v>47</v>
      </c>
      <c r="R1069" t="s">
        <v>26</v>
      </c>
      <c r="S1069" s="2">
        <f t="shared" si="16"/>
        <v>333118.2</v>
      </c>
    </row>
    <row r="1070" spans="1:19" x14ac:dyDescent="0.3">
      <c r="A1070" t="s">
        <v>1131</v>
      </c>
      <c r="B1070" s="1">
        <v>46386</v>
      </c>
      <c r="C1070" t="s">
        <v>83</v>
      </c>
      <c r="D1070" t="s">
        <v>29</v>
      </c>
      <c r="E1070" t="s">
        <v>58</v>
      </c>
      <c r="F1070" t="s">
        <v>37</v>
      </c>
      <c r="G1070" t="s">
        <v>38</v>
      </c>
      <c r="H1070">
        <v>76</v>
      </c>
      <c r="I1070">
        <v>51</v>
      </c>
      <c r="J1070">
        <v>76</v>
      </c>
      <c r="K1070">
        <v>51</v>
      </c>
      <c r="L1070">
        <v>58</v>
      </c>
      <c r="M1070" s="2">
        <v>1524.64</v>
      </c>
      <c r="N1070">
        <v>4</v>
      </c>
      <c r="O1070">
        <v>2</v>
      </c>
      <c r="P1070" t="s">
        <v>33</v>
      </c>
      <c r="Q1070" t="s">
        <v>34</v>
      </c>
      <c r="R1070" t="s">
        <v>26</v>
      </c>
      <c r="S1070" s="2">
        <f t="shared" si="16"/>
        <v>77756.639999999999</v>
      </c>
    </row>
    <row r="1071" spans="1:19" x14ac:dyDescent="0.3">
      <c r="A1071" t="s">
        <v>1132</v>
      </c>
      <c r="B1071" s="1">
        <v>46041</v>
      </c>
      <c r="C1071" t="s">
        <v>72</v>
      </c>
      <c r="D1071" t="s">
        <v>50</v>
      </c>
      <c r="E1071" t="s">
        <v>21</v>
      </c>
      <c r="F1071" t="s">
        <v>37</v>
      </c>
      <c r="G1071" t="s">
        <v>38</v>
      </c>
      <c r="H1071">
        <v>115</v>
      </c>
      <c r="I1071">
        <v>108</v>
      </c>
      <c r="J1071">
        <v>71</v>
      </c>
      <c r="K1071">
        <v>152</v>
      </c>
      <c r="L1071">
        <v>66</v>
      </c>
      <c r="M1071" s="2">
        <v>2326.44</v>
      </c>
      <c r="N1071">
        <v>7</v>
      </c>
      <c r="O1071">
        <v>0</v>
      </c>
      <c r="P1071" t="s">
        <v>33</v>
      </c>
      <c r="Q1071" t="s">
        <v>47</v>
      </c>
      <c r="R1071" t="s">
        <v>26</v>
      </c>
      <c r="S1071" s="2">
        <f t="shared" si="16"/>
        <v>353618.88</v>
      </c>
    </row>
    <row r="1072" spans="1:19" x14ac:dyDescent="0.3">
      <c r="A1072" t="s">
        <v>1133</v>
      </c>
      <c r="B1072" s="1">
        <v>46179</v>
      </c>
      <c r="C1072" t="s">
        <v>28</v>
      </c>
      <c r="D1072" t="s">
        <v>29</v>
      </c>
      <c r="E1072" t="s">
        <v>30</v>
      </c>
      <c r="F1072" t="s">
        <v>37</v>
      </c>
      <c r="G1072" t="s">
        <v>38</v>
      </c>
      <c r="H1072">
        <v>46</v>
      </c>
      <c r="I1072">
        <v>48</v>
      </c>
      <c r="J1072">
        <v>62</v>
      </c>
      <c r="K1072">
        <v>32</v>
      </c>
      <c r="L1072">
        <v>81</v>
      </c>
      <c r="M1072" s="2">
        <v>1264.31</v>
      </c>
      <c r="N1072">
        <v>4</v>
      </c>
      <c r="O1072">
        <v>3</v>
      </c>
      <c r="P1072" t="s">
        <v>33</v>
      </c>
      <c r="Q1072" t="s">
        <v>25</v>
      </c>
      <c r="R1072" t="s">
        <v>26</v>
      </c>
      <c r="S1072" s="2">
        <f t="shared" si="16"/>
        <v>40457.919999999998</v>
      </c>
    </row>
    <row r="1073" spans="1:19" x14ac:dyDescent="0.3">
      <c r="A1073" t="s">
        <v>1134</v>
      </c>
      <c r="B1073" s="1">
        <v>46131</v>
      </c>
      <c r="C1073" t="s">
        <v>55</v>
      </c>
      <c r="D1073" t="s">
        <v>50</v>
      </c>
      <c r="E1073" t="s">
        <v>21</v>
      </c>
      <c r="F1073" t="s">
        <v>22</v>
      </c>
      <c r="G1073" t="s">
        <v>23</v>
      </c>
      <c r="H1073">
        <v>217</v>
      </c>
      <c r="I1073">
        <v>36</v>
      </c>
      <c r="J1073">
        <v>33</v>
      </c>
      <c r="K1073">
        <v>220</v>
      </c>
      <c r="L1073">
        <v>83</v>
      </c>
      <c r="M1073" s="2">
        <v>958.47</v>
      </c>
      <c r="N1073">
        <v>5</v>
      </c>
      <c r="O1073">
        <v>0</v>
      </c>
      <c r="P1073" t="s">
        <v>33</v>
      </c>
      <c r="Q1073" t="s">
        <v>47</v>
      </c>
      <c r="R1073" t="s">
        <v>26</v>
      </c>
      <c r="S1073" s="2">
        <f t="shared" si="16"/>
        <v>210863.4</v>
      </c>
    </row>
    <row r="1074" spans="1:19" x14ac:dyDescent="0.3">
      <c r="A1074" t="s">
        <v>1135</v>
      </c>
      <c r="B1074" s="1">
        <v>46352</v>
      </c>
      <c r="C1074" t="s">
        <v>52</v>
      </c>
      <c r="D1074" t="s">
        <v>53</v>
      </c>
      <c r="E1074" t="s">
        <v>42</v>
      </c>
      <c r="F1074" t="s">
        <v>31</v>
      </c>
      <c r="G1074" t="s">
        <v>32</v>
      </c>
      <c r="H1074">
        <v>106</v>
      </c>
      <c r="I1074">
        <v>66</v>
      </c>
      <c r="J1074">
        <v>107</v>
      </c>
      <c r="K1074">
        <v>65</v>
      </c>
      <c r="L1074">
        <v>77</v>
      </c>
      <c r="M1074" s="2">
        <v>681.91</v>
      </c>
      <c r="N1074">
        <v>6</v>
      </c>
      <c r="O1074">
        <v>3</v>
      </c>
      <c r="P1074" t="s">
        <v>33</v>
      </c>
      <c r="Q1074" t="s">
        <v>34</v>
      </c>
      <c r="R1074" t="s">
        <v>81</v>
      </c>
      <c r="S1074" s="2">
        <f t="shared" si="16"/>
        <v>44324.15</v>
      </c>
    </row>
    <row r="1075" spans="1:19" x14ac:dyDescent="0.3">
      <c r="A1075" t="s">
        <v>1136</v>
      </c>
      <c r="B1075" s="1">
        <v>46217</v>
      </c>
      <c r="C1075" t="s">
        <v>83</v>
      </c>
      <c r="D1075" t="s">
        <v>29</v>
      </c>
      <c r="E1075" t="s">
        <v>30</v>
      </c>
      <c r="F1075" t="s">
        <v>37</v>
      </c>
      <c r="G1075" t="s">
        <v>38</v>
      </c>
      <c r="H1075">
        <v>136</v>
      </c>
      <c r="I1075">
        <v>130</v>
      </c>
      <c r="J1075">
        <v>77</v>
      </c>
      <c r="K1075">
        <v>189</v>
      </c>
      <c r="L1075">
        <v>86</v>
      </c>
      <c r="M1075" s="2">
        <v>1494.12</v>
      </c>
      <c r="N1075">
        <v>6</v>
      </c>
      <c r="O1075">
        <v>0</v>
      </c>
      <c r="P1075" t="s">
        <v>33</v>
      </c>
      <c r="Q1075" t="s">
        <v>34</v>
      </c>
      <c r="R1075" t="s">
        <v>26</v>
      </c>
      <c r="S1075" s="2">
        <f t="shared" si="16"/>
        <v>282388.68</v>
      </c>
    </row>
    <row r="1076" spans="1:19" x14ac:dyDescent="0.3">
      <c r="A1076" t="s">
        <v>1137</v>
      </c>
      <c r="B1076" s="1">
        <v>46123</v>
      </c>
      <c r="C1076" t="s">
        <v>19</v>
      </c>
      <c r="D1076" t="s">
        <v>20</v>
      </c>
      <c r="E1076" t="s">
        <v>21</v>
      </c>
      <c r="F1076" t="s">
        <v>22</v>
      </c>
      <c r="G1076" t="s">
        <v>23</v>
      </c>
      <c r="H1076">
        <v>119</v>
      </c>
      <c r="I1076">
        <v>46</v>
      </c>
      <c r="J1076">
        <v>43</v>
      </c>
      <c r="K1076">
        <v>122</v>
      </c>
      <c r="L1076">
        <v>54</v>
      </c>
      <c r="M1076" s="2">
        <v>1720.19</v>
      </c>
      <c r="N1076">
        <v>8</v>
      </c>
      <c r="O1076">
        <v>0</v>
      </c>
      <c r="P1076" t="s">
        <v>33</v>
      </c>
      <c r="Q1076" t="s">
        <v>47</v>
      </c>
      <c r="R1076" t="s">
        <v>26</v>
      </c>
      <c r="S1076" s="2">
        <f t="shared" si="16"/>
        <v>209863.18</v>
      </c>
    </row>
    <row r="1077" spans="1:19" x14ac:dyDescent="0.3">
      <c r="A1077" t="s">
        <v>1138</v>
      </c>
      <c r="B1077" s="1">
        <v>46191</v>
      </c>
      <c r="C1077" t="s">
        <v>146</v>
      </c>
      <c r="D1077" t="s">
        <v>46</v>
      </c>
      <c r="E1077" t="s">
        <v>58</v>
      </c>
      <c r="F1077" t="s">
        <v>31</v>
      </c>
      <c r="G1077" t="s">
        <v>32</v>
      </c>
      <c r="H1077">
        <v>174</v>
      </c>
      <c r="I1077">
        <v>49</v>
      </c>
      <c r="J1077">
        <v>109</v>
      </c>
      <c r="K1077">
        <v>114</v>
      </c>
      <c r="L1077">
        <v>57</v>
      </c>
      <c r="M1077" s="2">
        <v>1459.07</v>
      </c>
      <c r="N1077">
        <v>2</v>
      </c>
      <c r="O1077">
        <v>0</v>
      </c>
      <c r="P1077" t="s">
        <v>33</v>
      </c>
      <c r="Q1077" t="s">
        <v>34</v>
      </c>
      <c r="R1077" t="s">
        <v>26</v>
      </c>
      <c r="S1077" s="2">
        <f t="shared" si="16"/>
        <v>166333.97999999998</v>
      </c>
    </row>
    <row r="1078" spans="1:19" x14ac:dyDescent="0.3">
      <c r="A1078" t="s">
        <v>1139</v>
      </c>
      <c r="B1078" s="1">
        <v>46356</v>
      </c>
      <c r="C1078" t="s">
        <v>77</v>
      </c>
      <c r="D1078" t="s">
        <v>53</v>
      </c>
      <c r="E1078" t="s">
        <v>21</v>
      </c>
      <c r="F1078" t="s">
        <v>31</v>
      </c>
      <c r="G1078" t="s">
        <v>32</v>
      </c>
      <c r="H1078">
        <v>54</v>
      </c>
      <c r="I1078">
        <v>77</v>
      </c>
      <c r="J1078">
        <v>87</v>
      </c>
      <c r="K1078">
        <v>44</v>
      </c>
      <c r="L1078">
        <v>78</v>
      </c>
      <c r="M1078" s="2">
        <v>474.8</v>
      </c>
      <c r="N1078">
        <v>4</v>
      </c>
      <c r="O1078">
        <v>3</v>
      </c>
      <c r="P1078" t="s">
        <v>33</v>
      </c>
      <c r="Q1078" t="s">
        <v>25</v>
      </c>
      <c r="R1078" t="s">
        <v>59</v>
      </c>
      <c r="S1078" s="2">
        <f t="shared" si="16"/>
        <v>20891.2</v>
      </c>
    </row>
    <row r="1079" spans="1:19" x14ac:dyDescent="0.3">
      <c r="A1079" t="s">
        <v>1140</v>
      </c>
      <c r="B1079" s="1">
        <v>46055</v>
      </c>
      <c r="C1079" t="s">
        <v>28</v>
      </c>
      <c r="D1079" t="s">
        <v>29</v>
      </c>
      <c r="E1079" t="s">
        <v>58</v>
      </c>
      <c r="F1079" t="s">
        <v>22</v>
      </c>
      <c r="G1079" t="s">
        <v>23</v>
      </c>
      <c r="H1079">
        <v>50</v>
      </c>
      <c r="I1079">
        <v>97</v>
      </c>
      <c r="J1079">
        <v>49</v>
      </c>
      <c r="K1079">
        <v>98</v>
      </c>
      <c r="L1079">
        <v>80</v>
      </c>
      <c r="M1079" s="2">
        <v>1242.1400000000001</v>
      </c>
      <c r="N1079">
        <v>7</v>
      </c>
      <c r="O1079">
        <v>0</v>
      </c>
      <c r="P1079" t="s">
        <v>33</v>
      </c>
      <c r="Q1079" t="s">
        <v>34</v>
      </c>
      <c r="R1079" t="s">
        <v>43</v>
      </c>
      <c r="S1079" s="2">
        <f t="shared" si="16"/>
        <v>121729.72000000002</v>
      </c>
    </row>
    <row r="1080" spans="1:19" x14ac:dyDescent="0.3">
      <c r="A1080" t="s">
        <v>1141</v>
      </c>
      <c r="B1080" s="1">
        <v>46347</v>
      </c>
      <c r="C1080" t="s">
        <v>83</v>
      </c>
      <c r="D1080" t="s">
        <v>29</v>
      </c>
      <c r="E1080" t="s">
        <v>75</v>
      </c>
      <c r="F1080" t="s">
        <v>22</v>
      </c>
      <c r="G1080" t="s">
        <v>23</v>
      </c>
      <c r="H1080">
        <v>98</v>
      </c>
      <c r="I1080">
        <v>51</v>
      </c>
      <c r="J1080">
        <v>89</v>
      </c>
      <c r="K1080">
        <v>60</v>
      </c>
      <c r="L1080">
        <v>93</v>
      </c>
      <c r="M1080" s="2">
        <v>1626.01</v>
      </c>
      <c r="N1080">
        <v>5</v>
      </c>
      <c r="O1080">
        <v>1</v>
      </c>
      <c r="P1080" t="s">
        <v>24</v>
      </c>
      <c r="Q1080" t="s">
        <v>25</v>
      </c>
      <c r="R1080" t="s">
        <v>26</v>
      </c>
      <c r="S1080" s="2">
        <f t="shared" si="16"/>
        <v>97560.6</v>
      </c>
    </row>
    <row r="1081" spans="1:19" x14ac:dyDescent="0.3">
      <c r="A1081" t="s">
        <v>1142</v>
      </c>
      <c r="B1081" s="1">
        <v>46314</v>
      </c>
      <c r="C1081" t="s">
        <v>98</v>
      </c>
      <c r="D1081" t="s">
        <v>20</v>
      </c>
      <c r="E1081" t="s">
        <v>58</v>
      </c>
      <c r="F1081" t="s">
        <v>31</v>
      </c>
      <c r="G1081" t="s">
        <v>32</v>
      </c>
      <c r="H1081">
        <v>153</v>
      </c>
      <c r="I1081">
        <v>30</v>
      </c>
      <c r="J1081">
        <v>75</v>
      </c>
      <c r="K1081">
        <v>108</v>
      </c>
      <c r="L1081">
        <v>57</v>
      </c>
      <c r="M1081" s="2">
        <v>1287.97</v>
      </c>
      <c r="N1081">
        <v>6</v>
      </c>
      <c r="O1081">
        <v>0</v>
      </c>
      <c r="P1081" t="s">
        <v>33</v>
      </c>
      <c r="Q1081" t="s">
        <v>34</v>
      </c>
      <c r="R1081" t="s">
        <v>26</v>
      </c>
      <c r="S1081" s="2">
        <f t="shared" si="16"/>
        <v>139100.76</v>
      </c>
    </row>
    <row r="1082" spans="1:19" x14ac:dyDescent="0.3">
      <c r="A1082" t="s">
        <v>1143</v>
      </c>
      <c r="B1082" s="1">
        <v>46231</v>
      </c>
      <c r="C1082" t="s">
        <v>40</v>
      </c>
      <c r="D1082" t="s">
        <v>20</v>
      </c>
      <c r="E1082" t="s">
        <v>75</v>
      </c>
      <c r="F1082" t="s">
        <v>1582</v>
      </c>
      <c r="G1082" t="s">
        <v>1583</v>
      </c>
      <c r="H1082">
        <v>204</v>
      </c>
      <c r="I1082">
        <v>44</v>
      </c>
      <c r="J1082">
        <v>90</v>
      </c>
      <c r="K1082">
        <v>158</v>
      </c>
      <c r="L1082">
        <v>96</v>
      </c>
      <c r="M1082" s="2">
        <v>924.29</v>
      </c>
      <c r="N1082">
        <v>8</v>
      </c>
      <c r="O1082">
        <v>0</v>
      </c>
      <c r="P1082" t="s">
        <v>33</v>
      </c>
      <c r="Q1082" t="s">
        <v>34</v>
      </c>
      <c r="R1082" t="s">
        <v>26</v>
      </c>
      <c r="S1082" s="2">
        <f t="shared" si="16"/>
        <v>146037.82</v>
      </c>
    </row>
    <row r="1083" spans="1:19" x14ac:dyDescent="0.3">
      <c r="A1083" t="s">
        <v>1144</v>
      </c>
      <c r="B1083" s="1">
        <v>46150</v>
      </c>
      <c r="C1083" t="s">
        <v>52</v>
      </c>
      <c r="D1083" t="s">
        <v>53</v>
      </c>
      <c r="E1083" t="s">
        <v>58</v>
      </c>
      <c r="F1083" t="s">
        <v>22</v>
      </c>
      <c r="G1083" t="s">
        <v>23</v>
      </c>
      <c r="H1083">
        <v>124</v>
      </c>
      <c r="I1083">
        <v>84</v>
      </c>
      <c r="J1083">
        <v>76</v>
      </c>
      <c r="K1083">
        <v>132</v>
      </c>
      <c r="L1083">
        <v>77</v>
      </c>
      <c r="M1083" s="2">
        <v>621.89</v>
      </c>
      <c r="N1083">
        <v>7</v>
      </c>
      <c r="O1083">
        <v>0</v>
      </c>
      <c r="P1083" t="s">
        <v>33</v>
      </c>
      <c r="Q1083" t="s">
        <v>34</v>
      </c>
      <c r="R1083" t="s">
        <v>43</v>
      </c>
      <c r="S1083" s="2">
        <f t="shared" si="16"/>
        <v>82089.48</v>
      </c>
    </row>
    <row r="1084" spans="1:19" x14ac:dyDescent="0.3">
      <c r="A1084" t="s">
        <v>1145</v>
      </c>
      <c r="B1084" s="1">
        <v>46283</v>
      </c>
      <c r="C1084" t="s">
        <v>45</v>
      </c>
      <c r="D1084" t="s">
        <v>46</v>
      </c>
      <c r="E1084" t="s">
        <v>30</v>
      </c>
      <c r="F1084" t="s">
        <v>37</v>
      </c>
      <c r="G1084" t="s">
        <v>38</v>
      </c>
      <c r="H1084">
        <v>200</v>
      </c>
      <c r="I1084">
        <v>76</v>
      </c>
      <c r="J1084">
        <v>29</v>
      </c>
      <c r="K1084">
        <v>247</v>
      </c>
      <c r="L1084">
        <v>93</v>
      </c>
      <c r="M1084" s="2">
        <v>871.31</v>
      </c>
      <c r="N1084">
        <v>5</v>
      </c>
      <c r="O1084">
        <v>0</v>
      </c>
      <c r="P1084" t="s">
        <v>24</v>
      </c>
      <c r="Q1084" t="s">
        <v>47</v>
      </c>
      <c r="R1084" t="s">
        <v>43</v>
      </c>
      <c r="S1084" s="2">
        <f t="shared" si="16"/>
        <v>215213.56999999998</v>
      </c>
    </row>
    <row r="1085" spans="1:19" x14ac:dyDescent="0.3">
      <c r="A1085" t="s">
        <v>1146</v>
      </c>
      <c r="B1085" s="1">
        <v>46298</v>
      </c>
      <c r="C1085" t="s">
        <v>55</v>
      </c>
      <c r="D1085" t="s">
        <v>50</v>
      </c>
      <c r="E1085" t="s">
        <v>42</v>
      </c>
      <c r="F1085" t="s">
        <v>22</v>
      </c>
      <c r="G1085" t="s">
        <v>23</v>
      </c>
      <c r="H1085">
        <v>56</v>
      </c>
      <c r="I1085">
        <v>117</v>
      </c>
      <c r="J1085">
        <v>70</v>
      </c>
      <c r="K1085">
        <v>103</v>
      </c>
      <c r="L1085">
        <v>88</v>
      </c>
      <c r="M1085" s="2">
        <v>960.93</v>
      </c>
      <c r="N1085">
        <v>8</v>
      </c>
      <c r="O1085">
        <v>0</v>
      </c>
      <c r="P1085" t="s">
        <v>33</v>
      </c>
      <c r="Q1085" t="s">
        <v>34</v>
      </c>
      <c r="R1085" t="s">
        <v>26</v>
      </c>
      <c r="S1085" s="2">
        <f t="shared" si="16"/>
        <v>98975.79</v>
      </c>
    </row>
    <row r="1086" spans="1:19" x14ac:dyDescent="0.3">
      <c r="A1086" t="s">
        <v>1147</v>
      </c>
      <c r="B1086" s="1">
        <v>46335</v>
      </c>
      <c r="C1086" t="s">
        <v>28</v>
      </c>
      <c r="D1086" t="s">
        <v>29</v>
      </c>
      <c r="E1086" t="s">
        <v>75</v>
      </c>
      <c r="F1086" t="s">
        <v>22</v>
      </c>
      <c r="G1086" t="s">
        <v>23</v>
      </c>
      <c r="H1086">
        <v>94</v>
      </c>
      <c r="I1086">
        <v>59</v>
      </c>
      <c r="J1086">
        <v>79</v>
      </c>
      <c r="K1086">
        <v>74</v>
      </c>
      <c r="L1086">
        <v>64</v>
      </c>
      <c r="M1086" s="2">
        <v>1253.2</v>
      </c>
      <c r="N1086">
        <v>6</v>
      </c>
      <c r="O1086">
        <v>0</v>
      </c>
      <c r="P1086" t="s">
        <v>33</v>
      </c>
      <c r="Q1086" t="s">
        <v>34</v>
      </c>
      <c r="R1086" t="s">
        <v>59</v>
      </c>
      <c r="S1086" s="2">
        <f t="shared" si="16"/>
        <v>92736.8</v>
      </c>
    </row>
    <row r="1087" spans="1:19" x14ac:dyDescent="0.3">
      <c r="A1087" t="s">
        <v>1148</v>
      </c>
      <c r="B1087" s="1">
        <v>46265</v>
      </c>
      <c r="C1087" t="s">
        <v>28</v>
      </c>
      <c r="D1087" t="s">
        <v>29</v>
      </c>
      <c r="E1087" t="s">
        <v>21</v>
      </c>
      <c r="F1087" t="s">
        <v>22</v>
      </c>
      <c r="G1087" t="s">
        <v>23</v>
      </c>
      <c r="H1087">
        <v>89</v>
      </c>
      <c r="I1087">
        <v>118</v>
      </c>
      <c r="J1087">
        <v>65</v>
      </c>
      <c r="K1087">
        <v>142</v>
      </c>
      <c r="L1087">
        <v>95</v>
      </c>
      <c r="M1087" s="2">
        <v>1214.6600000000001</v>
      </c>
      <c r="N1087">
        <v>7</v>
      </c>
      <c r="O1087">
        <v>0</v>
      </c>
      <c r="P1087" t="s">
        <v>33</v>
      </c>
      <c r="Q1087" t="s">
        <v>34</v>
      </c>
      <c r="R1087" t="s">
        <v>26</v>
      </c>
      <c r="S1087" s="2">
        <f t="shared" si="16"/>
        <v>172481.72</v>
      </c>
    </row>
    <row r="1088" spans="1:19" x14ac:dyDescent="0.3">
      <c r="A1088" t="s">
        <v>1149</v>
      </c>
      <c r="B1088" s="1">
        <v>46184</v>
      </c>
      <c r="C1088" t="s">
        <v>68</v>
      </c>
      <c r="D1088" t="s">
        <v>53</v>
      </c>
      <c r="E1088" t="s">
        <v>21</v>
      </c>
      <c r="F1088" t="s">
        <v>22</v>
      </c>
      <c r="G1088" t="s">
        <v>23</v>
      </c>
      <c r="H1088">
        <v>107</v>
      </c>
      <c r="I1088">
        <v>80</v>
      </c>
      <c r="J1088">
        <v>53</v>
      </c>
      <c r="K1088">
        <v>134</v>
      </c>
      <c r="L1088">
        <v>68</v>
      </c>
      <c r="M1088" s="2">
        <v>557.4</v>
      </c>
      <c r="N1088">
        <v>4</v>
      </c>
      <c r="O1088">
        <v>0</v>
      </c>
      <c r="P1088" t="s">
        <v>33</v>
      </c>
      <c r="Q1088" t="s">
        <v>34</v>
      </c>
      <c r="R1088" t="s">
        <v>43</v>
      </c>
      <c r="S1088" s="2">
        <f t="shared" si="16"/>
        <v>74691.599999999991</v>
      </c>
    </row>
    <row r="1089" spans="1:19" x14ac:dyDescent="0.3">
      <c r="A1089" t="s">
        <v>1150</v>
      </c>
      <c r="B1089" s="1">
        <v>46256</v>
      </c>
      <c r="C1089" t="s">
        <v>49</v>
      </c>
      <c r="D1089" t="s">
        <v>50</v>
      </c>
      <c r="E1089" t="s">
        <v>58</v>
      </c>
      <c r="F1089" t="s">
        <v>1582</v>
      </c>
      <c r="G1089" t="s">
        <v>1583</v>
      </c>
      <c r="H1089">
        <v>146</v>
      </c>
      <c r="I1089">
        <v>20</v>
      </c>
      <c r="J1089">
        <v>66</v>
      </c>
      <c r="K1089">
        <v>100</v>
      </c>
      <c r="L1089">
        <v>48</v>
      </c>
      <c r="M1089" s="2">
        <v>1421.86</v>
      </c>
      <c r="N1089">
        <v>4</v>
      </c>
      <c r="O1089">
        <v>0</v>
      </c>
      <c r="P1089" t="s">
        <v>33</v>
      </c>
      <c r="Q1089" t="s">
        <v>34</v>
      </c>
      <c r="R1089" t="s">
        <v>26</v>
      </c>
      <c r="S1089" s="2">
        <f t="shared" si="16"/>
        <v>142186</v>
      </c>
    </row>
    <row r="1090" spans="1:19" x14ac:dyDescent="0.3">
      <c r="A1090" t="s">
        <v>1151</v>
      </c>
      <c r="B1090" s="1">
        <v>46189</v>
      </c>
      <c r="C1090" t="s">
        <v>109</v>
      </c>
      <c r="D1090" t="s">
        <v>46</v>
      </c>
      <c r="E1090" t="s">
        <v>42</v>
      </c>
      <c r="F1090" t="s">
        <v>22</v>
      </c>
      <c r="G1090" t="s">
        <v>23</v>
      </c>
      <c r="H1090">
        <v>209</v>
      </c>
      <c r="I1090">
        <v>111</v>
      </c>
      <c r="J1090">
        <v>47</v>
      </c>
      <c r="K1090">
        <v>273</v>
      </c>
      <c r="L1090">
        <v>63</v>
      </c>
      <c r="M1090" s="2">
        <v>3412.83</v>
      </c>
      <c r="N1090">
        <v>2</v>
      </c>
      <c r="O1090">
        <v>0</v>
      </c>
      <c r="P1090" t="s">
        <v>33</v>
      </c>
      <c r="Q1090" t="s">
        <v>47</v>
      </c>
      <c r="R1090" t="s">
        <v>59</v>
      </c>
      <c r="S1090" s="2">
        <f t="shared" ref="S1090:S1153" si="17">K1090*M1090</f>
        <v>931702.59</v>
      </c>
    </row>
    <row r="1091" spans="1:19" x14ac:dyDescent="0.3">
      <c r="A1091" t="s">
        <v>1152</v>
      </c>
      <c r="B1091" s="1">
        <v>46263</v>
      </c>
      <c r="C1091" t="s">
        <v>87</v>
      </c>
      <c r="D1091" t="s">
        <v>53</v>
      </c>
      <c r="E1091" t="s">
        <v>42</v>
      </c>
      <c r="F1091" t="s">
        <v>1582</v>
      </c>
      <c r="G1091" t="s">
        <v>1583</v>
      </c>
      <c r="H1091">
        <v>110</v>
      </c>
      <c r="I1091">
        <v>33</v>
      </c>
      <c r="J1091">
        <v>24</v>
      </c>
      <c r="K1091">
        <v>119</v>
      </c>
      <c r="L1091">
        <v>60</v>
      </c>
      <c r="M1091" s="2">
        <v>419.44</v>
      </c>
      <c r="N1091">
        <v>7</v>
      </c>
      <c r="O1091">
        <v>0</v>
      </c>
      <c r="P1091" t="s">
        <v>33</v>
      </c>
      <c r="Q1091" t="s">
        <v>34</v>
      </c>
      <c r="R1091" t="s">
        <v>59</v>
      </c>
      <c r="S1091" s="2">
        <f t="shared" si="17"/>
        <v>49913.36</v>
      </c>
    </row>
    <row r="1092" spans="1:19" x14ac:dyDescent="0.3">
      <c r="A1092" t="s">
        <v>1153</v>
      </c>
      <c r="B1092" s="1">
        <v>46212</v>
      </c>
      <c r="C1092" t="s">
        <v>40</v>
      </c>
      <c r="D1092" t="s">
        <v>20</v>
      </c>
      <c r="E1092" t="s">
        <v>58</v>
      </c>
      <c r="F1092" t="s">
        <v>22</v>
      </c>
      <c r="G1092" t="s">
        <v>23</v>
      </c>
      <c r="H1092">
        <v>111</v>
      </c>
      <c r="I1092">
        <v>97</v>
      </c>
      <c r="J1092">
        <v>90</v>
      </c>
      <c r="K1092">
        <v>118</v>
      </c>
      <c r="L1092">
        <v>69</v>
      </c>
      <c r="M1092" s="2">
        <v>820.68</v>
      </c>
      <c r="N1092">
        <v>2</v>
      </c>
      <c r="O1092">
        <v>0</v>
      </c>
      <c r="P1092" t="s">
        <v>33</v>
      </c>
      <c r="Q1092" t="s">
        <v>34</v>
      </c>
      <c r="R1092" t="s">
        <v>26</v>
      </c>
      <c r="S1092" s="2">
        <f t="shared" si="17"/>
        <v>96840.239999999991</v>
      </c>
    </row>
    <row r="1093" spans="1:19" x14ac:dyDescent="0.3">
      <c r="A1093" t="s">
        <v>1154</v>
      </c>
      <c r="B1093" s="1">
        <v>46100</v>
      </c>
      <c r="C1093" t="s">
        <v>49</v>
      </c>
      <c r="D1093" t="s">
        <v>50</v>
      </c>
      <c r="E1093" t="s">
        <v>75</v>
      </c>
      <c r="F1093" t="s">
        <v>1582</v>
      </c>
      <c r="G1093" t="s">
        <v>1583</v>
      </c>
      <c r="H1093">
        <v>74</v>
      </c>
      <c r="I1093">
        <v>115</v>
      </c>
      <c r="J1093">
        <v>24</v>
      </c>
      <c r="K1093">
        <v>165</v>
      </c>
      <c r="L1093">
        <v>65</v>
      </c>
      <c r="M1093" s="2">
        <v>1424.07</v>
      </c>
      <c r="N1093">
        <v>7</v>
      </c>
      <c r="O1093">
        <v>0</v>
      </c>
      <c r="P1093" t="s">
        <v>33</v>
      </c>
      <c r="Q1093" t="s">
        <v>47</v>
      </c>
      <c r="R1093" t="s">
        <v>26</v>
      </c>
      <c r="S1093" s="2">
        <f t="shared" si="17"/>
        <v>234971.55</v>
      </c>
    </row>
    <row r="1094" spans="1:19" x14ac:dyDescent="0.3">
      <c r="A1094" t="s">
        <v>1155</v>
      </c>
      <c r="B1094" s="1">
        <v>46294</v>
      </c>
      <c r="C1094" t="s">
        <v>52</v>
      </c>
      <c r="D1094" t="s">
        <v>53</v>
      </c>
      <c r="E1094" t="s">
        <v>30</v>
      </c>
      <c r="F1094" t="s">
        <v>22</v>
      </c>
      <c r="G1094" t="s">
        <v>23</v>
      </c>
      <c r="H1094">
        <v>183</v>
      </c>
      <c r="I1094">
        <v>31</v>
      </c>
      <c r="J1094">
        <v>71</v>
      </c>
      <c r="K1094">
        <v>143</v>
      </c>
      <c r="L1094">
        <v>60</v>
      </c>
      <c r="M1094" s="2">
        <v>627.62</v>
      </c>
      <c r="N1094">
        <v>6</v>
      </c>
      <c r="O1094">
        <v>0</v>
      </c>
      <c r="P1094" t="s">
        <v>33</v>
      </c>
      <c r="Q1094" t="s">
        <v>47</v>
      </c>
      <c r="R1094" t="s">
        <v>26</v>
      </c>
      <c r="S1094" s="2">
        <f t="shared" si="17"/>
        <v>89749.66</v>
      </c>
    </row>
    <row r="1095" spans="1:19" x14ac:dyDescent="0.3">
      <c r="A1095" t="s">
        <v>1156</v>
      </c>
      <c r="B1095" s="1">
        <v>46132</v>
      </c>
      <c r="C1095" t="s">
        <v>109</v>
      </c>
      <c r="D1095" t="s">
        <v>46</v>
      </c>
      <c r="E1095" t="s">
        <v>42</v>
      </c>
      <c r="F1095" t="s">
        <v>31</v>
      </c>
      <c r="G1095" t="s">
        <v>32</v>
      </c>
      <c r="H1095">
        <v>219</v>
      </c>
      <c r="I1095">
        <v>111</v>
      </c>
      <c r="J1095">
        <v>109</v>
      </c>
      <c r="K1095">
        <v>221</v>
      </c>
      <c r="L1095">
        <v>65</v>
      </c>
      <c r="M1095" s="2">
        <v>3492.61</v>
      </c>
      <c r="N1095">
        <v>4</v>
      </c>
      <c r="O1095">
        <v>0</v>
      </c>
      <c r="P1095" t="s">
        <v>33</v>
      </c>
      <c r="Q1095" t="s">
        <v>47</v>
      </c>
      <c r="R1095" t="s">
        <v>26</v>
      </c>
      <c r="S1095" s="2">
        <f t="shared" si="17"/>
        <v>771866.81</v>
      </c>
    </row>
    <row r="1096" spans="1:19" x14ac:dyDescent="0.3">
      <c r="A1096" t="s">
        <v>1157</v>
      </c>
      <c r="B1096" s="1">
        <v>46034</v>
      </c>
      <c r="C1096" t="s">
        <v>83</v>
      </c>
      <c r="D1096" t="s">
        <v>29</v>
      </c>
      <c r="E1096" t="s">
        <v>58</v>
      </c>
      <c r="F1096" t="s">
        <v>22</v>
      </c>
      <c r="G1096" t="s">
        <v>23</v>
      </c>
      <c r="H1096">
        <v>157</v>
      </c>
      <c r="I1096">
        <v>66</v>
      </c>
      <c r="J1096">
        <v>57</v>
      </c>
      <c r="K1096">
        <v>166</v>
      </c>
      <c r="L1096">
        <v>57</v>
      </c>
      <c r="M1096" s="2">
        <v>1656.85</v>
      </c>
      <c r="N1096">
        <v>7</v>
      </c>
      <c r="O1096">
        <v>0</v>
      </c>
      <c r="P1096" t="s">
        <v>33</v>
      </c>
      <c r="Q1096" t="s">
        <v>47</v>
      </c>
      <c r="R1096" t="s">
        <v>26</v>
      </c>
      <c r="S1096" s="2">
        <f t="shared" si="17"/>
        <v>275037.09999999998</v>
      </c>
    </row>
    <row r="1097" spans="1:19" x14ac:dyDescent="0.3">
      <c r="A1097" t="s">
        <v>1158</v>
      </c>
      <c r="B1097" s="1">
        <v>46214</v>
      </c>
      <c r="C1097" t="s">
        <v>62</v>
      </c>
      <c r="D1097" t="s">
        <v>29</v>
      </c>
      <c r="E1097" t="s">
        <v>58</v>
      </c>
      <c r="F1097" t="s">
        <v>1582</v>
      </c>
      <c r="G1097" t="s">
        <v>1583</v>
      </c>
      <c r="H1097">
        <v>141</v>
      </c>
      <c r="I1097">
        <v>123</v>
      </c>
      <c r="J1097">
        <v>77</v>
      </c>
      <c r="K1097">
        <v>187</v>
      </c>
      <c r="L1097">
        <v>96</v>
      </c>
      <c r="M1097" s="2">
        <v>636.72</v>
      </c>
      <c r="N1097">
        <v>6</v>
      </c>
      <c r="O1097">
        <v>0</v>
      </c>
      <c r="P1097" t="s">
        <v>24</v>
      </c>
      <c r="Q1097" t="s">
        <v>34</v>
      </c>
      <c r="R1097" t="s">
        <v>81</v>
      </c>
      <c r="S1097" s="2">
        <f t="shared" si="17"/>
        <v>119066.64</v>
      </c>
    </row>
    <row r="1098" spans="1:19" x14ac:dyDescent="0.3">
      <c r="A1098" t="s">
        <v>1159</v>
      </c>
      <c r="B1098" s="1">
        <v>46308</v>
      </c>
      <c r="C1098" t="s">
        <v>40</v>
      </c>
      <c r="D1098" t="s">
        <v>20</v>
      </c>
      <c r="E1098" t="s">
        <v>75</v>
      </c>
      <c r="F1098" t="s">
        <v>37</v>
      </c>
      <c r="G1098" t="s">
        <v>38</v>
      </c>
      <c r="H1098">
        <v>177</v>
      </c>
      <c r="I1098">
        <v>82</v>
      </c>
      <c r="J1098">
        <v>51</v>
      </c>
      <c r="K1098">
        <v>208</v>
      </c>
      <c r="L1098">
        <v>81</v>
      </c>
      <c r="M1098" s="2">
        <v>870.08</v>
      </c>
      <c r="N1098">
        <v>2</v>
      </c>
      <c r="O1098">
        <v>0</v>
      </c>
      <c r="P1098" t="s">
        <v>33</v>
      </c>
      <c r="Q1098" t="s">
        <v>47</v>
      </c>
      <c r="R1098" t="s">
        <v>26</v>
      </c>
      <c r="S1098" s="2">
        <f t="shared" si="17"/>
        <v>180976.64000000001</v>
      </c>
    </row>
    <row r="1099" spans="1:19" x14ac:dyDescent="0.3">
      <c r="A1099" t="s">
        <v>1160</v>
      </c>
      <c r="B1099" s="1">
        <v>46164</v>
      </c>
      <c r="C1099" t="s">
        <v>98</v>
      </c>
      <c r="D1099" t="s">
        <v>20</v>
      </c>
      <c r="E1099" t="s">
        <v>30</v>
      </c>
      <c r="F1099" t="s">
        <v>31</v>
      </c>
      <c r="G1099" t="s">
        <v>32</v>
      </c>
      <c r="H1099">
        <v>186</v>
      </c>
      <c r="I1099">
        <v>79</v>
      </c>
      <c r="J1099">
        <v>93</v>
      </c>
      <c r="K1099">
        <v>172</v>
      </c>
      <c r="L1099">
        <v>86</v>
      </c>
      <c r="M1099" s="2">
        <v>1538.03</v>
      </c>
      <c r="N1099">
        <v>8</v>
      </c>
      <c r="O1099">
        <v>0</v>
      </c>
      <c r="P1099" t="s">
        <v>24</v>
      </c>
      <c r="Q1099" t="s">
        <v>34</v>
      </c>
      <c r="R1099" t="s">
        <v>59</v>
      </c>
      <c r="S1099" s="2">
        <f t="shared" si="17"/>
        <v>264541.15999999997</v>
      </c>
    </row>
    <row r="1100" spans="1:19" x14ac:dyDescent="0.3">
      <c r="A1100" t="s">
        <v>1161</v>
      </c>
      <c r="B1100" s="1">
        <v>46228</v>
      </c>
      <c r="C1100" t="s">
        <v>55</v>
      </c>
      <c r="D1100" t="s">
        <v>50</v>
      </c>
      <c r="E1100" t="s">
        <v>42</v>
      </c>
      <c r="F1100" t="s">
        <v>37</v>
      </c>
      <c r="G1100" t="s">
        <v>38</v>
      </c>
      <c r="H1100">
        <v>58</v>
      </c>
      <c r="I1100">
        <v>43</v>
      </c>
      <c r="J1100">
        <v>97</v>
      </c>
      <c r="K1100">
        <v>4</v>
      </c>
      <c r="L1100">
        <v>81</v>
      </c>
      <c r="M1100" s="2">
        <v>967.96</v>
      </c>
      <c r="N1100">
        <v>6</v>
      </c>
      <c r="O1100">
        <v>7</v>
      </c>
      <c r="P1100" t="s">
        <v>33</v>
      </c>
      <c r="Q1100" t="s">
        <v>25</v>
      </c>
      <c r="R1100" t="s">
        <v>43</v>
      </c>
      <c r="S1100" s="2">
        <f t="shared" si="17"/>
        <v>3871.84</v>
      </c>
    </row>
    <row r="1101" spans="1:19" x14ac:dyDescent="0.3">
      <c r="A1101" t="s">
        <v>1162</v>
      </c>
      <c r="B1101" s="1">
        <v>46357</v>
      </c>
      <c r="C1101" t="s">
        <v>52</v>
      </c>
      <c r="D1101" t="s">
        <v>53</v>
      </c>
      <c r="E1101" t="s">
        <v>75</v>
      </c>
      <c r="F1101" t="s">
        <v>1582</v>
      </c>
      <c r="G1101" t="s">
        <v>1583</v>
      </c>
      <c r="H1101">
        <v>44</v>
      </c>
      <c r="I1101">
        <v>21</v>
      </c>
      <c r="J1101">
        <v>43</v>
      </c>
      <c r="K1101">
        <v>22</v>
      </c>
      <c r="L1101">
        <v>65</v>
      </c>
      <c r="M1101" s="2">
        <v>640.53</v>
      </c>
      <c r="N1101">
        <v>4</v>
      </c>
      <c r="O1101">
        <v>6</v>
      </c>
      <c r="P1101" t="s">
        <v>33</v>
      </c>
      <c r="Q1101" t="s">
        <v>25</v>
      </c>
      <c r="R1101" t="s">
        <v>26</v>
      </c>
      <c r="S1101" s="2">
        <f t="shared" si="17"/>
        <v>14091.66</v>
      </c>
    </row>
    <row r="1102" spans="1:19" x14ac:dyDescent="0.3">
      <c r="A1102" t="s">
        <v>1163</v>
      </c>
      <c r="B1102" s="1">
        <v>46043</v>
      </c>
      <c r="C1102" t="s">
        <v>83</v>
      </c>
      <c r="D1102" t="s">
        <v>29</v>
      </c>
      <c r="E1102" t="s">
        <v>30</v>
      </c>
      <c r="F1102" t="s">
        <v>22</v>
      </c>
      <c r="G1102" t="s">
        <v>23</v>
      </c>
      <c r="H1102">
        <v>88</v>
      </c>
      <c r="I1102">
        <v>118</v>
      </c>
      <c r="J1102">
        <v>33</v>
      </c>
      <c r="K1102">
        <v>173</v>
      </c>
      <c r="L1102">
        <v>58</v>
      </c>
      <c r="M1102" s="2">
        <v>1538.71</v>
      </c>
      <c r="N1102">
        <v>2</v>
      </c>
      <c r="O1102">
        <v>0</v>
      </c>
      <c r="P1102" t="s">
        <v>24</v>
      </c>
      <c r="Q1102" t="s">
        <v>47</v>
      </c>
      <c r="R1102" t="s">
        <v>26</v>
      </c>
      <c r="S1102" s="2">
        <f t="shared" si="17"/>
        <v>266196.83</v>
      </c>
    </row>
    <row r="1103" spans="1:19" x14ac:dyDescent="0.3">
      <c r="A1103" t="s">
        <v>1164</v>
      </c>
      <c r="B1103" s="1">
        <v>46134</v>
      </c>
      <c r="C1103" t="s">
        <v>83</v>
      </c>
      <c r="D1103" t="s">
        <v>29</v>
      </c>
      <c r="E1103" t="s">
        <v>75</v>
      </c>
      <c r="F1103" t="s">
        <v>37</v>
      </c>
      <c r="G1103" t="s">
        <v>38</v>
      </c>
      <c r="H1103">
        <v>120</v>
      </c>
      <c r="I1103">
        <v>49</v>
      </c>
      <c r="J1103">
        <v>99</v>
      </c>
      <c r="K1103">
        <v>70</v>
      </c>
      <c r="L1103">
        <v>58</v>
      </c>
      <c r="M1103" s="2">
        <v>1504.54</v>
      </c>
      <c r="N1103">
        <v>3</v>
      </c>
      <c r="O1103">
        <v>0</v>
      </c>
      <c r="P1103" t="s">
        <v>33</v>
      </c>
      <c r="Q1103" t="s">
        <v>34</v>
      </c>
      <c r="R1103" t="s">
        <v>26</v>
      </c>
      <c r="S1103" s="2">
        <f t="shared" si="17"/>
        <v>105317.8</v>
      </c>
    </row>
    <row r="1104" spans="1:19" x14ac:dyDescent="0.3">
      <c r="A1104" t="s">
        <v>1165</v>
      </c>
      <c r="B1104" s="1">
        <v>46048</v>
      </c>
      <c r="C1104" t="s">
        <v>109</v>
      </c>
      <c r="D1104" t="s">
        <v>46</v>
      </c>
      <c r="E1104" t="s">
        <v>42</v>
      </c>
      <c r="F1104" t="s">
        <v>1582</v>
      </c>
      <c r="G1104" t="s">
        <v>1583</v>
      </c>
      <c r="H1104">
        <v>71</v>
      </c>
      <c r="I1104">
        <v>126</v>
      </c>
      <c r="J1104">
        <v>63</v>
      </c>
      <c r="K1104">
        <v>134</v>
      </c>
      <c r="L1104">
        <v>46</v>
      </c>
      <c r="M1104" s="2">
        <v>3164.13</v>
      </c>
      <c r="N1104">
        <v>7</v>
      </c>
      <c r="O1104">
        <v>0</v>
      </c>
      <c r="P1104" t="s">
        <v>33</v>
      </c>
      <c r="Q1104" t="s">
        <v>47</v>
      </c>
      <c r="R1104" t="s">
        <v>26</v>
      </c>
      <c r="S1104" s="2">
        <f t="shared" si="17"/>
        <v>423993.42000000004</v>
      </c>
    </row>
    <row r="1105" spans="1:19" x14ac:dyDescent="0.3">
      <c r="A1105" t="s">
        <v>1166</v>
      </c>
      <c r="B1105" s="1">
        <v>46319</v>
      </c>
      <c r="C1105" t="s">
        <v>55</v>
      </c>
      <c r="D1105" t="s">
        <v>50</v>
      </c>
      <c r="E1105" t="s">
        <v>58</v>
      </c>
      <c r="F1105" t="s">
        <v>22</v>
      </c>
      <c r="G1105" t="s">
        <v>23</v>
      </c>
      <c r="H1105">
        <v>92</v>
      </c>
      <c r="I1105">
        <v>118</v>
      </c>
      <c r="J1105">
        <v>63</v>
      </c>
      <c r="K1105">
        <v>147</v>
      </c>
      <c r="L1105">
        <v>82</v>
      </c>
      <c r="M1105" s="2">
        <v>1062.9000000000001</v>
      </c>
      <c r="N1105">
        <v>2</v>
      </c>
      <c r="O1105">
        <v>0</v>
      </c>
      <c r="P1105" t="s">
        <v>33</v>
      </c>
      <c r="Q1105" t="s">
        <v>34</v>
      </c>
      <c r="R1105" t="s">
        <v>26</v>
      </c>
      <c r="S1105" s="2">
        <f t="shared" si="17"/>
        <v>156246.30000000002</v>
      </c>
    </row>
    <row r="1106" spans="1:19" x14ac:dyDescent="0.3">
      <c r="A1106" t="s">
        <v>1167</v>
      </c>
      <c r="B1106" s="1">
        <v>46282</v>
      </c>
      <c r="C1106" t="s">
        <v>77</v>
      </c>
      <c r="D1106" t="s">
        <v>53</v>
      </c>
      <c r="E1106" t="s">
        <v>42</v>
      </c>
      <c r="F1106" t="s">
        <v>22</v>
      </c>
      <c r="G1106" t="s">
        <v>23</v>
      </c>
      <c r="H1106">
        <v>70</v>
      </c>
      <c r="I1106">
        <v>82</v>
      </c>
      <c r="J1106">
        <v>109</v>
      </c>
      <c r="K1106">
        <v>43</v>
      </c>
      <c r="L1106">
        <v>83</v>
      </c>
      <c r="M1106" s="2">
        <v>485.84</v>
      </c>
      <c r="N1106">
        <v>4</v>
      </c>
      <c r="O1106">
        <v>4</v>
      </c>
      <c r="P1106" t="s">
        <v>33</v>
      </c>
      <c r="Q1106" t="s">
        <v>25</v>
      </c>
      <c r="R1106" t="s">
        <v>81</v>
      </c>
      <c r="S1106" s="2">
        <f t="shared" si="17"/>
        <v>20891.12</v>
      </c>
    </row>
    <row r="1107" spans="1:19" x14ac:dyDescent="0.3">
      <c r="A1107" t="s">
        <v>1168</v>
      </c>
      <c r="B1107" s="1">
        <v>46207</v>
      </c>
      <c r="C1107" t="s">
        <v>146</v>
      </c>
      <c r="D1107" t="s">
        <v>46</v>
      </c>
      <c r="E1107" t="s">
        <v>21</v>
      </c>
      <c r="F1107" t="s">
        <v>31</v>
      </c>
      <c r="G1107" t="s">
        <v>32</v>
      </c>
      <c r="H1107">
        <v>156</v>
      </c>
      <c r="I1107">
        <v>22</v>
      </c>
      <c r="J1107">
        <v>15</v>
      </c>
      <c r="K1107">
        <v>163</v>
      </c>
      <c r="L1107">
        <v>69</v>
      </c>
      <c r="M1107" s="2">
        <v>1591.02</v>
      </c>
      <c r="N1107">
        <v>5</v>
      </c>
      <c r="O1107">
        <v>0</v>
      </c>
      <c r="P1107" t="s">
        <v>33</v>
      </c>
      <c r="Q1107" t="s">
        <v>47</v>
      </c>
      <c r="R1107" t="s">
        <v>26</v>
      </c>
      <c r="S1107" s="2">
        <f t="shared" si="17"/>
        <v>259336.26</v>
      </c>
    </row>
    <row r="1108" spans="1:19" x14ac:dyDescent="0.3">
      <c r="A1108" t="s">
        <v>1169</v>
      </c>
      <c r="B1108" s="1">
        <v>46188</v>
      </c>
      <c r="C1108" t="s">
        <v>109</v>
      </c>
      <c r="D1108" t="s">
        <v>46</v>
      </c>
      <c r="E1108" t="s">
        <v>58</v>
      </c>
      <c r="F1108" t="s">
        <v>37</v>
      </c>
      <c r="G1108" t="s">
        <v>38</v>
      </c>
      <c r="H1108">
        <v>98</v>
      </c>
      <c r="I1108">
        <v>109</v>
      </c>
      <c r="J1108">
        <v>25</v>
      </c>
      <c r="K1108">
        <v>182</v>
      </c>
      <c r="L1108">
        <v>86</v>
      </c>
      <c r="M1108" s="2">
        <v>3291.89</v>
      </c>
      <c r="N1108">
        <v>8</v>
      </c>
      <c r="O1108">
        <v>0</v>
      </c>
      <c r="P1108" t="s">
        <v>24</v>
      </c>
      <c r="Q1108" t="s">
        <v>34</v>
      </c>
      <c r="R1108" t="s">
        <v>59</v>
      </c>
      <c r="S1108" s="2">
        <f t="shared" si="17"/>
        <v>599123.98</v>
      </c>
    </row>
    <row r="1109" spans="1:19" x14ac:dyDescent="0.3">
      <c r="A1109" t="s">
        <v>1170</v>
      </c>
      <c r="B1109" s="1">
        <v>46328</v>
      </c>
      <c r="C1109" t="s">
        <v>98</v>
      </c>
      <c r="D1109" t="s">
        <v>20</v>
      </c>
      <c r="E1109" t="s">
        <v>42</v>
      </c>
      <c r="F1109" t="s">
        <v>22</v>
      </c>
      <c r="G1109" t="s">
        <v>23</v>
      </c>
      <c r="H1109">
        <v>184</v>
      </c>
      <c r="I1109">
        <v>21</v>
      </c>
      <c r="J1109">
        <v>31</v>
      </c>
      <c r="K1109">
        <v>174</v>
      </c>
      <c r="L1109">
        <v>78</v>
      </c>
      <c r="M1109" s="2">
        <v>1303.6099999999999</v>
      </c>
      <c r="N1109">
        <v>7</v>
      </c>
      <c r="O1109">
        <v>0</v>
      </c>
      <c r="P1109" t="s">
        <v>33</v>
      </c>
      <c r="Q1109" t="s">
        <v>47</v>
      </c>
      <c r="R1109" t="s">
        <v>26</v>
      </c>
      <c r="S1109" s="2">
        <f t="shared" si="17"/>
        <v>226828.13999999998</v>
      </c>
    </row>
    <row r="1110" spans="1:19" x14ac:dyDescent="0.3">
      <c r="A1110" t="s">
        <v>1171</v>
      </c>
      <c r="B1110" s="1">
        <v>46115</v>
      </c>
      <c r="C1110" t="s">
        <v>83</v>
      </c>
      <c r="D1110" t="s">
        <v>29</v>
      </c>
      <c r="E1110" t="s">
        <v>21</v>
      </c>
      <c r="F1110" t="s">
        <v>1582</v>
      </c>
      <c r="G1110" t="s">
        <v>1583</v>
      </c>
      <c r="H1110">
        <v>80</v>
      </c>
      <c r="I1110">
        <v>73</v>
      </c>
      <c r="J1110">
        <v>37</v>
      </c>
      <c r="K1110">
        <v>116</v>
      </c>
      <c r="L1110">
        <v>56</v>
      </c>
      <c r="M1110" s="2">
        <v>1739.61</v>
      </c>
      <c r="N1110">
        <v>3</v>
      </c>
      <c r="O1110">
        <v>0</v>
      </c>
      <c r="P1110" t="s">
        <v>33</v>
      </c>
      <c r="Q1110" t="s">
        <v>34</v>
      </c>
      <c r="R1110" t="s">
        <v>43</v>
      </c>
      <c r="S1110" s="2">
        <f t="shared" si="17"/>
        <v>201794.75999999998</v>
      </c>
    </row>
    <row r="1111" spans="1:19" x14ac:dyDescent="0.3">
      <c r="A1111" t="s">
        <v>1172</v>
      </c>
      <c r="B1111" s="1">
        <v>46036</v>
      </c>
      <c r="C1111" t="s">
        <v>109</v>
      </c>
      <c r="D1111" t="s">
        <v>46</v>
      </c>
      <c r="E1111" t="s">
        <v>42</v>
      </c>
      <c r="F1111" t="s">
        <v>31</v>
      </c>
      <c r="G1111" t="s">
        <v>32</v>
      </c>
      <c r="H1111">
        <v>167</v>
      </c>
      <c r="I1111">
        <v>46</v>
      </c>
      <c r="J1111">
        <v>54</v>
      </c>
      <c r="K1111">
        <v>159</v>
      </c>
      <c r="L1111">
        <v>70</v>
      </c>
      <c r="M1111" s="2">
        <v>3280.2</v>
      </c>
      <c r="N1111">
        <v>8</v>
      </c>
      <c r="O1111">
        <v>0</v>
      </c>
      <c r="P1111" t="s">
        <v>33</v>
      </c>
      <c r="Q1111" t="s">
        <v>47</v>
      </c>
      <c r="R1111" t="s">
        <v>26</v>
      </c>
      <c r="S1111" s="2">
        <f t="shared" si="17"/>
        <v>521551.8</v>
      </c>
    </row>
    <row r="1112" spans="1:19" x14ac:dyDescent="0.3">
      <c r="A1112" t="s">
        <v>1173</v>
      </c>
      <c r="B1112" s="1">
        <v>46137</v>
      </c>
      <c r="C1112" t="s">
        <v>109</v>
      </c>
      <c r="D1112" t="s">
        <v>46</v>
      </c>
      <c r="E1112" t="s">
        <v>58</v>
      </c>
      <c r="F1112" t="s">
        <v>31</v>
      </c>
      <c r="G1112" t="s">
        <v>32</v>
      </c>
      <c r="H1112">
        <v>76</v>
      </c>
      <c r="I1112">
        <v>72</v>
      </c>
      <c r="J1112">
        <v>20</v>
      </c>
      <c r="K1112">
        <v>128</v>
      </c>
      <c r="L1112">
        <v>79</v>
      </c>
      <c r="M1112" s="2">
        <v>3121.3</v>
      </c>
      <c r="N1112">
        <v>10</v>
      </c>
      <c r="O1112">
        <v>1</v>
      </c>
      <c r="P1112" t="s">
        <v>24</v>
      </c>
      <c r="Q1112" t="s">
        <v>34</v>
      </c>
      <c r="R1112" t="s">
        <v>26</v>
      </c>
      <c r="S1112" s="2">
        <f t="shared" si="17"/>
        <v>399526.40000000002</v>
      </c>
    </row>
    <row r="1113" spans="1:19" x14ac:dyDescent="0.3">
      <c r="A1113" t="s">
        <v>1174</v>
      </c>
      <c r="B1113" s="1">
        <v>46349</v>
      </c>
      <c r="C1113" t="s">
        <v>40</v>
      </c>
      <c r="D1113" t="s">
        <v>20</v>
      </c>
      <c r="E1113" t="s">
        <v>75</v>
      </c>
      <c r="F1113" t="s">
        <v>31</v>
      </c>
      <c r="G1113" t="s">
        <v>32</v>
      </c>
      <c r="H1113">
        <v>161</v>
      </c>
      <c r="I1113">
        <v>79</v>
      </c>
      <c r="J1113">
        <v>68</v>
      </c>
      <c r="K1113">
        <v>172</v>
      </c>
      <c r="L1113">
        <v>99</v>
      </c>
      <c r="M1113" s="2">
        <v>971.67</v>
      </c>
      <c r="N1113">
        <v>5</v>
      </c>
      <c r="O1113">
        <v>0</v>
      </c>
      <c r="P1113" t="s">
        <v>24</v>
      </c>
      <c r="Q1113" t="s">
        <v>34</v>
      </c>
      <c r="R1113" t="s">
        <v>26</v>
      </c>
      <c r="S1113" s="2">
        <f t="shared" si="17"/>
        <v>167127.24</v>
      </c>
    </row>
    <row r="1114" spans="1:19" x14ac:dyDescent="0.3">
      <c r="A1114" t="s">
        <v>1175</v>
      </c>
      <c r="B1114" s="1">
        <v>46315</v>
      </c>
      <c r="C1114" t="s">
        <v>89</v>
      </c>
      <c r="D1114" t="s">
        <v>20</v>
      </c>
      <c r="E1114" t="s">
        <v>58</v>
      </c>
      <c r="F1114" t="s">
        <v>1582</v>
      </c>
      <c r="G1114" t="s">
        <v>1583</v>
      </c>
      <c r="H1114">
        <v>105</v>
      </c>
      <c r="I1114">
        <v>36</v>
      </c>
      <c r="J1114">
        <v>56</v>
      </c>
      <c r="K1114">
        <v>85</v>
      </c>
      <c r="L1114">
        <v>87</v>
      </c>
      <c r="M1114" s="2">
        <v>1209.5999999999999</v>
      </c>
      <c r="N1114">
        <v>6</v>
      </c>
      <c r="O1114">
        <v>2</v>
      </c>
      <c r="P1114" t="s">
        <v>33</v>
      </c>
      <c r="Q1114" t="s">
        <v>34</v>
      </c>
      <c r="R1114" t="s">
        <v>26</v>
      </c>
      <c r="S1114" s="2">
        <f t="shared" si="17"/>
        <v>102815.99999999999</v>
      </c>
    </row>
    <row r="1115" spans="1:19" x14ac:dyDescent="0.3">
      <c r="A1115" t="s">
        <v>1176</v>
      </c>
      <c r="B1115" s="1">
        <v>46151</v>
      </c>
      <c r="C1115" t="s">
        <v>28</v>
      </c>
      <c r="D1115" t="s">
        <v>29</v>
      </c>
      <c r="E1115" t="s">
        <v>42</v>
      </c>
      <c r="F1115" t="s">
        <v>22</v>
      </c>
      <c r="G1115" t="s">
        <v>23</v>
      </c>
      <c r="H1115">
        <v>76</v>
      </c>
      <c r="I1115">
        <v>48</v>
      </c>
      <c r="J1115">
        <v>99</v>
      </c>
      <c r="K1115">
        <v>25</v>
      </c>
      <c r="L1115">
        <v>50</v>
      </c>
      <c r="M1115" s="2">
        <v>1363.23</v>
      </c>
      <c r="N1115">
        <v>7</v>
      </c>
      <c r="O1115">
        <v>2</v>
      </c>
      <c r="P1115" t="s">
        <v>33</v>
      </c>
      <c r="Q1115" t="s">
        <v>25</v>
      </c>
      <c r="R1115" t="s">
        <v>26</v>
      </c>
      <c r="S1115" s="2">
        <f t="shared" si="17"/>
        <v>34080.75</v>
      </c>
    </row>
    <row r="1116" spans="1:19" x14ac:dyDescent="0.3">
      <c r="A1116" t="s">
        <v>1177</v>
      </c>
      <c r="B1116" s="1">
        <v>46239</v>
      </c>
      <c r="C1116" t="s">
        <v>83</v>
      </c>
      <c r="D1116" t="s">
        <v>29</v>
      </c>
      <c r="E1116" t="s">
        <v>21</v>
      </c>
      <c r="F1116" t="s">
        <v>1582</v>
      </c>
      <c r="G1116" t="s">
        <v>1583</v>
      </c>
      <c r="H1116">
        <v>211</v>
      </c>
      <c r="I1116">
        <v>95</v>
      </c>
      <c r="J1116">
        <v>81</v>
      </c>
      <c r="K1116">
        <v>225</v>
      </c>
      <c r="L1116">
        <v>78</v>
      </c>
      <c r="M1116" s="2">
        <v>1624.69</v>
      </c>
      <c r="N1116">
        <v>4</v>
      </c>
      <c r="O1116">
        <v>0</v>
      </c>
      <c r="P1116" t="s">
        <v>33</v>
      </c>
      <c r="Q1116" t="s">
        <v>47</v>
      </c>
      <c r="R1116" t="s">
        <v>26</v>
      </c>
      <c r="S1116" s="2">
        <f t="shared" si="17"/>
        <v>365555.25</v>
      </c>
    </row>
    <row r="1117" spans="1:19" x14ac:dyDescent="0.3">
      <c r="A1117" t="s">
        <v>1178</v>
      </c>
      <c r="B1117" s="1">
        <v>46144</v>
      </c>
      <c r="C1117" t="s">
        <v>80</v>
      </c>
      <c r="D1117" t="s">
        <v>46</v>
      </c>
      <c r="E1117" t="s">
        <v>30</v>
      </c>
      <c r="F1117" t="s">
        <v>31</v>
      </c>
      <c r="G1117" t="s">
        <v>32</v>
      </c>
      <c r="H1117">
        <v>138</v>
      </c>
      <c r="I1117">
        <v>100</v>
      </c>
      <c r="J1117">
        <v>21</v>
      </c>
      <c r="K1117">
        <v>217</v>
      </c>
      <c r="L1117">
        <v>95</v>
      </c>
      <c r="M1117" s="2">
        <v>1033.54</v>
      </c>
      <c r="N1117">
        <v>3</v>
      </c>
      <c r="O1117">
        <v>0</v>
      </c>
      <c r="P1117" t="s">
        <v>24</v>
      </c>
      <c r="Q1117" t="s">
        <v>47</v>
      </c>
      <c r="R1117" t="s">
        <v>26</v>
      </c>
      <c r="S1117" s="2">
        <f t="shared" si="17"/>
        <v>224278.18</v>
      </c>
    </row>
    <row r="1118" spans="1:19" x14ac:dyDescent="0.3">
      <c r="A1118" t="s">
        <v>1179</v>
      </c>
      <c r="B1118" s="1">
        <v>46230</v>
      </c>
      <c r="C1118" t="s">
        <v>36</v>
      </c>
      <c r="D1118" t="s">
        <v>29</v>
      </c>
      <c r="E1118" t="s">
        <v>21</v>
      </c>
      <c r="F1118" t="s">
        <v>31</v>
      </c>
      <c r="G1118" t="s">
        <v>32</v>
      </c>
      <c r="H1118">
        <v>186</v>
      </c>
      <c r="I1118">
        <v>81</v>
      </c>
      <c r="J1118">
        <v>76</v>
      </c>
      <c r="K1118">
        <v>191</v>
      </c>
      <c r="L1118">
        <v>99</v>
      </c>
      <c r="M1118" s="2">
        <v>2325.0700000000002</v>
      </c>
      <c r="N1118">
        <v>7</v>
      </c>
      <c r="O1118">
        <v>0</v>
      </c>
      <c r="P1118" t="s">
        <v>33</v>
      </c>
      <c r="Q1118" t="s">
        <v>34</v>
      </c>
      <c r="R1118" t="s">
        <v>81</v>
      </c>
      <c r="S1118" s="2">
        <f t="shared" si="17"/>
        <v>444088.37000000005</v>
      </c>
    </row>
    <row r="1119" spans="1:19" x14ac:dyDescent="0.3">
      <c r="A1119" t="s">
        <v>1180</v>
      </c>
      <c r="B1119" s="1">
        <v>46118</v>
      </c>
      <c r="C1119" t="s">
        <v>72</v>
      </c>
      <c r="D1119" t="s">
        <v>50</v>
      </c>
      <c r="E1119" t="s">
        <v>58</v>
      </c>
      <c r="F1119" t="s">
        <v>37</v>
      </c>
      <c r="G1119" t="s">
        <v>38</v>
      </c>
      <c r="H1119">
        <v>179</v>
      </c>
      <c r="I1119">
        <v>76</v>
      </c>
      <c r="J1119">
        <v>30</v>
      </c>
      <c r="K1119">
        <v>225</v>
      </c>
      <c r="L1119">
        <v>92</v>
      </c>
      <c r="M1119" s="2">
        <v>2102.89</v>
      </c>
      <c r="N1119">
        <v>8</v>
      </c>
      <c r="O1119">
        <v>0</v>
      </c>
      <c r="P1119" t="s">
        <v>33</v>
      </c>
      <c r="Q1119" t="s">
        <v>47</v>
      </c>
      <c r="R1119" t="s">
        <v>26</v>
      </c>
      <c r="S1119" s="2">
        <f t="shared" si="17"/>
        <v>473150.25</v>
      </c>
    </row>
    <row r="1120" spans="1:19" x14ac:dyDescent="0.3">
      <c r="A1120" t="s">
        <v>1181</v>
      </c>
      <c r="B1120" s="1">
        <v>46241</v>
      </c>
      <c r="C1120" t="s">
        <v>45</v>
      </c>
      <c r="D1120" t="s">
        <v>46</v>
      </c>
      <c r="E1120" t="s">
        <v>58</v>
      </c>
      <c r="F1120" t="s">
        <v>1582</v>
      </c>
      <c r="G1120" t="s">
        <v>1583</v>
      </c>
      <c r="H1120">
        <v>209</v>
      </c>
      <c r="I1120">
        <v>32</v>
      </c>
      <c r="J1120">
        <v>100</v>
      </c>
      <c r="K1120">
        <v>141</v>
      </c>
      <c r="L1120">
        <v>99</v>
      </c>
      <c r="M1120" s="2">
        <v>774.78</v>
      </c>
      <c r="N1120">
        <v>6</v>
      </c>
      <c r="O1120">
        <v>0</v>
      </c>
      <c r="P1120" t="s">
        <v>33</v>
      </c>
      <c r="Q1120" t="s">
        <v>34</v>
      </c>
      <c r="R1120" t="s">
        <v>59</v>
      </c>
      <c r="S1120" s="2">
        <f t="shared" si="17"/>
        <v>109243.98</v>
      </c>
    </row>
    <row r="1121" spans="1:19" x14ac:dyDescent="0.3">
      <c r="A1121" t="s">
        <v>1182</v>
      </c>
      <c r="B1121" s="1">
        <v>46254</v>
      </c>
      <c r="C1121" t="s">
        <v>98</v>
      </c>
      <c r="D1121" t="s">
        <v>20</v>
      </c>
      <c r="E1121" t="s">
        <v>75</v>
      </c>
      <c r="F1121" t="s">
        <v>22</v>
      </c>
      <c r="G1121" t="s">
        <v>23</v>
      </c>
      <c r="H1121">
        <v>157</v>
      </c>
      <c r="I1121">
        <v>126</v>
      </c>
      <c r="J1121">
        <v>29</v>
      </c>
      <c r="K1121">
        <v>254</v>
      </c>
      <c r="L1121">
        <v>52</v>
      </c>
      <c r="M1121" s="2">
        <v>1414.13</v>
      </c>
      <c r="N1121">
        <v>4</v>
      </c>
      <c r="O1121">
        <v>0</v>
      </c>
      <c r="P1121" t="s">
        <v>24</v>
      </c>
      <c r="Q1121" t="s">
        <v>47</v>
      </c>
      <c r="R1121" t="s">
        <v>26</v>
      </c>
      <c r="S1121" s="2">
        <f t="shared" si="17"/>
        <v>359189.02</v>
      </c>
    </row>
    <row r="1122" spans="1:19" x14ac:dyDescent="0.3">
      <c r="A1122" t="s">
        <v>1183</v>
      </c>
      <c r="B1122" s="1">
        <v>46204</v>
      </c>
      <c r="C1122" t="s">
        <v>57</v>
      </c>
      <c r="D1122" t="s">
        <v>50</v>
      </c>
      <c r="E1122" t="s">
        <v>30</v>
      </c>
      <c r="F1122" t="s">
        <v>22</v>
      </c>
      <c r="G1122" t="s">
        <v>23</v>
      </c>
      <c r="H1122">
        <v>141</v>
      </c>
      <c r="I1122">
        <v>124</v>
      </c>
      <c r="J1122">
        <v>80</v>
      </c>
      <c r="K1122">
        <v>185</v>
      </c>
      <c r="L1122">
        <v>57</v>
      </c>
      <c r="M1122" s="2">
        <v>2599.36</v>
      </c>
      <c r="N1122">
        <v>7</v>
      </c>
      <c r="O1122">
        <v>0</v>
      </c>
      <c r="P1122" t="s">
        <v>33</v>
      </c>
      <c r="Q1122" t="s">
        <v>47</v>
      </c>
      <c r="R1122" t="s">
        <v>26</v>
      </c>
      <c r="S1122" s="2">
        <f t="shared" si="17"/>
        <v>480881.60000000003</v>
      </c>
    </row>
    <row r="1123" spans="1:19" x14ac:dyDescent="0.3">
      <c r="A1123" t="s">
        <v>1184</v>
      </c>
      <c r="B1123" s="1">
        <v>46371</v>
      </c>
      <c r="C1123" t="s">
        <v>87</v>
      </c>
      <c r="D1123" t="s">
        <v>53</v>
      </c>
      <c r="E1123" t="s">
        <v>30</v>
      </c>
      <c r="F1123" t="s">
        <v>31</v>
      </c>
      <c r="G1123" t="s">
        <v>32</v>
      </c>
      <c r="H1123">
        <v>176</v>
      </c>
      <c r="I1123">
        <v>66</v>
      </c>
      <c r="J1123">
        <v>84</v>
      </c>
      <c r="K1123">
        <v>158</v>
      </c>
      <c r="L1123">
        <v>59</v>
      </c>
      <c r="M1123" s="2">
        <v>467.43</v>
      </c>
      <c r="N1123">
        <v>6</v>
      </c>
      <c r="O1123">
        <v>0</v>
      </c>
      <c r="P1123" t="s">
        <v>24</v>
      </c>
      <c r="Q1123" t="s">
        <v>47</v>
      </c>
      <c r="R1123" t="s">
        <v>26</v>
      </c>
      <c r="S1123" s="2">
        <f t="shared" si="17"/>
        <v>73853.94</v>
      </c>
    </row>
    <row r="1124" spans="1:19" x14ac:dyDescent="0.3">
      <c r="A1124" t="s">
        <v>1185</v>
      </c>
      <c r="B1124" s="1">
        <v>46262</v>
      </c>
      <c r="C1124" t="s">
        <v>28</v>
      </c>
      <c r="D1124" t="s">
        <v>29</v>
      </c>
      <c r="E1124" t="s">
        <v>42</v>
      </c>
      <c r="F1124" t="s">
        <v>1582</v>
      </c>
      <c r="G1124" t="s">
        <v>1583</v>
      </c>
      <c r="H1124">
        <v>91</v>
      </c>
      <c r="I1124">
        <v>55</v>
      </c>
      <c r="J1124">
        <v>21</v>
      </c>
      <c r="K1124">
        <v>125</v>
      </c>
      <c r="L1124">
        <v>70</v>
      </c>
      <c r="M1124" s="2">
        <v>1247.0899999999999</v>
      </c>
      <c r="N1124">
        <v>6</v>
      </c>
      <c r="O1124">
        <v>0</v>
      </c>
      <c r="P1124" t="s">
        <v>33</v>
      </c>
      <c r="Q1124" t="s">
        <v>34</v>
      </c>
      <c r="R1124" t="s">
        <v>43</v>
      </c>
      <c r="S1124" s="2">
        <f t="shared" si="17"/>
        <v>155886.25</v>
      </c>
    </row>
    <row r="1125" spans="1:19" x14ac:dyDescent="0.3">
      <c r="A1125" t="s">
        <v>1186</v>
      </c>
      <c r="B1125" s="1">
        <v>46233</v>
      </c>
      <c r="C1125" t="s">
        <v>80</v>
      </c>
      <c r="D1125" t="s">
        <v>46</v>
      </c>
      <c r="E1125" t="s">
        <v>21</v>
      </c>
      <c r="F1125" t="s">
        <v>31</v>
      </c>
      <c r="G1125" t="s">
        <v>32</v>
      </c>
      <c r="H1125">
        <v>59</v>
      </c>
      <c r="I1125">
        <v>52</v>
      </c>
      <c r="J1125">
        <v>105</v>
      </c>
      <c r="K1125">
        <v>6</v>
      </c>
      <c r="L1125">
        <v>80</v>
      </c>
      <c r="M1125" s="2">
        <v>1136.99</v>
      </c>
      <c r="N1125">
        <v>3</v>
      </c>
      <c r="O1125">
        <v>2</v>
      </c>
      <c r="P1125" t="s">
        <v>33</v>
      </c>
      <c r="Q1125" t="s">
        <v>25</v>
      </c>
      <c r="R1125" t="s">
        <v>26</v>
      </c>
      <c r="S1125" s="2">
        <f t="shared" si="17"/>
        <v>6821.9400000000005</v>
      </c>
    </row>
    <row r="1126" spans="1:19" x14ac:dyDescent="0.3">
      <c r="A1126" t="s">
        <v>1187</v>
      </c>
      <c r="B1126" s="1">
        <v>46059</v>
      </c>
      <c r="C1126" t="s">
        <v>28</v>
      </c>
      <c r="D1126" t="s">
        <v>29</v>
      </c>
      <c r="E1126" t="s">
        <v>58</v>
      </c>
      <c r="F1126" t="s">
        <v>22</v>
      </c>
      <c r="G1126" t="s">
        <v>23</v>
      </c>
      <c r="H1126">
        <v>102</v>
      </c>
      <c r="I1126">
        <v>70</v>
      </c>
      <c r="J1126">
        <v>35</v>
      </c>
      <c r="K1126">
        <v>137</v>
      </c>
      <c r="L1126">
        <v>86</v>
      </c>
      <c r="M1126" s="2">
        <v>1278.94</v>
      </c>
      <c r="N1126">
        <v>6</v>
      </c>
      <c r="O1126">
        <v>0</v>
      </c>
      <c r="P1126" t="s">
        <v>33</v>
      </c>
      <c r="Q1126" t="s">
        <v>34</v>
      </c>
      <c r="R1126" t="s">
        <v>43</v>
      </c>
      <c r="S1126" s="2">
        <f t="shared" si="17"/>
        <v>175214.78</v>
      </c>
    </row>
    <row r="1127" spans="1:19" x14ac:dyDescent="0.3">
      <c r="A1127" t="s">
        <v>1188</v>
      </c>
      <c r="B1127" s="1">
        <v>46190</v>
      </c>
      <c r="C1127" t="s">
        <v>83</v>
      </c>
      <c r="D1127" t="s">
        <v>29</v>
      </c>
      <c r="E1127" t="s">
        <v>42</v>
      </c>
      <c r="F1127" t="s">
        <v>1582</v>
      </c>
      <c r="G1127" t="s">
        <v>1583</v>
      </c>
      <c r="H1127">
        <v>71</v>
      </c>
      <c r="I1127">
        <v>112</v>
      </c>
      <c r="J1127">
        <v>109</v>
      </c>
      <c r="K1127">
        <v>74</v>
      </c>
      <c r="L1127">
        <v>82</v>
      </c>
      <c r="M1127" s="2">
        <v>1742.19</v>
      </c>
      <c r="N1127">
        <v>3</v>
      </c>
      <c r="O1127">
        <v>3</v>
      </c>
      <c r="P1127" t="s">
        <v>33</v>
      </c>
      <c r="Q1127" t="s">
        <v>34</v>
      </c>
      <c r="R1127" t="s">
        <v>26</v>
      </c>
      <c r="S1127" s="2">
        <f t="shared" si="17"/>
        <v>128922.06</v>
      </c>
    </row>
    <row r="1128" spans="1:19" x14ac:dyDescent="0.3">
      <c r="A1128" t="s">
        <v>1189</v>
      </c>
      <c r="B1128" s="1">
        <v>46300</v>
      </c>
      <c r="C1128" t="s">
        <v>19</v>
      </c>
      <c r="D1128" t="s">
        <v>20</v>
      </c>
      <c r="E1128" t="s">
        <v>30</v>
      </c>
      <c r="F1128" t="s">
        <v>37</v>
      </c>
      <c r="G1128" t="s">
        <v>38</v>
      </c>
      <c r="H1128">
        <v>174</v>
      </c>
      <c r="I1128">
        <v>33</v>
      </c>
      <c r="J1128">
        <v>95</v>
      </c>
      <c r="K1128">
        <v>112</v>
      </c>
      <c r="L1128">
        <v>83</v>
      </c>
      <c r="M1128" s="2">
        <v>1789.6</v>
      </c>
      <c r="N1128">
        <v>7</v>
      </c>
      <c r="O1128">
        <v>0</v>
      </c>
      <c r="P1128" t="s">
        <v>33</v>
      </c>
      <c r="Q1128" t="s">
        <v>34</v>
      </c>
      <c r="R1128" t="s">
        <v>43</v>
      </c>
      <c r="S1128" s="2">
        <f t="shared" si="17"/>
        <v>200435.19999999998</v>
      </c>
    </row>
    <row r="1129" spans="1:19" x14ac:dyDescent="0.3">
      <c r="A1129" t="s">
        <v>1190</v>
      </c>
      <c r="B1129" s="1">
        <v>46322</v>
      </c>
      <c r="C1129" t="s">
        <v>68</v>
      </c>
      <c r="D1129" t="s">
        <v>53</v>
      </c>
      <c r="E1129" t="s">
        <v>42</v>
      </c>
      <c r="F1129" t="s">
        <v>31</v>
      </c>
      <c r="G1129" t="s">
        <v>32</v>
      </c>
      <c r="H1129">
        <v>127</v>
      </c>
      <c r="I1129">
        <v>54</v>
      </c>
      <c r="J1129">
        <v>20</v>
      </c>
      <c r="K1129">
        <v>161</v>
      </c>
      <c r="L1129">
        <v>69</v>
      </c>
      <c r="M1129" s="2">
        <v>640.55999999999995</v>
      </c>
      <c r="N1129">
        <v>4</v>
      </c>
      <c r="O1129">
        <v>0</v>
      </c>
      <c r="P1129" t="s">
        <v>24</v>
      </c>
      <c r="Q1129" t="s">
        <v>47</v>
      </c>
      <c r="R1129" t="s">
        <v>26</v>
      </c>
      <c r="S1129" s="2">
        <f t="shared" si="17"/>
        <v>103130.15999999999</v>
      </c>
    </row>
    <row r="1130" spans="1:19" x14ac:dyDescent="0.3">
      <c r="A1130" t="s">
        <v>1191</v>
      </c>
      <c r="B1130" s="1">
        <v>46363</v>
      </c>
      <c r="C1130" t="s">
        <v>36</v>
      </c>
      <c r="D1130" t="s">
        <v>29</v>
      </c>
      <c r="E1130" t="s">
        <v>21</v>
      </c>
      <c r="F1130" t="s">
        <v>22</v>
      </c>
      <c r="G1130" t="s">
        <v>23</v>
      </c>
      <c r="H1130">
        <v>173</v>
      </c>
      <c r="I1130">
        <v>33</v>
      </c>
      <c r="J1130">
        <v>26</v>
      </c>
      <c r="K1130">
        <v>180</v>
      </c>
      <c r="L1130">
        <v>91</v>
      </c>
      <c r="M1130" s="2">
        <v>2449.59</v>
      </c>
      <c r="N1130">
        <v>6</v>
      </c>
      <c r="O1130">
        <v>0</v>
      </c>
      <c r="P1130" t="s">
        <v>33</v>
      </c>
      <c r="Q1130" t="s">
        <v>34</v>
      </c>
      <c r="R1130" t="s">
        <v>26</v>
      </c>
      <c r="S1130" s="2">
        <f t="shared" si="17"/>
        <v>440926.2</v>
      </c>
    </row>
    <row r="1131" spans="1:19" x14ac:dyDescent="0.3">
      <c r="A1131" t="s">
        <v>1192</v>
      </c>
      <c r="B1131" s="1">
        <v>46191</v>
      </c>
      <c r="C1131" t="s">
        <v>55</v>
      </c>
      <c r="D1131" t="s">
        <v>50</v>
      </c>
      <c r="E1131" t="s">
        <v>58</v>
      </c>
      <c r="F1131" t="s">
        <v>31</v>
      </c>
      <c r="G1131" t="s">
        <v>32</v>
      </c>
      <c r="H1131">
        <v>203</v>
      </c>
      <c r="I1131">
        <v>33</v>
      </c>
      <c r="J1131">
        <v>50</v>
      </c>
      <c r="K1131">
        <v>186</v>
      </c>
      <c r="L1131">
        <v>98</v>
      </c>
      <c r="M1131" s="2">
        <v>1044.81</v>
      </c>
      <c r="N1131">
        <v>4</v>
      </c>
      <c r="O1131">
        <v>0</v>
      </c>
      <c r="P1131" t="s">
        <v>33</v>
      </c>
      <c r="Q1131" t="s">
        <v>34</v>
      </c>
      <c r="R1131" t="s">
        <v>26</v>
      </c>
      <c r="S1131" s="2">
        <f t="shared" si="17"/>
        <v>194334.66</v>
      </c>
    </row>
    <row r="1132" spans="1:19" x14ac:dyDescent="0.3">
      <c r="A1132" t="s">
        <v>1193</v>
      </c>
      <c r="B1132" s="1">
        <v>46076</v>
      </c>
      <c r="C1132" t="s">
        <v>49</v>
      </c>
      <c r="D1132" t="s">
        <v>50</v>
      </c>
      <c r="E1132" t="s">
        <v>21</v>
      </c>
      <c r="F1132" t="s">
        <v>31</v>
      </c>
      <c r="G1132" t="s">
        <v>32</v>
      </c>
      <c r="H1132">
        <v>43</v>
      </c>
      <c r="I1132">
        <v>32</v>
      </c>
      <c r="J1132">
        <v>106</v>
      </c>
      <c r="K1132">
        <v>0</v>
      </c>
      <c r="L1132">
        <v>96</v>
      </c>
      <c r="M1132" s="2">
        <v>1296.24</v>
      </c>
      <c r="N1132">
        <v>6</v>
      </c>
      <c r="O1132">
        <v>7</v>
      </c>
      <c r="P1132" t="s">
        <v>33</v>
      </c>
      <c r="Q1132" t="s">
        <v>25</v>
      </c>
      <c r="R1132" t="s">
        <v>26</v>
      </c>
      <c r="S1132" s="2">
        <f t="shared" si="17"/>
        <v>0</v>
      </c>
    </row>
    <row r="1133" spans="1:19" x14ac:dyDescent="0.3">
      <c r="A1133" t="s">
        <v>1194</v>
      </c>
      <c r="B1133" s="1">
        <v>46083</v>
      </c>
      <c r="C1133" t="s">
        <v>55</v>
      </c>
      <c r="D1133" t="s">
        <v>50</v>
      </c>
      <c r="E1133" t="s">
        <v>30</v>
      </c>
      <c r="F1133" t="s">
        <v>1582</v>
      </c>
      <c r="G1133" t="s">
        <v>1583</v>
      </c>
      <c r="H1133">
        <v>50</v>
      </c>
      <c r="I1133">
        <v>97</v>
      </c>
      <c r="J1133">
        <v>28</v>
      </c>
      <c r="K1133">
        <v>119</v>
      </c>
      <c r="L1133">
        <v>82</v>
      </c>
      <c r="M1133" s="2">
        <v>1067.6400000000001</v>
      </c>
      <c r="N1133">
        <v>7</v>
      </c>
      <c r="O1133">
        <v>0</v>
      </c>
      <c r="P1133" t="s">
        <v>33</v>
      </c>
      <c r="Q1133" t="s">
        <v>34</v>
      </c>
      <c r="R1133" t="s">
        <v>26</v>
      </c>
      <c r="S1133" s="2">
        <f t="shared" si="17"/>
        <v>127049.16000000002</v>
      </c>
    </row>
    <row r="1134" spans="1:19" x14ac:dyDescent="0.3">
      <c r="A1134" t="s">
        <v>1195</v>
      </c>
      <c r="B1134" s="1">
        <v>46290</v>
      </c>
      <c r="C1134" t="s">
        <v>83</v>
      </c>
      <c r="D1134" t="s">
        <v>29</v>
      </c>
      <c r="E1134" t="s">
        <v>30</v>
      </c>
      <c r="F1134" t="s">
        <v>1582</v>
      </c>
      <c r="G1134" t="s">
        <v>1583</v>
      </c>
      <c r="H1134">
        <v>140</v>
      </c>
      <c r="I1134">
        <v>111</v>
      </c>
      <c r="J1134">
        <v>110</v>
      </c>
      <c r="K1134">
        <v>141</v>
      </c>
      <c r="L1134">
        <v>47</v>
      </c>
      <c r="M1134" s="2">
        <v>1551.14</v>
      </c>
      <c r="N1134">
        <v>8</v>
      </c>
      <c r="O1134">
        <v>0</v>
      </c>
      <c r="P1134" t="s">
        <v>33</v>
      </c>
      <c r="Q1134" t="s">
        <v>47</v>
      </c>
      <c r="R1134" t="s">
        <v>26</v>
      </c>
      <c r="S1134" s="2">
        <f t="shared" si="17"/>
        <v>218710.74000000002</v>
      </c>
    </row>
    <row r="1135" spans="1:19" x14ac:dyDescent="0.3">
      <c r="A1135" t="s">
        <v>1196</v>
      </c>
      <c r="B1135" s="1">
        <v>46037</v>
      </c>
      <c r="C1135" t="s">
        <v>40</v>
      </c>
      <c r="D1135" t="s">
        <v>20</v>
      </c>
      <c r="E1135" t="s">
        <v>58</v>
      </c>
      <c r="F1135" t="s">
        <v>31</v>
      </c>
      <c r="G1135" t="s">
        <v>32</v>
      </c>
      <c r="H1135">
        <v>95</v>
      </c>
      <c r="I1135">
        <v>92</v>
      </c>
      <c r="J1135">
        <v>38</v>
      </c>
      <c r="K1135">
        <v>149</v>
      </c>
      <c r="L1135">
        <v>46</v>
      </c>
      <c r="M1135" s="2">
        <v>923.49</v>
      </c>
      <c r="N1135">
        <v>4</v>
      </c>
      <c r="O1135">
        <v>0</v>
      </c>
      <c r="P1135" t="s">
        <v>24</v>
      </c>
      <c r="Q1135" t="s">
        <v>47</v>
      </c>
      <c r="R1135" t="s">
        <v>81</v>
      </c>
      <c r="S1135" s="2">
        <f t="shared" si="17"/>
        <v>137600.01</v>
      </c>
    </row>
    <row r="1136" spans="1:19" x14ac:dyDescent="0.3">
      <c r="A1136" t="s">
        <v>1197</v>
      </c>
      <c r="B1136" s="1">
        <v>46157</v>
      </c>
      <c r="C1136" t="s">
        <v>49</v>
      </c>
      <c r="D1136" t="s">
        <v>50</v>
      </c>
      <c r="E1136" t="s">
        <v>21</v>
      </c>
      <c r="F1136" t="s">
        <v>37</v>
      </c>
      <c r="G1136" t="s">
        <v>38</v>
      </c>
      <c r="H1136">
        <v>130</v>
      </c>
      <c r="I1136">
        <v>51</v>
      </c>
      <c r="J1136">
        <v>50</v>
      </c>
      <c r="K1136">
        <v>131</v>
      </c>
      <c r="L1136">
        <v>73</v>
      </c>
      <c r="M1136" s="2">
        <v>1373.76</v>
      </c>
      <c r="N1136">
        <v>4</v>
      </c>
      <c r="O1136">
        <v>0</v>
      </c>
      <c r="P1136" t="s">
        <v>33</v>
      </c>
      <c r="Q1136" t="s">
        <v>34</v>
      </c>
      <c r="R1136" t="s">
        <v>81</v>
      </c>
      <c r="S1136" s="2">
        <f t="shared" si="17"/>
        <v>179962.56</v>
      </c>
    </row>
    <row r="1137" spans="1:19" x14ac:dyDescent="0.3">
      <c r="A1137" t="s">
        <v>1198</v>
      </c>
      <c r="B1137" s="1">
        <v>46203</v>
      </c>
      <c r="C1137" t="s">
        <v>28</v>
      </c>
      <c r="D1137" t="s">
        <v>29</v>
      </c>
      <c r="E1137" t="s">
        <v>30</v>
      </c>
      <c r="F1137" t="s">
        <v>37</v>
      </c>
      <c r="G1137" t="s">
        <v>38</v>
      </c>
      <c r="H1137">
        <v>142</v>
      </c>
      <c r="I1137">
        <v>116</v>
      </c>
      <c r="J1137">
        <v>59</v>
      </c>
      <c r="K1137">
        <v>199</v>
      </c>
      <c r="L1137">
        <v>94</v>
      </c>
      <c r="M1137" s="2">
        <v>1382.02</v>
      </c>
      <c r="N1137">
        <v>8</v>
      </c>
      <c r="O1137">
        <v>0</v>
      </c>
      <c r="P1137" t="s">
        <v>33</v>
      </c>
      <c r="Q1137" t="s">
        <v>34</v>
      </c>
      <c r="R1137" t="s">
        <v>26</v>
      </c>
      <c r="S1137" s="2">
        <f t="shared" si="17"/>
        <v>275021.98</v>
      </c>
    </row>
    <row r="1138" spans="1:19" x14ac:dyDescent="0.3">
      <c r="A1138" t="s">
        <v>1199</v>
      </c>
      <c r="B1138" s="1">
        <v>46218</v>
      </c>
      <c r="C1138" t="s">
        <v>87</v>
      </c>
      <c r="D1138" t="s">
        <v>53</v>
      </c>
      <c r="E1138" t="s">
        <v>21</v>
      </c>
      <c r="F1138" t="s">
        <v>37</v>
      </c>
      <c r="G1138" t="s">
        <v>38</v>
      </c>
      <c r="H1138">
        <v>65</v>
      </c>
      <c r="I1138">
        <v>112</v>
      </c>
      <c r="J1138">
        <v>26</v>
      </c>
      <c r="K1138">
        <v>151</v>
      </c>
      <c r="L1138">
        <v>85</v>
      </c>
      <c r="M1138" s="2">
        <v>441.55</v>
      </c>
      <c r="N1138">
        <v>6</v>
      </c>
      <c r="O1138">
        <v>0</v>
      </c>
      <c r="P1138" t="s">
        <v>33</v>
      </c>
      <c r="Q1138" t="s">
        <v>34</v>
      </c>
      <c r="R1138" t="s">
        <v>26</v>
      </c>
      <c r="S1138" s="2">
        <f t="shared" si="17"/>
        <v>66674.05</v>
      </c>
    </row>
    <row r="1139" spans="1:19" x14ac:dyDescent="0.3">
      <c r="A1139" t="s">
        <v>1200</v>
      </c>
      <c r="B1139" s="1">
        <v>46320</v>
      </c>
      <c r="C1139" t="s">
        <v>83</v>
      </c>
      <c r="D1139" t="s">
        <v>29</v>
      </c>
      <c r="E1139" t="s">
        <v>58</v>
      </c>
      <c r="F1139" t="s">
        <v>37</v>
      </c>
      <c r="G1139" t="s">
        <v>38</v>
      </c>
      <c r="H1139">
        <v>126</v>
      </c>
      <c r="I1139">
        <v>123</v>
      </c>
      <c r="J1139">
        <v>71</v>
      </c>
      <c r="K1139">
        <v>178</v>
      </c>
      <c r="L1139">
        <v>68</v>
      </c>
      <c r="M1139" s="2">
        <v>1681.53</v>
      </c>
      <c r="N1139">
        <v>3</v>
      </c>
      <c r="O1139">
        <v>0</v>
      </c>
      <c r="P1139" t="s">
        <v>33</v>
      </c>
      <c r="Q1139" t="s">
        <v>47</v>
      </c>
      <c r="R1139" t="s">
        <v>26</v>
      </c>
      <c r="S1139" s="2">
        <f t="shared" si="17"/>
        <v>299312.33999999997</v>
      </c>
    </row>
    <row r="1140" spans="1:19" x14ac:dyDescent="0.3">
      <c r="A1140" t="s">
        <v>1201</v>
      </c>
      <c r="B1140" s="1">
        <v>46362</v>
      </c>
      <c r="C1140" t="s">
        <v>45</v>
      </c>
      <c r="D1140" t="s">
        <v>46</v>
      </c>
      <c r="E1140" t="s">
        <v>30</v>
      </c>
      <c r="F1140" t="s">
        <v>22</v>
      </c>
      <c r="G1140" t="s">
        <v>23</v>
      </c>
      <c r="H1140">
        <v>141</v>
      </c>
      <c r="I1140">
        <v>99</v>
      </c>
      <c r="J1140">
        <v>104</v>
      </c>
      <c r="K1140">
        <v>136</v>
      </c>
      <c r="L1140">
        <v>49</v>
      </c>
      <c r="M1140" s="2">
        <v>751.78</v>
      </c>
      <c r="N1140">
        <v>2</v>
      </c>
      <c r="O1140">
        <v>0</v>
      </c>
      <c r="P1140" t="s">
        <v>33</v>
      </c>
      <c r="Q1140" t="s">
        <v>47</v>
      </c>
      <c r="R1140" t="s">
        <v>43</v>
      </c>
      <c r="S1140" s="2">
        <f t="shared" si="17"/>
        <v>102242.08</v>
      </c>
    </row>
    <row r="1141" spans="1:19" x14ac:dyDescent="0.3">
      <c r="A1141" t="s">
        <v>1202</v>
      </c>
      <c r="B1141" s="1">
        <v>46173</v>
      </c>
      <c r="C1141" t="s">
        <v>49</v>
      </c>
      <c r="D1141" t="s">
        <v>50</v>
      </c>
      <c r="E1141" t="s">
        <v>42</v>
      </c>
      <c r="F1141" t="s">
        <v>37</v>
      </c>
      <c r="G1141" t="s">
        <v>38</v>
      </c>
      <c r="H1141">
        <v>176</v>
      </c>
      <c r="I1141">
        <v>65</v>
      </c>
      <c r="J1141">
        <v>65</v>
      </c>
      <c r="K1141">
        <v>176</v>
      </c>
      <c r="L1141">
        <v>53</v>
      </c>
      <c r="M1141" s="2">
        <v>1409.53</v>
      </c>
      <c r="N1141">
        <v>2</v>
      </c>
      <c r="O1141">
        <v>0</v>
      </c>
      <c r="P1141" t="s">
        <v>33</v>
      </c>
      <c r="Q1141" t="s">
        <v>47</v>
      </c>
      <c r="R1141" t="s">
        <v>59</v>
      </c>
      <c r="S1141" s="2">
        <f t="shared" si="17"/>
        <v>248077.28</v>
      </c>
    </row>
    <row r="1142" spans="1:19" x14ac:dyDescent="0.3">
      <c r="A1142" t="s">
        <v>1203</v>
      </c>
      <c r="B1142" s="1">
        <v>46137</v>
      </c>
      <c r="C1142" t="s">
        <v>77</v>
      </c>
      <c r="D1142" t="s">
        <v>53</v>
      </c>
      <c r="E1142" t="s">
        <v>21</v>
      </c>
      <c r="F1142" t="s">
        <v>22</v>
      </c>
      <c r="G1142" t="s">
        <v>23</v>
      </c>
      <c r="H1142">
        <v>153</v>
      </c>
      <c r="I1142">
        <v>125</v>
      </c>
      <c r="J1142">
        <v>20</v>
      </c>
      <c r="K1142">
        <v>258</v>
      </c>
      <c r="L1142">
        <v>60</v>
      </c>
      <c r="M1142" s="2">
        <v>504.8</v>
      </c>
      <c r="N1142">
        <v>7</v>
      </c>
      <c r="O1142">
        <v>0</v>
      </c>
      <c r="P1142" t="s">
        <v>33</v>
      </c>
      <c r="Q1142" t="s">
        <v>47</v>
      </c>
      <c r="R1142" t="s">
        <v>26</v>
      </c>
      <c r="S1142" s="2">
        <f t="shared" si="17"/>
        <v>130238.40000000001</v>
      </c>
    </row>
    <row r="1143" spans="1:19" x14ac:dyDescent="0.3">
      <c r="A1143" t="s">
        <v>1204</v>
      </c>
      <c r="B1143" s="1">
        <v>46270</v>
      </c>
      <c r="C1143" t="s">
        <v>28</v>
      </c>
      <c r="D1143" t="s">
        <v>29</v>
      </c>
      <c r="E1143" t="s">
        <v>42</v>
      </c>
      <c r="F1143" t="s">
        <v>1582</v>
      </c>
      <c r="G1143" t="s">
        <v>1583</v>
      </c>
      <c r="H1143">
        <v>205</v>
      </c>
      <c r="I1143">
        <v>123</v>
      </c>
      <c r="J1143">
        <v>42</v>
      </c>
      <c r="K1143">
        <v>286</v>
      </c>
      <c r="L1143">
        <v>54</v>
      </c>
      <c r="M1143" s="2">
        <v>1173.23</v>
      </c>
      <c r="N1143">
        <v>3</v>
      </c>
      <c r="O1143">
        <v>0</v>
      </c>
      <c r="P1143" t="s">
        <v>33</v>
      </c>
      <c r="Q1143" t="s">
        <v>47</v>
      </c>
      <c r="R1143" t="s">
        <v>43</v>
      </c>
      <c r="S1143" s="2">
        <f t="shared" si="17"/>
        <v>335543.78000000003</v>
      </c>
    </row>
    <row r="1144" spans="1:19" x14ac:dyDescent="0.3">
      <c r="A1144" t="s">
        <v>1205</v>
      </c>
      <c r="B1144" s="1">
        <v>46156</v>
      </c>
      <c r="C1144" t="s">
        <v>55</v>
      </c>
      <c r="D1144" t="s">
        <v>50</v>
      </c>
      <c r="E1144" t="s">
        <v>30</v>
      </c>
      <c r="F1144" t="s">
        <v>22</v>
      </c>
      <c r="G1144" t="s">
        <v>23</v>
      </c>
      <c r="H1144">
        <v>145</v>
      </c>
      <c r="I1144">
        <v>43</v>
      </c>
      <c r="J1144">
        <v>81</v>
      </c>
      <c r="K1144">
        <v>107</v>
      </c>
      <c r="L1144">
        <v>82</v>
      </c>
      <c r="M1144" s="2">
        <v>979.92</v>
      </c>
      <c r="N1144">
        <v>6</v>
      </c>
      <c r="O1144">
        <v>0</v>
      </c>
      <c r="P1144" t="s">
        <v>33</v>
      </c>
      <c r="Q1144" t="s">
        <v>34</v>
      </c>
      <c r="R1144" t="s">
        <v>81</v>
      </c>
      <c r="S1144" s="2">
        <f t="shared" si="17"/>
        <v>104851.44</v>
      </c>
    </row>
    <row r="1145" spans="1:19" x14ac:dyDescent="0.3">
      <c r="A1145" t="s">
        <v>1206</v>
      </c>
      <c r="B1145" s="1">
        <v>46382</v>
      </c>
      <c r="C1145" t="s">
        <v>45</v>
      </c>
      <c r="D1145" t="s">
        <v>46</v>
      </c>
      <c r="E1145" t="s">
        <v>58</v>
      </c>
      <c r="F1145" t="s">
        <v>37</v>
      </c>
      <c r="G1145" t="s">
        <v>38</v>
      </c>
      <c r="H1145">
        <v>133</v>
      </c>
      <c r="I1145">
        <v>50</v>
      </c>
      <c r="J1145">
        <v>55</v>
      </c>
      <c r="K1145">
        <v>128</v>
      </c>
      <c r="L1145">
        <v>79</v>
      </c>
      <c r="M1145" s="2">
        <v>777.13</v>
      </c>
      <c r="N1145">
        <v>7</v>
      </c>
      <c r="O1145">
        <v>0</v>
      </c>
      <c r="P1145" t="s">
        <v>24</v>
      </c>
      <c r="Q1145" t="s">
        <v>34</v>
      </c>
      <c r="R1145" t="s">
        <v>43</v>
      </c>
      <c r="S1145" s="2">
        <f t="shared" si="17"/>
        <v>99472.639999999999</v>
      </c>
    </row>
    <row r="1146" spans="1:19" x14ac:dyDescent="0.3">
      <c r="A1146" t="s">
        <v>1207</v>
      </c>
      <c r="B1146" s="1">
        <v>46353</v>
      </c>
      <c r="C1146" t="s">
        <v>28</v>
      </c>
      <c r="D1146" t="s">
        <v>29</v>
      </c>
      <c r="E1146" t="s">
        <v>75</v>
      </c>
      <c r="F1146" t="s">
        <v>1582</v>
      </c>
      <c r="G1146" t="s">
        <v>1583</v>
      </c>
      <c r="H1146">
        <v>177</v>
      </c>
      <c r="I1146">
        <v>60</v>
      </c>
      <c r="J1146">
        <v>28</v>
      </c>
      <c r="K1146">
        <v>209</v>
      </c>
      <c r="L1146">
        <v>96</v>
      </c>
      <c r="M1146" s="2">
        <v>1384.84</v>
      </c>
      <c r="N1146">
        <v>3</v>
      </c>
      <c r="O1146">
        <v>0</v>
      </c>
      <c r="P1146" t="s">
        <v>33</v>
      </c>
      <c r="Q1146" t="s">
        <v>34</v>
      </c>
      <c r="R1146" t="s">
        <v>59</v>
      </c>
      <c r="S1146" s="2">
        <f t="shared" si="17"/>
        <v>289431.56</v>
      </c>
    </row>
    <row r="1147" spans="1:19" x14ac:dyDescent="0.3">
      <c r="A1147" t="s">
        <v>1208</v>
      </c>
      <c r="B1147" s="1">
        <v>46110</v>
      </c>
      <c r="C1147" t="s">
        <v>87</v>
      </c>
      <c r="D1147" t="s">
        <v>53</v>
      </c>
      <c r="E1147" t="s">
        <v>58</v>
      </c>
      <c r="F1147" t="s">
        <v>37</v>
      </c>
      <c r="G1147" t="s">
        <v>38</v>
      </c>
      <c r="H1147">
        <v>187</v>
      </c>
      <c r="I1147">
        <v>127</v>
      </c>
      <c r="J1147">
        <v>21</v>
      </c>
      <c r="K1147">
        <v>293</v>
      </c>
      <c r="L1147">
        <v>74</v>
      </c>
      <c r="M1147" s="2">
        <v>460.69</v>
      </c>
      <c r="N1147">
        <v>5</v>
      </c>
      <c r="O1147">
        <v>0</v>
      </c>
      <c r="P1147" t="s">
        <v>33</v>
      </c>
      <c r="Q1147" t="s">
        <v>47</v>
      </c>
      <c r="R1147" t="s">
        <v>26</v>
      </c>
      <c r="S1147" s="2">
        <f t="shared" si="17"/>
        <v>134982.17000000001</v>
      </c>
    </row>
    <row r="1148" spans="1:19" x14ac:dyDescent="0.3">
      <c r="A1148" t="s">
        <v>1209</v>
      </c>
      <c r="B1148" s="1">
        <v>46314</v>
      </c>
      <c r="C1148" t="s">
        <v>40</v>
      </c>
      <c r="D1148" t="s">
        <v>20</v>
      </c>
      <c r="E1148" t="s">
        <v>30</v>
      </c>
      <c r="F1148" t="s">
        <v>31</v>
      </c>
      <c r="G1148" t="s">
        <v>32</v>
      </c>
      <c r="H1148">
        <v>128</v>
      </c>
      <c r="I1148">
        <v>81</v>
      </c>
      <c r="J1148">
        <v>105</v>
      </c>
      <c r="K1148">
        <v>104</v>
      </c>
      <c r="L1148">
        <v>54</v>
      </c>
      <c r="M1148" s="2">
        <v>821.48</v>
      </c>
      <c r="N1148">
        <v>4</v>
      </c>
      <c r="O1148">
        <v>0</v>
      </c>
      <c r="P1148" t="s">
        <v>24</v>
      </c>
      <c r="Q1148" t="s">
        <v>34</v>
      </c>
      <c r="R1148" t="s">
        <v>59</v>
      </c>
      <c r="S1148" s="2">
        <f t="shared" si="17"/>
        <v>85433.919999999998</v>
      </c>
    </row>
    <row r="1149" spans="1:19" x14ac:dyDescent="0.3">
      <c r="A1149" t="s">
        <v>1210</v>
      </c>
      <c r="B1149" s="1">
        <v>46178</v>
      </c>
      <c r="C1149" t="s">
        <v>109</v>
      </c>
      <c r="D1149" t="s">
        <v>46</v>
      </c>
      <c r="E1149" t="s">
        <v>30</v>
      </c>
      <c r="F1149" t="s">
        <v>1582</v>
      </c>
      <c r="G1149" t="s">
        <v>1583</v>
      </c>
      <c r="H1149">
        <v>150</v>
      </c>
      <c r="I1149">
        <v>110</v>
      </c>
      <c r="J1149">
        <v>32</v>
      </c>
      <c r="K1149">
        <v>228</v>
      </c>
      <c r="L1149">
        <v>70</v>
      </c>
      <c r="M1149" s="2">
        <v>3017.73</v>
      </c>
      <c r="N1149">
        <v>5</v>
      </c>
      <c r="O1149">
        <v>0</v>
      </c>
      <c r="P1149" t="s">
        <v>33</v>
      </c>
      <c r="Q1149" t="s">
        <v>47</v>
      </c>
      <c r="R1149" t="s">
        <v>59</v>
      </c>
      <c r="S1149" s="2">
        <f t="shared" si="17"/>
        <v>688042.44000000006</v>
      </c>
    </row>
    <row r="1150" spans="1:19" x14ac:dyDescent="0.3">
      <c r="A1150" t="s">
        <v>1211</v>
      </c>
      <c r="B1150" s="1">
        <v>46387</v>
      </c>
      <c r="C1150" t="s">
        <v>80</v>
      </c>
      <c r="D1150" t="s">
        <v>46</v>
      </c>
      <c r="E1150" t="s">
        <v>30</v>
      </c>
      <c r="F1150" t="s">
        <v>1582</v>
      </c>
      <c r="G1150" t="s">
        <v>1583</v>
      </c>
      <c r="H1150">
        <v>76</v>
      </c>
      <c r="I1150">
        <v>118</v>
      </c>
      <c r="J1150">
        <v>84</v>
      </c>
      <c r="K1150">
        <v>110</v>
      </c>
      <c r="L1150">
        <v>88</v>
      </c>
      <c r="M1150" s="2">
        <v>1119.1099999999999</v>
      </c>
      <c r="N1150">
        <v>8</v>
      </c>
      <c r="O1150">
        <v>0</v>
      </c>
      <c r="P1150" t="s">
        <v>24</v>
      </c>
      <c r="Q1150" t="s">
        <v>34</v>
      </c>
      <c r="R1150" t="s">
        <v>26</v>
      </c>
      <c r="S1150" s="2">
        <f t="shared" si="17"/>
        <v>123102.09999999999</v>
      </c>
    </row>
    <row r="1151" spans="1:19" x14ac:dyDescent="0.3">
      <c r="A1151" t="s">
        <v>1212</v>
      </c>
      <c r="B1151" s="1">
        <v>46114</v>
      </c>
      <c r="C1151" t="s">
        <v>109</v>
      </c>
      <c r="D1151" t="s">
        <v>46</v>
      </c>
      <c r="E1151" t="s">
        <v>75</v>
      </c>
      <c r="F1151" t="s">
        <v>31</v>
      </c>
      <c r="G1151" t="s">
        <v>32</v>
      </c>
      <c r="H1151">
        <v>175</v>
      </c>
      <c r="I1151">
        <v>72</v>
      </c>
      <c r="J1151">
        <v>108</v>
      </c>
      <c r="K1151">
        <v>139</v>
      </c>
      <c r="L1151">
        <v>55</v>
      </c>
      <c r="M1151" s="2">
        <v>3348.84</v>
      </c>
      <c r="N1151">
        <v>3</v>
      </c>
      <c r="O1151">
        <v>0</v>
      </c>
      <c r="P1151" t="s">
        <v>33</v>
      </c>
      <c r="Q1151" t="s">
        <v>47</v>
      </c>
      <c r="R1151" t="s">
        <v>59</v>
      </c>
      <c r="S1151" s="2">
        <f t="shared" si="17"/>
        <v>465488.76</v>
      </c>
    </row>
    <row r="1152" spans="1:19" x14ac:dyDescent="0.3">
      <c r="A1152" t="s">
        <v>1213</v>
      </c>
      <c r="B1152" s="1">
        <v>46379</v>
      </c>
      <c r="C1152" t="s">
        <v>62</v>
      </c>
      <c r="D1152" t="s">
        <v>29</v>
      </c>
      <c r="E1152" t="s">
        <v>58</v>
      </c>
      <c r="F1152" t="s">
        <v>31</v>
      </c>
      <c r="G1152" t="s">
        <v>32</v>
      </c>
      <c r="H1152">
        <v>124</v>
      </c>
      <c r="I1152">
        <v>31</v>
      </c>
      <c r="J1152">
        <v>27</v>
      </c>
      <c r="K1152">
        <v>128</v>
      </c>
      <c r="L1152">
        <v>70</v>
      </c>
      <c r="M1152" s="2">
        <v>710.36</v>
      </c>
      <c r="N1152">
        <v>7</v>
      </c>
      <c r="O1152">
        <v>0</v>
      </c>
      <c r="P1152" t="s">
        <v>33</v>
      </c>
      <c r="Q1152" t="s">
        <v>34</v>
      </c>
      <c r="R1152" t="s">
        <v>26</v>
      </c>
      <c r="S1152" s="2">
        <f t="shared" si="17"/>
        <v>90926.080000000002</v>
      </c>
    </row>
    <row r="1153" spans="1:19" x14ac:dyDescent="0.3">
      <c r="A1153" t="s">
        <v>1214</v>
      </c>
      <c r="B1153" s="1">
        <v>46228</v>
      </c>
      <c r="C1153" t="s">
        <v>72</v>
      </c>
      <c r="D1153" t="s">
        <v>50</v>
      </c>
      <c r="E1153" t="s">
        <v>21</v>
      </c>
      <c r="F1153" t="s">
        <v>22</v>
      </c>
      <c r="G1153" t="s">
        <v>23</v>
      </c>
      <c r="H1153">
        <v>64</v>
      </c>
      <c r="I1153">
        <v>59</v>
      </c>
      <c r="J1153">
        <v>60</v>
      </c>
      <c r="K1153">
        <v>63</v>
      </c>
      <c r="L1153">
        <v>56</v>
      </c>
      <c r="M1153" s="2">
        <v>2291.1999999999998</v>
      </c>
      <c r="N1153">
        <v>4</v>
      </c>
      <c r="O1153">
        <v>0</v>
      </c>
      <c r="P1153" t="s">
        <v>33</v>
      </c>
      <c r="Q1153" t="s">
        <v>34</v>
      </c>
      <c r="R1153" t="s">
        <v>26</v>
      </c>
      <c r="S1153" s="2">
        <f t="shared" si="17"/>
        <v>144345.59999999998</v>
      </c>
    </row>
    <row r="1154" spans="1:19" x14ac:dyDescent="0.3">
      <c r="A1154" t="s">
        <v>1215</v>
      </c>
      <c r="B1154" s="1">
        <v>46023</v>
      </c>
      <c r="C1154" t="s">
        <v>28</v>
      </c>
      <c r="D1154" t="s">
        <v>29</v>
      </c>
      <c r="E1154" t="s">
        <v>21</v>
      </c>
      <c r="F1154" t="s">
        <v>31</v>
      </c>
      <c r="G1154" t="s">
        <v>32</v>
      </c>
      <c r="H1154">
        <v>126</v>
      </c>
      <c r="I1154">
        <v>77</v>
      </c>
      <c r="J1154">
        <v>27</v>
      </c>
      <c r="K1154">
        <v>176</v>
      </c>
      <c r="L1154">
        <v>78</v>
      </c>
      <c r="M1154" s="2">
        <v>1237.02</v>
      </c>
      <c r="N1154">
        <v>8</v>
      </c>
      <c r="O1154">
        <v>2</v>
      </c>
      <c r="P1154" t="s">
        <v>33</v>
      </c>
      <c r="Q1154" t="s">
        <v>47</v>
      </c>
      <c r="R1154" t="s">
        <v>26</v>
      </c>
      <c r="S1154" s="2">
        <f t="shared" ref="S1154:S1217" si="18">K1154*M1154</f>
        <v>217715.52</v>
      </c>
    </row>
    <row r="1155" spans="1:19" x14ac:dyDescent="0.3">
      <c r="A1155" t="s">
        <v>1216</v>
      </c>
      <c r="B1155" s="1">
        <v>46111</v>
      </c>
      <c r="C1155" t="s">
        <v>77</v>
      </c>
      <c r="D1155" t="s">
        <v>53</v>
      </c>
      <c r="E1155" t="s">
        <v>75</v>
      </c>
      <c r="F1155" t="s">
        <v>37</v>
      </c>
      <c r="G1155" t="s">
        <v>38</v>
      </c>
      <c r="H1155">
        <v>138</v>
      </c>
      <c r="I1155">
        <v>59</v>
      </c>
      <c r="J1155">
        <v>18</v>
      </c>
      <c r="K1155">
        <v>179</v>
      </c>
      <c r="L1155">
        <v>96</v>
      </c>
      <c r="M1155" s="2">
        <v>540.51</v>
      </c>
      <c r="N1155">
        <v>6</v>
      </c>
      <c r="O1155">
        <v>0</v>
      </c>
      <c r="P1155" t="s">
        <v>33</v>
      </c>
      <c r="Q1155" t="s">
        <v>34</v>
      </c>
      <c r="R1155" t="s">
        <v>26</v>
      </c>
      <c r="S1155" s="2">
        <f t="shared" si="18"/>
        <v>96751.29</v>
      </c>
    </row>
    <row r="1156" spans="1:19" x14ac:dyDescent="0.3">
      <c r="A1156" t="s">
        <v>1217</v>
      </c>
      <c r="B1156" s="1">
        <v>46113</v>
      </c>
      <c r="C1156" t="s">
        <v>36</v>
      </c>
      <c r="D1156" t="s">
        <v>29</v>
      </c>
      <c r="E1156" t="s">
        <v>42</v>
      </c>
      <c r="F1156" t="s">
        <v>22</v>
      </c>
      <c r="G1156" t="s">
        <v>23</v>
      </c>
      <c r="H1156">
        <v>128</v>
      </c>
      <c r="I1156">
        <v>32</v>
      </c>
      <c r="J1156">
        <v>102</v>
      </c>
      <c r="K1156">
        <v>58</v>
      </c>
      <c r="L1156">
        <v>54</v>
      </c>
      <c r="M1156" s="2">
        <v>2447.86</v>
      </c>
      <c r="N1156">
        <v>6</v>
      </c>
      <c r="O1156">
        <v>0</v>
      </c>
      <c r="P1156" t="s">
        <v>33</v>
      </c>
      <c r="Q1156" t="s">
        <v>34</v>
      </c>
      <c r="R1156" t="s">
        <v>26</v>
      </c>
      <c r="S1156" s="2">
        <f t="shared" si="18"/>
        <v>141975.88</v>
      </c>
    </row>
    <row r="1157" spans="1:19" x14ac:dyDescent="0.3">
      <c r="A1157" t="s">
        <v>1218</v>
      </c>
      <c r="B1157" s="1">
        <v>46078</v>
      </c>
      <c r="C1157" t="s">
        <v>87</v>
      </c>
      <c r="D1157" t="s">
        <v>53</v>
      </c>
      <c r="E1157" t="s">
        <v>58</v>
      </c>
      <c r="F1157" t="s">
        <v>31</v>
      </c>
      <c r="G1157" t="s">
        <v>32</v>
      </c>
      <c r="H1157">
        <v>199</v>
      </c>
      <c r="I1157">
        <v>24</v>
      </c>
      <c r="J1157">
        <v>83</v>
      </c>
      <c r="K1157">
        <v>140</v>
      </c>
      <c r="L1157">
        <v>95</v>
      </c>
      <c r="M1157" s="2">
        <v>489.66</v>
      </c>
      <c r="N1157">
        <v>8</v>
      </c>
      <c r="O1157">
        <v>0</v>
      </c>
      <c r="P1157" t="s">
        <v>33</v>
      </c>
      <c r="Q1157" t="s">
        <v>34</v>
      </c>
      <c r="R1157" t="s">
        <v>81</v>
      </c>
      <c r="S1157" s="2">
        <f t="shared" si="18"/>
        <v>68552.400000000009</v>
      </c>
    </row>
    <row r="1158" spans="1:19" x14ac:dyDescent="0.3">
      <c r="A1158" t="s">
        <v>1219</v>
      </c>
      <c r="B1158" s="1">
        <v>46360</v>
      </c>
      <c r="C1158" t="s">
        <v>80</v>
      </c>
      <c r="D1158" t="s">
        <v>46</v>
      </c>
      <c r="E1158" t="s">
        <v>30</v>
      </c>
      <c r="F1158" t="s">
        <v>22</v>
      </c>
      <c r="G1158" t="s">
        <v>23</v>
      </c>
      <c r="H1158">
        <v>65</v>
      </c>
      <c r="I1158">
        <v>83</v>
      </c>
      <c r="J1158">
        <v>39</v>
      </c>
      <c r="K1158">
        <v>109</v>
      </c>
      <c r="L1158">
        <v>83</v>
      </c>
      <c r="M1158" s="2">
        <v>1024.1600000000001</v>
      </c>
      <c r="N1158">
        <v>6</v>
      </c>
      <c r="O1158">
        <v>0</v>
      </c>
      <c r="P1158" t="s">
        <v>33</v>
      </c>
      <c r="Q1158" t="s">
        <v>34</v>
      </c>
      <c r="R1158" t="s">
        <v>81</v>
      </c>
      <c r="S1158" s="2">
        <f t="shared" si="18"/>
        <v>111633.44</v>
      </c>
    </row>
    <row r="1159" spans="1:19" x14ac:dyDescent="0.3">
      <c r="A1159" t="s">
        <v>1220</v>
      </c>
      <c r="B1159" s="1">
        <v>46119</v>
      </c>
      <c r="C1159" t="s">
        <v>68</v>
      </c>
      <c r="D1159" t="s">
        <v>53</v>
      </c>
      <c r="E1159" t="s">
        <v>58</v>
      </c>
      <c r="F1159" t="s">
        <v>31</v>
      </c>
      <c r="G1159" t="s">
        <v>32</v>
      </c>
      <c r="H1159">
        <v>211</v>
      </c>
      <c r="I1159">
        <v>90</v>
      </c>
      <c r="J1159">
        <v>23</v>
      </c>
      <c r="K1159">
        <v>278</v>
      </c>
      <c r="L1159">
        <v>66</v>
      </c>
      <c r="M1159" s="2">
        <v>569.54999999999995</v>
      </c>
      <c r="N1159">
        <v>3</v>
      </c>
      <c r="O1159">
        <v>0</v>
      </c>
      <c r="P1159" t="s">
        <v>33</v>
      </c>
      <c r="Q1159" t="s">
        <v>47</v>
      </c>
      <c r="R1159" t="s">
        <v>43</v>
      </c>
      <c r="S1159" s="2">
        <f t="shared" si="18"/>
        <v>158334.9</v>
      </c>
    </row>
    <row r="1160" spans="1:19" x14ac:dyDescent="0.3">
      <c r="A1160" t="s">
        <v>1221</v>
      </c>
      <c r="B1160" s="1">
        <v>46362</v>
      </c>
      <c r="C1160" t="s">
        <v>57</v>
      </c>
      <c r="D1160" t="s">
        <v>50</v>
      </c>
      <c r="E1160" t="s">
        <v>21</v>
      </c>
      <c r="F1160" t="s">
        <v>31</v>
      </c>
      <c r="G1160" t="s">
        <v>32</v>
      </c>
      <c r="H1160">
        <v>162</v>
      </c>
      <c r="I1160">
        <v>123</v>
      </c>
      <c r="J1160">
        <v>99</v>
      </c>
      <c r="K1160">
        <v>186</v>
      </c>
      <c r="L1160">
        <v>90</v>
      </c>
      <c r="M1160" s="2">
        <v>2942.58</v>
      </c>
      <c r="N1160">
        <v>6</v>
      </c>
      <c r="O1160">
        <v>0</v>
      </c>
      <c r="P1160" t="s">
        <v>24</v>
      </c>
      <c r="Q1160" t="s">
        <v>34</v>
      </c>
      <c r="R1160" t="s">
        <v>26</v>
      </c>
      <c r="S1160" s="2">
        <f t="shared" si="18"/>
        <v>547319.88</v>
      </c>
    </row>
    <row r="1161" spans="1:19" x14ac:dyDescent="0.3">
      <c r="A1161" t="s">
        <v>1222</v>
      </c>
      <c r="B1161" s="1">
        <v>46245</v>
      </c>
      <c r="C1161" t="s">
        <v>146</v>
      </c>
      <c r="D1161" t="s">
        <v>46</v>
      </c>
      <c r="E1161" t="s">
        <v>30</v>
      </c>
      <c r="F1161" t="s">
        <v>22</v>
      </c>
      <c r="G1161" t="s">
        <v>23</v>
      </c>
      <c r="H1161">
        <v>112</v>
      </c>
      <c r="I1161">
        <v>61</v>
      </c>
      <c r="J1161">
        <v>32</v>
      </c>
      <c r="K1161">
        <v>141</v>
      </c>
      <c r="L1161">
        <v>73</v>
      </c>
      <c r="M1161" s="2">
        <v>1579.06</v>
      </c>
      <c r="N1161">
        <v>4</v>
      </c>
      <c r="O1161">
        <v>0</v>
      </c>
      <c r="P1161" t="s">
        <v>33</v>
      </c>
      <c r="Q1161" t="s">
        <v>34</v>
      </c>
      <c r="R1161" t="s">
        <v>26</v>
      </c>
      <c r="S1161" s="2">
        <f t="shared" si="18"/>
        <v>222647.46</v>
      </c>
    </row>
    <row r="1162" spans="1:19" x14ac:dyDescent="0.3">
      <c r="A1162" t="s">
        <v>1223</v>
      </c>
      <c r="B1162" s="1">
        <v>46170</v>
      </c>
      <c r="C1162" t="s">
        <v>57</v>
      </c>
      <c r="D1162" t="s">
        <v>50</v>
      </c>
      <c r="E1162" t="s">
        <v>58</v>
      </c>
      <c r="F1162" t="s">
        <v>31</v>
      </c>
      <c r="G1162" t="s">
        <v>32</v>
      </c>
      <c r="H1162">
        <v>165</v>
      </c>
      <c r="I1162">
        <v>33</v>
      </c>
      <c r="J1162">
        <v>56</v>
      </c>
      <c r="K1162">
        <v>142</v>
      </c>
      <c r="L1162">
        <v>80</v>
      </c>
      <c r="M1162" s="2">
        <v>2791.1</v>
      </c>
      <c r="N1162">
        <v>5</v>
      </c>
      <c r="O1162">
        <v>0</v>
      </c>
      <c r="P1162" t="s">
        <v>33</v>
      </c>
      <c r="Q1162" t="s">
        <v>34</v>
      </c>
      <c r="R1162" t="s">
        <v>81</v>
      </c>
      <c r="S1162" s="2">
        <f t="shared" si="18"/>
        <v>396336.2</v>
      </c>
    </row>
    <row r="1163" spans="1:19" x14ac:dyDescent="0.3">
      <c r="A1163" t="s">
        <v>1224</v>
      </c>
      <c r="B1163" s="1">
        <v>46037</v>
      </c>
      <c r="C1163" t="s">
        <v>19</v>
      </c>
      <c r="D1163" t="s">
        <v>20</v>
      </c>
      <c r="E1163" t="s">
        <v>42</v>
      </c>
      <c r="F1163" t="s">
        <v>31</v>
      </c>
      <c r="G1163" t="s">
        <v>32</v>
      </c>
      <c r="H1163">
        <v>118</v>
      </c>
      <c r="I1163">
        <v>95</v>
      </c>
      <c r="J1163">
        <v>110</v>
      </c>
      <c r="K1163">
        <v>103</v>
      </c>
      <c r="L1163">
        <v>81</v>
      </c>
      <c r="M1163" s="2">
        <v>1815.4</v>
      </c>
      <c r="N1163">
        <v>7</v>
      </c>
      <c r="O1163">
        <v>0</v>
      </c>
      <c r="P1163" t="s">
        <v>33</v>
      </c>
      <c r="Q1163" t="s">
        <v>34</v>
      </c>
      <c r="R1163" t="s">
        <v>26</v>
      </c>
      <c r="S1163" s="2">
        <f t="shared" si="18"/>
        <v>186986.2</v>
      </c>
    </row>
    <row r="1164" spans="1:19" x14ac:dyDescent="0.3">
      <c r="A1164" t="s">
        <v>1225</v>
      </c>
      <c r="B1164" s="1">
        <v>46114</v>
      </c>
      <c r="C1164" t="s">
        <v>89</v>
      </c>
      <c r="D1164" t="s">
        <v>20</v>
      </c>
      <c r="E1164" t="s">
        <v>58</v>
      </c>
      <c r="F1164" t="s">
        <v>22</v>
      </c>
      <c r="G1164" t="s">
        <v>23</v>
      </c>
      <c r="H1164">
        <v>130</v>
      </c>
      <c r="I1164">
        <v>88</v>
      </c>
      <c r="J1164">
        <v>21</v>
      </c>
      <c r="K1164">
        <v>197</v>
      </c>
      <c r="L1164">
        <v>97</v>
      </c>
      <c r="M1164" s="2">
        <v>1278.0899999999999</v>
      </c>
      <c r="N1164">
        <v>8</v>
      </c>
      <c r="O1164">
        <v>0</v>
      </c>
      <c r="P1164" t="s">
        <v>33</v>
      </c>
      <c r="Q1164" t="s">
        <v>34</v>
      </c>
      <c r="R1164" t="s">
        <v>26</v>
      </c>
      <c r="S1164" s="2">
        <f t="shared" si="18"/>
        <v>251783.72999999998</v>
      </c>
    </row>
    <row r="1165" spans="1:19" x14ac:dyDescent="0.3">
      <c r="A1165" t="s">
        <v>1226</v>
      </c>
      <c r="B1165" s="1">
        <v>46315</v>
      </c>
      <c r="C1165" t="s">
        <v>52</v>
      </c>
      <c r="D1165" t="s">
        <v>53</v>
      </c>
      <c r="E1165" t="s">
        <v>75</v>
      </c>
      <c r="F1165" t="s">
        <v>22</v>
      </c>
      <c r="G1165" t="s">
        <v>23</v>
      </c>
      <c r="H1165">
        <v>65</v>
      </c>
      <c r="I1165">
        <v>78</v>
      </c>
      <c r="J1165">
        <v>38</v>
      </c>
      <c r="K1165">
        <v>105</v>
      </c>
      <c r="L1165">
        <v>59</v>
      </c>
      <c r="M1165" s="2">
        <v>677.61</v>
      </c>
      <c r="N1165">
        <v>2</v>
      </c>
      <c r="O1165">
        <v>0</v>
      </c>
      <c r="P1165" t="s">
        <v>33</v>
      </c>
      <c r="Q1165" t="s">
        <v>34</v>
      </c>
      <c r="R1165" t="s">
        <v>26</v>
      </c>
      <c r="S1165" s="2">
        <f t="shared" si="18"/>
        <v>71149.05</v>
      </c>
    </row>
    <row r="1166" spans="1:19" x14ac:dyDescent="0.3">
      <c r="A1166" t="s">
        <v>1227</v>
      </c>
      <c r="B1166" s="1">
        <v>46192</v>
      </c>
      <c r="C1166" t="s">
        <v>77</v>
      </c>
      <c r="D1166" t="s">
        <v>53</v>
      </c>
      <c r="E1166" t="s">
        <v>75</v>
      </c>
      <c r="F1166" t="s">
        <v>1582</v>
      </c>
      <c r="G1166" t="s">
        <v>1583</v>
      </c>
      <c r="H1166">
        <v>92</v>
      </c>
      <c r="I1166">
        <v>108</v>
      </c>
      <c r="J1166">
        <v>29</v>
      </c>
      <c r="K1166">
        <v>171</v>
      </c>
      <c r="L1166">
        <v>63</v>
      </c>
      <c r="M1166" s="2">
        <v>450.47</v>
      </c>
      <c r="N1166">
        <v>3</v>
      </c>
      <c r="O1166">
        <v>0</v>
      </c>
      <c r="P1166" t="s">
        <v>33</v>
      </c>
      <c r="Q1166" t="s">
        <v>47</v>
      </c>
      <c r="R1166" t="s">
        <v>43</v>
      </c>
      <c r="S1166" s="2">
        <f t="shared" si="18"/>
        <v>77030.37000000001</v>
      </c>
    </row>
    <row r="1167" spans="1:19" x14ac:dyDescent="0.3">
      <c r="A1167" t="s">
        <v>1228</v>
      </c>
      <c r="B1167" s="1">
        <v>46239</v>
      </c>
      <c r="C1167" t="s">
        <v>36</v>
      </c>
      <c r="D1167" t="s">
        <v>29</v>
      </c>
      <c r="E1167" t="s">
        <v>42</v>
      </c>
      <c r="F1167" t="s">
        <v>37</v>
      </c>
      <c r="G1167" t="s">
        <v>38</v>
      </c>
      <c r="H1167">
        <v>142</v>
      </c>
      <c r="I1167">
        <v>25</v>
      </c>
      <c r="J1167">
        <v>34</v>
      </c>
      <c r="K1167">
        <v>133</v>
      </c>
      <c r="L1167">
        <v>54</v>
      </c>
      <c r="M1167" s="2">
        <v>2447.4</v>
      </c>
      <c r="N1167">
        <v>6</v>
      </c>
      <c r="O1167">
        <v>0</v>
      </c>
      <c r="P1167" t="s">
        <v>33</v>
      </c>
      <c r="Q1167" t="s">
        <v>47</v>
      </c>
      <c r="R1167" t="s">
        <v>43</v>
      </c>
      <c r="S1167" s="2">
        <f t="shared" si="18"/>
        <v>325504.2</v>
      </c>
    </row>
    <row r="1168" spans="1:19" x14ac:dyDescent="0.3">
      <c r="A1168" t="s">
        <v>1229</v>
      </c>
      <c r="B1168" s="1">
        <v>46272</v>
      </c>
      <c r="C1168" t="s">
        <v>52</v>
      </c>
      <c r="D1168" t="s">
        <v>53</v>
      </c>
      <c r="E1168" t="s">
        <v>42</v>
      </c>
      <c r="F1168" t="s">
        <v>37</v>
      </c>
      <c r="G1168" t="s">
        <v>38</v>
      </c>
      <c r="H1168">
        <v>144</v>
      </c>
      <c r="I1168">
        <v>108</v>
      </c>
      <c r="J1168">
        <v>16</v>
      </c>
      <c r="K1168">
        <v>236</v>
      </c>
      <c r="L1168">
        <v>71</v>
      </c>
      <c r="M1168" s="2">
        <v>692.06</v>
      </c>
      <c r="N1168">
        <v>5</v>
      </c>
      <c r="O1168">
        <v>0</v>
      </c>
      <c r="P1168" t="s">
        <v>33</v>
      </c>
      <c r="Q1168" t="s">
        <v>47</v>
      </c>
      <c r="R1168" t="s">
        <v>43</v>
      </c>
      <c r="S1168" s="2">
        <f t="shared" si="18"/>
        <v>163326.15999999997</v>
      </c>
    </row>
    <row r="1169" spans="1:19" x14ac:dyDescent="0.3">
      <c r="A1169" t="s">
        <v>1230</v>
      </c>
      <c r="B1169" s="1">
        <v>46297</v>
      </c>
      <c r="C1169" t="s">
        <v>109</v>
      </c>
      <c r="D1169" t="s">
        <v>46</v>
      </c>
      <c r="E1169" t="s">
        <v>58</v>
      </c>
      <c r="F1169" t="s">
        <v>31</v>
      </c>
      <c r="G1169" t="s">
        <v>32</v>
      </c>
      <c r="H1169">
        <v>218</v>
      </c>
      <c r="I1169">
        <v>118</v>
      </c>
      <c r="J1169">
        <v>72</v>
      </c>
      <c r="K1169">
        <v>264</v>
      </c>
      <c r="L1169">
        <v>53</v>
      </c>
      <c r="M1169" s="2">
        <v>3304.3</v>
      </c>
      <c r="N1169">
        <v>5</v>
      </c>
      <c r="O1169">
        <v>2</v>
      </c>
      <c r="P1169" t="s">
        <v>33</v>
      </c>
      <c r="Q1169" t="s">
        <v>47</v>
      </c>
      <c r="R1169" t="s">
        <v>26</v>
      </c>
      <c r="S1169" s="2">
        <f t="shared" si="18"/>
        <v>872335.20000000007</v>
      </c>
    </row>
    <row r="1170" spans="1:19" x14ac:dyDescent="0.3">
      <c r="A1170" t="s">
        <v>1231</v>
      </c>
      <c r="B1170" s="1">
        <v>46126</v>
      </c>
      <c r="C1170" t="s">
        <v>80</v>
      </c>
      <c r="D1170" t="s">
        <v>46</v>
      </c>
      <c r="E1170" t="s">
        <v>21</v>
      </c>
      <c r="F1170" t="s">
        <v>1582</v>
      </c>
      <c r="G1170" t="s">
        <v>1583</v>
      </c>
      <c r="H1170">
        <v>112</v>
      </c>
      <c r="I1170">
        <v>88</v>
      </c>
      <c r="J1170">
        <v>51</v>
      </c>
      <c r="K1170">
        <v>149</v>
      </c>
      <c r="L1170">
        <v>63</v>
      </c>
      <c r="M1170" s="2">
        <v>1178.21</v>
      </c>
      <c r="N1170">
        <v>4</v>
      </c>
      <c r="O1170">
        <v>0</v>
      </c>
      <c r="P1170" t="s">
        <v>24</v>
      </c>
      <c r="Q1170" t="s">
        <v>47</v>
      </c>
      <c r="R1170" t="s">
        <v>26</v>
      </c>
      <c r="S1170" s="2">
        <f t="shared" si="18"/>
        <v>175553.29</v>
      </c>
    </row>
    <row r="1171" spans="1:19" x14ac:dyDescent="0.3">
      <c r="A1171" t="s">
        <v>1232</v>
      </c>
      <c r="B1171" s="1">
        <v>46065</v>
      </c>
      <c r="C1171" t="s">
        <v>40</v>
      </c>
      <c r="D1171" t="s">
        <v>20</v>
      </c>
      <c r="E1171" t="s">
        <v>42</v>
      </c>
      <c r="F1171" t="s">
        <v>22</v>
      </c>
      <c r="G1171" t="s">
        <v>23</v>
      </c>
      <c r="H1171">
        <v>172</v>
      </c>
      <c r="I1171">
        <v>24</v>
      </c>
      <c r="J1171">
        <v>75</v>
      </c>
      <c r="K1171">
        <v>121</v>
      </c>
      <c r="L1171">
        <v>75</v>
      </c>
      <c r="M1171" s="2">
        <v>829.68</v>
      </c>
      <c r="N1171">
        <v>3</v>
      </c>
      <c r="O1171">
        <v>0</v>
      </c>
      <c r="P1171" t="s">
        <v>24</v>
      </c>
      <c r="Q1171" t="s">
        <v>34</v>
      </c>
      <c r="R1171" t="s">
        <v>26</v>
      </c>
      <c r="S1171" s="2">
        <f t="shared" si="18"/>
        <v>100391.28</v>
      </c>
    </row>
    <row r="1172" spans="1:19" x14ac:dyDescent="0.3">
      <c r="A1172" t="s">
        <v>1233</v>
      </c>
      <c r="B1172" s="1">
        <v>46119</v>
      </c>
      <c r="C1172" t="s">
        <v>98</v>
      </c>
      <c r="D1172" t="s">
        <v>20</v>
      </c>
      <c r="E1172" t="s">
        <v>58</v>
      </c>
      <c r="F1172" t="s">
        <v>37</v>
      </c>
      <c r="G1172" t="s">
        <v>38</v>
      </c>
      <c r="H1172">
        <v>152</v>
      </c>
      <c r="I1172">
        <v>114</v>
      </c>
      <c r="J1172">
        <v>33</v>
      </c>
      <c r="K1172">
        <v>233</v>
      </c>
      <c r="L1172">
        <v>73</v>
      </c>
      <c r="M1172" s="2">
        <v>1427.16</v>
      </c>
      <c r="N1172">
        <v>2</v>
      </c>
      <c r="O1172">
        <v>0</v>
      </c>
      <c r="P1172" t="s">
        <v>33</v>
      </c>
      <c r="Q1172" t="s">
        <v>47</v>
      </c>
      <c r="R1172" t="s">
        <v>26</v>
      </c>
      <c r="S1172" s="2">
        <f t="shared" si="18"/>
        <v>332528.28000000003</v>
      </c>
    </row>
    <row r="1173" spans="1:19" x14ac:dyDescent="0.3">
      <c r="A1173" t="s">
        <v>1234</v>
      </c>
      <c r="B1173" s="1">
        <v>46217</v>
      </c>
      <c r="C1173" t="s">
        <v>83</v>
      </c>
      <c r="D1173" t="s">
        <v>29</v>
      </c>
      <c r="E1173" t="s">
        <v>75</v>
      </c>
      <c r="F1173" t="s">
        <v>31</v>
      </c>
      <c r="G1173" t="s">
        <v>32</v>
      </c>
      <c r="H1173">
        <v>79</v>
      </c>
      <c r="I1173">
        <v>63</v>
      </c>
      <c r="J1173">
        <v>47</v>
      </c>
      <c r="K1173">
        <v>95</v>
      </c>
      <c r="L1173">
        <v>56</v>
      </c>
      <c r="M1173" s="2">
        <v>1552.04</v>
      </c>
      <c r="N1173">
        <v>3</v>
      </c>
      <c r="O1173">
        <v>0</v>
      </c>
      <c r="P1173" t="s">
        <v>33</v>
      </c>
      <c r="Q1173" t="s">
        <v>34</v>
      </c>
      <c r="R1173" t="s">
        <v>26</v>
      </c>
      <c r="S1173" s="2">
        <f t="shared" si="18"/>
        <v>147443.79999999999</v>
      </c>
    </row>
    <row r="1174" spans="1:19" x14ac:dyDescent="0.3">
      <c r="A1174" t="s">
        <v>1235</v>
      </c>
      <c r="B1174" s="1">
        <v>46148</v>
      </c>
      <c r="C1174" t="s">
        <v>83</v>
      </c>
      <c r="D1174" t="s">
        <v>29</v>
      </c>
      <c r="E1174" t="s">
        <v>30</v>
      </c>
      <c r="F1174" t="s">
        <v>31</v>
      </c>
      <c r="G1174" t="s">
        <v>32</v>
      </c>
      <c r="H1174">
        <v>97</v>
      </c>
      <c r="I1174">
        <v>43</v>
      </c>
      <c r="J1174">
        <v>95</v>
      </c>
      <c r="K1174">
        <v>45</v>
      </c>
      <c r="L1174">
        <v>57</v>
      </c>
      <c r="M1174" s="2">
        <v>1547.48</v>
      </c>
      <c r="N1174">
        <v>7</v>
      </c>
      <c r="O1174">
        <v>8</v>
      </c>
      <c r="P1174" t="s">
        <v>33</v>
      </c>
      <c r="Q1174" t="s">
        <v>34</v>
      </c>
      <c r="R1174" t="s">
        <v>26</v>
      </c>
      <c r="S1174" s="2">
        <f t="shared" si="18"/>
        <v>69636.600000000006</v>
      </c>
    </row>
    <row r="1175" spans="1:19" x14ac:dyDescent="0.3">
      <c r="A1175" t="s">
        <v>1236</v>
      </c>
      <c r="B1175" s="1">
        <v>46339</v>
      </c>
      <c r="C1175" t="s">
        <v>52</v>
      </c>
      <c r="D1175" t="s">
        <v>53</v>
      </c>
      <c r="E1175" t="s">
        <v>30</v>
      </c>
      <c r="F1175" t="s">
        <v>22</v>
      </c>
      <c r="G1175" t="s">
        <v>23</v>
      </c>
      <c r="H1175">
        <v>76</v>
      </c>
      <c r="I1175">
        <v>90</v>
      </c>
      <c r="J1175">
        <v>55</v>
      </c>
      <c r="K1175">
        <v>111</v>
      </c>
      <c r="L1175">
        <v>48</v>
      </c>
      <c r="M1175" s="2">
        <v>599.48</v>
      </c>
      <c r="N1175">
        <v>2</v>
      </c>
      <c r="O1175">
        <v>0</v>
      </c>
      <c r="P1175" t="s">
        <v>33</v>
      </c>
      <c r="Q1175" t="s">
        <v>47</v>
      </c>
      <c r="R1175" t="s">
        <v>26</v>
      </c>
      <c r="S1175" s="2">
        <f t="shared" si="18"/>
        <v>66542.28</v>
      </c>
    </row>
    <row r="1176" spans="1:19" x14ac:dyDescent="0.3">
      <c r="A1176" t="s">
        <v>1237</v>
      </c>
      <c r="B1176" s="1">
        <v>46084</v>
      </c>
      <c r="C1176" t="s">
        <v>83</v>
      </c>
      <c r="D1176" t="s">
        <v>29</v>
      </c>
      <c r="E1176" t="s">
        <v>21</v>
      </c>
      <c r="F1176" t="s">
        <v>31</v>
      </c>
      <c r="G1176" t="s">
        <v>32</v>
      </c>
      <c r="H1176">
        <v>76</v>
      </c>
      <c r="I1176">
        <v>33</v>
      </c>
      <c r="J1176">
        <v>102</v>
      </c>
      <c r="K1176">
        <v>7</v>
      </c>
      <c r="L1176">
        <v>59</v>
      </c>
      <c r="M1176" s="2">
        <v>1441.89</v>
      </c>
      <c r="N1176">
        <v>2</v>
      </c>
      <c r="O1176">
        <v>7</v>
      </c>
      <c r="P1176" t="s">
        <v>33</v>
      </c>
      <c r="Q1176" t="s">
        <v>25</v>
      </c>
      <c r="R1176" t="s">
        <v>59</v>
      </c>
      <c r="S1176" s="2">
        <f t="shared" si="18"/>
        <v>10093.230000000001</v>
      </c>
    </row>
    <row r="1177" spans="1:19" x14ac:dyDescent="0.3">
      <c r="A1177" t="s">
        <v>1238</v>
      </c>
      <c r="B1177" s="1">
        <v>46144</v>
      </c>
      <c r="C1177" t="s">
        <v>62</v>
      </c>
      <c r="D1177" t="s">
        <v>29</v>
      </c>
      <c r="E1177" t="s">
        <v>30</v>
      </c>
      <c r="F1177" t="s">
        <v>31</v>
      </c>
      <c r="G1177" t="s">
        <v>32</v>
      </c>
      <c r="H1177">
        <v>45</v>
      </c>
      <c r="I1177">
        <v>103</v>
      </c>
      <c r="J1177">
        <v>75</v>
      </c>
      <c r="K1177">
        <v>73</v>
      </c>
      <c r="L1177">
        <v>81</v>
      </c>
      <c r="M1177" s="2">
        <v>720.27</v>
      </c>
      <c r="N1177">
        <v>4</v>
      </c>
      <c r="O1177">
        <v>7</v>
      </c>
      <c r="P1177" t="s">
        <v>33</v>
      </c>
      <c r="Q1177" t="s">
        <v>34</v>
      </c>
      <c r="R1177" t="s">
        <v>26</v>
      </c>
      <c r="S1177" s="2">
        <f t="shared" si="18"/>
        <v>52579.71</v>
      </c>
    </row>
    <row r="1178" spans="1:19" x14ac:dyDescent="0.3">
      <c r="A1178" t="s">
        <v>1239</v>
      </c>
      <c r="B1178" s="1">
        <v>46112</v>
      </c>
      <c r="C1178" t="s">
        <v>49</v>
      </c>
      <c r="D1178" t="s">
        <v>50</v>
      </c>
      <c r="E1178" t="s">
        <v>21</v>
      </c>
      <c r="F1178" t="s">
        <v>1582</v>
      </c>
      <c r="G1178" t="s">
        <v>1583</v>
      </c>
      <c r="H1178">
        <v>162</v>
      </c>
      <c r="I1178">
        <v>39</v>
      </c>
      <c r="J1178">
        <v>73</v>
      </c>
      <c r="K1178">
        <v>128</v>
      </c>
      <c r="L1178">
        <v>79</v>
      </c>
      <c r="M1178" s="2">
        <v>1398.66</v>
      </c>
      <c r="N1178">
        <v>3</v>
      </c>
      <c r="O1178">
        <v>0</v>
      </c>
      <c r="P1178" t="s">
        <v>24</v>
      </c>
      <c r="Q1178" t="s">
        <v>34</v>
      </c>
      <c r="R1178" t="s">
        <v>26</v>
      </c>
      <c r="S1178" s="2">
        <f t="shared" si="18"/>
        <v>179028.48000000001</v>
      </c>
    </row>
    <row r="1179" spans="1:19" x14ac:dyDescent="0.3">
      <c r="A1179" t="s">
        <v>1240</v>
      </c>
      <c r="B1179" s="1">
        <v>46139</v>
      </c>
      <c r="C1179" t="s">
        <v>49</v>
      </c>
      <c r="D1179" t="s">
        <v>50</v>
      </c>
      <c r="E1179" t="s">
        <v>42</v>
      </c>
      <c r="F1179" t="s">
        <v>37</v>
      </c>
      <c r="G1179" t="s">
        <v>38</v>
      </c>
      <c r="H1179">
        <v>45</v>
      </c>
      <c r="I1179">
        <v>75</v>
      </c>
      <c r="J1179">
        <v>53</v>
      </c>
      <c r="K1179">
        <v>67</v>
      </c>
      <c r="L1179">
        <v>54</v>
      </c>
      <c r="M1179" s="2">
        <v>1181.06</v>
      </c>
      <c r="N1179">
        <v>5</v>
      </c>
      <c r="O1179">
        <v>0</v>
      </c>
      <c r="P1179" t="s">
        <v>33</v>
      </c>
      <c r="Q1179" t="s">
        <v>34</v>
      </c>
      <c r="R1179" t="s">
        <v>26</v>
      </c>
      <c r="S1179" s="2">
        <f t="shared" si="18"/>
        <v>79131.01999999999</v>
      </c>
    </row>
    <row r="1180" spans="1:19" x14ac:dyDescent="0.3">
      <c r="A1180" t="s">
        <v>1241</v>
      </c>
      <c r="B1180" s="1">
        <v>46195</v>
      </c>
      <c r="C1180" t="s">
        <v>72</v>
      </c>
      <c r="D1180" t="s">
        <v>50</v>
      </c>
      <c r="E1180" t="s">
        <v>21</v>
      </c>
      <c r="F1180" t="s">
        <v>22</v>
      </c>
      <c r="G1180" t="s">
        <v>23</v>
      </c>
      <c r="H1180">
        <v>143</v>
      </c>
      <c r="I1180">
        <v>73</v>
      </c>
      <c r="J1180">
        <v>68</v>
      </c>
      <c r="K1180">
        <v>148</v>
      </c>
      <c r="L1180">
        <v>74</v>
      </c>
      <c r="M1180" s="2">
        <v>2302.7199999999998</v>
      </c>
      <c r="N1180">
        <v>5</v>
      </c>
      <c r="O1180">
        <v>0</v>
      </c>
      <c r="P1180" t="s">
        <v>33</v>
      </c>
      <c r="Q1180" t="s">
        <v>34</v>
      </c>
      <c r="R1180" t="s">
        <v>26</v>
      </c>
      <c r="S1180" s="2">
        <f t="shared" si="18"/>
        <v>340802.56</v>
      </c>
    </row>
    <row r="1181" spans="1:19" x14ac:dyDescent="0.3">
      <c r="A1181" t="s">
        <v>1242</v>
      </c>
      <c r="B1181" s="1">
        <v>46303</v>
      </c>
      <c r="C1181" t="s">
        <v>146</v>
      </c>
      <c r="D1181" t="s">
        <v>46</v>
      </c>
      <c r="E1181" t="s">
        <v>42</v>
      </c>
      <c r="F1181" t="s">
        <v>22</v>
      </c>
      <c r="G1181" t="s">
        <v>23</v>
      </c>
      <c r="H1181">
        <v>102</v>
      </c>
      <c r="I1181">
        <v>47</v>
      </c>
      <c r="J1181">
        <v>106</v>
      </c>
      <c r="K1181">
        <v>43</v>
      </c>
      <c r="L1181">
        <v>57</v>
      </c>
      <c r="M1181" s="2">
        <v>1520.52</v>
      </c>
      <c r="N1181">
        <v>8</v>
      </c>
      <c r="O1181">
        <v>6</v>
      </c>
      <c r="P1181" t="s">
        <v>33</v>
      </c>
      <c r="Q1181" t="s">
        <v>34</v>
      </c>
      <c r="R1181" t="s">
        <v>43</v>
      </c>
      <c r="S1181" s="2">
        <f t="shared" si="18"/>
        <v>65382.36</v>
      </c>
    </row>
    <row r="1182" spans="1:19" x14ac:dyDescent="0.3">
      <c r="A1182" t="s">
        <v>1243</v>
      </c>
      <c r="B1182" s="1">
        <v>46342</v>
      </c>
      <c r="C1182" t="s">
        <v>49</v>
      </c>
      <c r="D1182" t="s">
        <v>50</v>
      </c>
      <c r="E1182" t="s">
        <v>21</v>
      </c>
      <c r="F1182" t="s">
        <v>22</v>
      </c>
      <c r="G1182" t="s">
        <v>23</v>
      </c>
      <c r="H1182">
        <v>140</v>
      </c>
      <c r="I1182">
        <v>38</v>
      </c>
      <c r="J1182">
        <v>75</v>
      </c>
      <c r="K1182">
        <v>103</v>
      </c>
      <c r="L1182">
        <v>51</v>
      </c>
      <c r="M1182" s="2">
        <v>1311.14</v>
      </c>
      <c r="N1182">
        <v>5</v>
      </c>
      <c r="O1182">
        <v>0</v>
      </c>
      <c r="P1182" t="s">
        <v>33</v>
      </c>
      <c r="Q1182" t="s">
        <v>34</v>
      </c>
      <c r="R1182" t="s">
        <v>43</v>
      </c>
      <c r="S1182" s="2">
        <f t="shared" si="18"/>
        <v>135047.42000000001</v>
      </c>
    </row>
    <row r="1183" spans="1:19" x14ac:dyDescent="0.3">
      <c r="A1183" t="s">
        <v>1244</v>
      </c>
      <c r="B1183" s="1">
        <v>46035</v>
      </c>
      <c r="C1183" t="s">
        <v>57</v>
      </c>
      <c r="D1183" t="s">
        <v>50</v>
      </c>
      <c r="E1183" t="s">
        <v>42</v>
      </c>
      <c r="F1183" t="s">
        <v>22</v>
      </c>
      <c r="G1183" t="s">
        <v>23</v>
      </c>
      <c r="H1183">
        <v>126</v>
      </c>
      <c r="I1183">
        <v>90</v>
      </c>
      <c r="J1183">
        <v>35</v>
      </c>
      <c r="K1183">
        <v>181</v>
      </c>
      <c r="L1183">
        <v>87</v>
      </c>
      <c r="M1183" s="2">
        <v>2735.2</v>
      </c>
      <c r="N1183">
        <v>6</v>
      </c>
      <c r="O1183">
        <v>0</v>
      </c>
      <c r="P1183" t="s">
        <v>33</v>
      </c>
      <c r="Q1183" t="s">
        <v>34</v>
      </c>
      <c r="R1183" t="s">
        <v>81</v>
      </c>
      <c r="S1183" s="2">
        <f t="shared" si="18"/>
        <v>495071.19999999995</v>
      </c>
    </row>
    <row r="1184" spans="1:19" x14ac:dyDescent="0.3">
      <c r="A1184" t="s">
        <v>1245</v>
      </c>
      <c r="B1184" s="1">
        <v>46124</v>
      </c>
      <c r="C1184" t="s">
        <v>36</v>
      </c>
      <c r="D1184" t="s">
        <v>29</v>
      </c>
      <c r="E1184" t="s">
        <v>30</v>
      </c>
      <c r="F1184" t="s">
        <v>22</v>
      </c>
      <c r="G1184" t="s">
        <v>23</v>
      </c>
      <c r="H1184">
        <v>109</v>
      </c>
      <c r="I1184">
        <v>115</v>
      </c>
      <c r="J1184">
        <v>102</v>
      </c>
      <c r="K1184">
        <v>122</v>
      </c>
      <c r="L1184">
        <v>81</v>
      </c>
      <c r="M1184" s="2">
        <v>2529.2399999999998</v>
      </c>
      <c r="N1184">
        <v>7</v>
      </c>
      <c r="O1184">
        <v>0</v>
      </c>
      <c r="P1184" t="s">
        <v>33</v>
      </c>
      <c r="Q1184" t="s">
        <v>34</v>
      </c>
      <c r="R1184" t="s">
        <v>59</v>
      </c>
      <c r="S1184" s="2">
        <f t="shared" si="18"/>
        <v>308567.27999999997</v>
      </c>
    </row>
    <row r="1185" spans="1:19" x14ac:dyDescent="0.3">
      <c r="A1185" t="s">
        <v>1246</v>
      </c>
      <c r="B1185" s="1">
        <v>46294</v>
      </c>
      <c r="C1185" t="s">
        <v>36</v>
      </c>
      <c r="D1185" t="s">
        <v>29</v>
      </c>
      <c r="E1185" t="s">
        <v>21</v>
      </c>
      <c r="F1185" t="s">
        <v>1582</v>
      </c>
      <c r="G1185" t="s">
        <v>1583</v>
      </c>
      <c r="H1185">
        <v>102</v>
      </c>
      <c r="I1185">
        <v>114</v>
      </c>
      <c r="J1185">
        <v>31</v>
      </c>
      <c r="K1185">
        <v>185</v>
      </c>
      <c r="L1185">
        <v>93</v>
      </c>
      <c r="M1185" s="2">
        <v>2607</v>
      </c>
      <c r="N1185">
        <v>4</v>
      </c>
      <c r="O1185">
        <v>0</v>
      </c>
      <c r="P1185" t="s">
        <v>33</v>
      </c>
      <c r="Q1185" t="s">
        <v>34</v>
      </c>
      <c r="R1185" t="s">
        <v>59</v>
      </c>
      <c r="S1185" s="2">
        <f t="shared" si="18"/>
        <v>482295</v>
      </c>
    </row>
    <row r="1186" spans="1:19" x14ac:dyDescent="0.3">
      <c r="A1186" t="s">
        <v>1247</v>
      </c>
      <c r="B1186" s="1">
        <v>46056</v>
      </c>
      <c r="C1186" t="s">
        <v>19</v>
      </c>
      <c r="D1186" t="s">
        <v>20</v>
      </c>
      <c r="E1186" t="s">
        <v>75</v>
      </c>
      <c r="F1186" t="s">
        <v>31</v>
      </c>
      <c r="G1186" t="s">
        <v>32</v>
      </c>
      <c r="H1186">
        <v>45</v>
      </c>
      <c r="I1186">
        <v>21</v>
      </c>
      <c r="J1186">
        <v>21</v>
      </c>
      <c r="K1186">
        <v>45</v>
      </c>
      <c r="L1186">
        <v>66</v>
      </c>
      <c r="M1186" s="2">
        <v>1926.94</v>
      </c>
      <c r="N1186">
        <v>7</v>
      </c>
      <c r="O1186">
        <v>5</v>
      </c>
      <c r="P1186" t="s">
        <v>24</v>
      </c>
      <c r="Q1186" t="s">
        <v>34</v>
      </c>
      <c r="R1186" t="s">
        <v>26</v>
      </c>
      <c r="S1186" s="2">
        <f t="shared" si="18"/>
        <v>86712.3</v>
      </c>
    </row>
    <row r="1187" spans="1:19" x14ac:dyDescent="0.3">
      <c r="A1187" t="s">
        <v>1248</v>
      </c>
      <c r="B1187" s="1">
        <v>46100</v>
      </c>
      <c r="C1187" t="s">
        <v>45</v>
      </c>
      <c r="D1187" t="s">
        <v>46</v>
      </c>
      <c r="E1187" t="s">
        <v>30</v>
      </c>
      <c r="F1187" t="s">
        <v>1582</v>
      </c>
      <c r="G1187" t="s">
        <v>1583</v>
      </c>
      <c r="H1187">
        <v>161</v>
      </c>
      <c r="I1187">
        <v>63</v>
      </c>
      <c r="J1187">
        <v>105</v>
      </c>
      <c r="K1187">
        <v>119</v>
      </c>
      <c r="L1187">
        <v>56</v>
      </c>
      <c r="M1187" s="2">
        <v>766.36</v>
      </c>
      <c r="N1187">
        <v>2</v>
      </c>
      <c r="O1187">
        <v>0</v>
      </c>
      <c r="P1187" t="s">
        <v>33</v>
      </c>
      <c r="Q1187" t="s">
        <v>34</v>
      </c>
      <c r="R1187" t="s">
        <v>26</v>
      </c>
      <c r="S1187" s="2">
        <f t="shared" si="18"/>
        <v>91196.84</v>
      </c>
    </row>
    <row r="1188" spans="1:19" x14ac:dyDescent="0.3">
      <c r="A1188" t="s">
        <v>1249</v>
      </c>
      <c r="B1188" s="1">
        <v>46081</v>
      </c>
      <c r="C1188" t="s">
        <v>36</v>
      </c>
      <c r="D1188" t="s">
        <v>29</v>
      </c>
      <c r="E1188" t="s">
        <v>75</v>
      </c>
      <c r="F1188" t="s">
        <v>1582</v>
      </c>
      <c r="G1188" t="s">
        <v>1583</v>
      </c>
      <c r="H1188">
        <v>80</v>
      </c>
      <c r="I1188">
        <v>91</v>
      </c>
      <c r="J1188">
        <v>85</v>
      </c>
      <c r="K1188">
        <v>86</v>
      </c>
      <c r="L1188">
        <v>85</v>
      </c>
      <c r="M1188" s="2">
        <v>2385.39</v>
      </c>
      <c r="N1188">
        <v>4</v>
      </c>
      <c r="O1188">
        <v>0</v>
      </c>
      <c r="P1188" t="s">
        <v>33</v>
      </c>
      <c r="Q1188" t="s">
        <v>34</v>
      </c>
      <c r="R1188" t="s">
        <v>43</v>
      </c>
      <c r="S1188" s="2">
        <f t="shared" si="18"/>
        <v>205143.53999999998</v>
      </c>
    </row>
    <row r="1189" spans="1:19" x14ac:dyDescent="0.3">
      <c r="A1189" t="s">
        <v>1250</v>
      </c>
      <c r="B1189" s="1">
        <v>46322</v>
      </c>
      <c r="C1189" t="s">
        <v>36</v>
      </c>
      <c r="D1189" t="s">
        <v>29</v>
      </c>
      <c r="E1189" t="s">
        <v>75</v>
      </c>
      <c r="F1189" t="s">
        <v>31</v>
      </c>
      <c r="G1189" t="s">
        <v>32</v>
      </c>
      <c r="H1189">
        <v>74</v>
      </c>
      <c r="I1189">
        <v>68</v>
      </c>
      <c r="J1189">
        <v>75</v>
      </c>
      <c r="K1189">
        <v>67</v>
      </c>
      <c r="L1189">
        <v>69</v>
      </c>
      <c r="M1189" s="2">
        <v>2388.9</v>
      </c>
      <c r="N1189">
        <v>8</v>
      </c>
      <c r="O1189">
        <v>6</v>
      </c>
      <c r="P1189" t="s">
        <v>24</v>
      </c>
      <c r="Q1189" t="s">
        <v>34</v>
      </c>
      <c r="R1189" t="s">
        <v>81</v>
      </c>
      <c r="S1189" s="2">
        <f t="shared" si="18"/>
        <v>160056.30000000002</v>
      </c>
    </row>
    <row r="1190" spans="1:19" x14ac:dyDescent="0.3">
      <c r="A1190" t="s">
        <v>1251</v>
      </c>
      <c r="B1190" s="1">
        <v>46092</v>
      </c>
      <c r="C1190" t="s">
        <v>87</v>
      </c>
      <c r="D1190" t="s">
        <v>53</v>
      </c>
      <c r="E1190" t="s">
        <v>58</v>
      </c>
      <c r="F1190" t="s">
        <v>31</v>
      </c>
      <c r="G1190" t="s">
        <v>32</v>
      </c>
      <c r="H1190">
        <v>165</v>
      </c>
      <c r="I1190">
        <v>105</v>
      </c>
      <c r="J1190">
        <v>87</v>
      </c>
      <c r="K1190">
        <v>183</v>
      </c>
      <c r="L1190">
        <v>67</v>
      </c>
      <c r="M1190" s="2">
        <v>484.7</v>
      </c>
      <c r="N1190">
        <v>2</v>
      </c>
      <c r="O1190">
        <v>0</v>
      </c>
      <c r="P1190" t="s">
        <v>33</v>
      </c>
      <c r="Q1190" t="s">
        <v>47</v>
      </c>
      <c r="R1190" t="s">
        <v>26</v>
      </c>
      <c r="S1190" s="2">
        <f t="shared" si="18"/>
        <v>88700.099999999991</v>
      </c>
    </row>
    <row r="1191" spans="1:19" x14ac:dyDescent="0.3">
      <c r="A1191" t="s">
        <v>1252</v>
      </c>
      <c r="B1191" s="1">
        <v>46065</v>
      </c>
      <c r="C1191" t="s">
        <v>52</v>
      </c>
      <c r="D1191" t="s">
        <v>53</v>
      </c>
      <c r="E1191" t="s">
        <v>58</v>
      </c>
      <c r="F1191" t="s">
        <v>22</v>
      </c>
      <c r="G1191" t="s">
        <v>23</v>
      </c>
      <c r="H1191">
        <v>68</v>
      </c>
      <c r="I1191">
        <v>121</v>
      </c>
      <c r="J1191">
        <v>100</v>
      </c>
      <c r="K1191">
        <v>89</v>
      </c>
      <c r="L1191">
        <v>57</v>
      </c>
      <c r="M1191" s="2">
        <v>710</v>
      </c>
      <c r="N1191">
        <v>4</v>
      </c>
      <c r="O1191">
        <v>0</v>
      </c>
      <c r="P1191" t="s">
        <v>33</v>
      </c>
      <c r="Q1191" t="s">
        <v>34</v>
      </c>
      <c r="R1191" t="s">
        <v>59</v>
      </c>
      <c r="S1191" s="2">
        <f t="shared" si="18"/>
        <v>63190</v>
      </c>
    </row>
    <row r="1192" spans="1:19" x14ac:dyDescent="0.3">
      <c r="A1192" t="s">
        <v>1253</v>
      </c>
      <c r="B1192" s="1">
        <v>46186</v>
      </c>
      <c r="C1192" t="s">
        <v>146</v>
      </c>
      <c r="D1192" t="s">
        <v>46</v>
      </c>
      <c r="E1192" t="s">
        <v>75</v>
      </c>
      <c r="F1192" t="s">
        <v>1582</v>
      </c>
      <c r="G1192" t="s">
        <v>1583</v>
      </c>
      <c r="H1192">
        <v>83</v>
      </c>
      <c r="I1192">
        <v>66</v>
      </c>
      <c r="J1192">
        <v>47</v>
      </c>
      <c r="K1192">
        <v>102</v>
      </c>
      <c r="L1192">
        <v>57</v>
      </c>
      <c r="M1192" s="2">
        <v>1504.03</v>
      </c>
      <c r="N1192">
        <v>6</v>
      </c>
      <c r="O1192">
        <v>0</v>
      </c>
      <c r="P1192" t="s">
        <v>33</v>
      </c>
      <c r="Q1192" t="s">
        <v>34</v>
      </c>
      <c r="R1192" t="s">
        <v>26</v>
      </c>
      <c r="S1192" s="2">
        <f t="shared" si="18"/>
        <v>153411.06</v>
      </c>
    </row>
    <row r="1193" spans="1:19" x14ac:dyDescent="0.3">
      <c r="A1193" t="s">
        <v>1254</v>
      </c>
      <c r="B1193" s="1">
        <v>46360</v>
      </c>
      <c r="C1193" t="s">
        <v>62</v>
      </c>
      <c r="D1193" t="s">
        <v>29</v>
      </c>
      <c r="E1193" t="s">
        <v>42</v>
      </c>
      <c r="F1193" t="s">
        <v>37</v>
      </c>
      <c r="G1193" t="s">
        <v>38</v>
      </c>
      <c r="H1193">
        <v>107</v>
      </c>
      <c r="I1193">
        <v>77</v>
      </c>
      <c r="J1193">
        <v>70</v>
      </c>
      <c r="K1193">
        <v>114</v>
      </c>
      <c r="L1193">
        <v>66</v>
      </c>
      <c r="M1193" s="2">
        <v>635.66</v>
      </c>
      <c r="N1193">
        <v>7</v>
      </c>
      <c r="O1193">
        <v>0</v>
      </c>
      <c r="P1193" t="s">
        <v>33</v>
      </c>
      <c r="Q1193" t="s">
        <v>34</v>
      </c>
      <c r="R1193" t="s">
        <v>26</v>
      </c>
      <c r="S1193" s="2">
        <f t="shared" si="18"/>
        <v>72465.239999999991</v>
      </c>
    </row>
    <row r="1194" spans="1:19" x14ac:dyDescent="0.3">
      <c r="A1194" t="s">
        <v>1255</v>
      </c>
      <c r="B1194" s="1">
        <v>46217</v>
      </c>
      <c r="C1194" t="s">
        <v>89</v>
      </c>
      <c r="D1194" t="s">
        <v>20</v>
      </c>
      <c r="E1194" t="s">
        <v>30</v>
      </c>
      <c r="F1194" t="s">
        <v>31</v>
      </c>
      <c r="G1194" t="s">
        <v>32</v>
      </c>
      <c r="H1194">
        <v>73</v>
      </c>
      <c r="I1194">
        <v>99</v>
      </c>
      <c r="J1194">
        <v>16</v>
      </c>
      <c r="K1194">
        <v>156</v>
      </c>
      <c r="L1194">
        <v>92</v>
      </c>
      <c r="M1194" s="2">
        <v>1217.68</v>
      </c>
      <c r="N1194">
        <v>4</v>
      </c>
      <c r="O1194">
        <v>0</v>
      </c>
      <c r="P1194" t="s">
        <v>33</v>
      </c>
      <c r="Q1194" t="s">
        <v>34</v>
      </c>
      <c r="R1194" t="s">
        <v>43</v>
      </c>
      <c r="S1194" s="2">
        <f t="shared" si="18"/>
        <v>189958.08000000002</v>
      </c>
    </row>
    <row r="1195" spans="1:19" x14ac:dyDescent="0.3">
      <c r="A1195" t="s">
        <v>1256</v>
      </c>
      <c r="B1195" s="1">
        <v>46200</v>
      </c>
      <c r="C1195" t="s">
        <v>57</v>
      </c>
      <c r="D1195" t="s">
        <v>50</v>
      </c>
      <c r="E1195" t="s">
        <v>21</v>
      </c>
      <c r="F1195" t="s">
        <v>1582</v>
      </c>
      <c r="G1195" t="s">
        <v>1583</v>
      </c>
      <c r="H1195">
        <v>125</v>
      </c>
      <c r="I1195">
        <v>66</v>
      </c>
      <c r="J1195">
        <v>80</v>
      </c>
      <c r="K1195">
        <v>111</v>
      </c>
      <c r="L1195">
        <v>99</v>
      </c>
      <c r="M1195" s="2">
        <v>3076.45</v>
      </c>
      <c r="N1195">
        <v>5</v>
      </c>
      <c r="O1195">
        <v>0</v>
      </c>
      <c r="P1195" t="s">
        <v>33</v>
      </c>
      <c r="Q1195" t="s">
        <v>34</v>
      </c>
      <c r="R1195" t="s">
        <v>26</v>
      </c>
      <c r="S1195" s="2">
        <f t="shared" si="18"/>
        <v>341485.94999999995</v>
      </c>
    </row>
    <row r="1196" spans="1:19" x14ac:dyDescent="0.3">
      <c r="A1196" t="s">
        <v>1257</v>
      </c>
      <c r="B1196" s="1">
        <v>46088</v>
      </c>
      <c r="C1196" t="s">
        <v>80</v>
      </c>
      <c r="D1196" t="s">
        <v>46</v>
      </c>
      <c r="E1196" t="s">
        <v>58</v>
      </c>
      <c r="F1196" t="s">
        <v>37</v>
      </c>
      <c r="G1196" t="s">
        <v>38</v>
      </c>
      <c r="H1196">
        <v>108</v>
      </c>
      <c r="I1196">
        <v>30</v>
      </c>
      <c r="J1196">
        <v>72</v>
      </c>
      <c r="K1196">
        <v>66</v>
      </c>
      <c r="L1196">
        <v>87</v>
      </c>
      <c r="M1196" s="2">
        <v>1008.65</v>
      </c>
      <c r="N1196">
        <v>7</v>
      </c>
      <c r="O1196">
        <v>2</v>
      </c>
      <c r="P1196" t="s">
        <v>33</v>
      </c>
      <c r="Q1196" t="s">
        <v>34</v>
      </c>
      <c r="R1196" t="s">
        <v>26</v>
      </c>
      <c r="S1196" s="2">
        <f t="shared" si="18"/>
        <v>66570.899999999994</v>
      </c>
    </row>
    <row r="1197" spans="1:19" x14ac:dyDescent="0.3">
      <c r="A1197" t="s">
        <v>1258</v>
      </c>
      <c r="B1197" s="1">
        <v>46029</v>
      </c>
      <c r="C1197" t="s">
        <v>98</v>
      </c>
      <c r="D1197" t="s">
        <v>20</v>
      </c>
      <c r="E1197" t="s">
        <v>75</v>
      </c>
      <c r="F1197" t="s">
        <v>22</v>
      </c>
      <c r="G1197" t="s">
        <v>23</v>
      </c>
      <c r="H1197">
        <v>135</v>
      </c>
      <c r="I1197">
        <v>28</v>
      </c>
      <c r="J1197">
        <v>34</v>
      </c>
      <c r="K1197">
        <v>129</v>
      </c>
      <c r="L1197">
        <v>81</v>
      </c>
      <c r="M1197" s="2">
        <v>1484.41</v>
      </c>
      <c r="N1197">
        <v>8</v>
      </c>
      <c r="O1197">
        <v>0</v>
      </c>
      <c r="P1197" t="s">
        <v>24</v>
      </c>
      <c r="Q1197" t="s">
        <v>34</v>
      </c>
      <c r="R1197" t="s">
        <v>26</v>
      </c>
      <c r="S1197" s="2">
        <f t="shared" si="18"/>
        <v>191488.89</v>
      </c>
    </row>
    <row r="1198" spans="1:19" x14ac:dyDescent="0.3">
      <c r="A1198" t="s">
        <v>1259</v>
      </c>
      <c r="B1198" s="1">
        <v>46064</v>
      </c>
      <c r="C1198" t="s">
        <v>109</v>
      </c>
      <c r="D1198" t="s">
        <v>46</v>
      </c>
      <c r="E1198" t="s">
        <v>42</v>
      </c>
      <c r="F1198" t="s">
        <v>1582</v>
      </c>
      <c r="G1198" t="s">
        <v>1583</v>
      </c>
      <c r="H1198">
        <v>201</v>
      </c>
      <c r="I1198">
        <v>62</v>
      </c>
      <c r="J1198">
        <v>100</v>
      </c>
      <c r="K1198">
        <v>163</v>
      </c>
      <c r="L1198">
        <v>51</v>
      </c>
      <c r="M1198" s="2">
        <v>3272.04</v>
      </c>
      <c r="N1198">
        <v>2</v>
      </c>
      <c r="O1198">
        <v>0</v>
      </c>
      <c r="P1198" t="s">
        <v>33</v>
      </c>
      <c r="Q1198" t="s">
        <v>47</v>
      </c>
      <c r="R1198" t="s">
        <v>26</v>
      </c>
      <c r="S1198" s="2">
        <f t="shared" si="18"/>
        <v>533342.52</v>
      </c>
    </row>
    <row r="1199" spans="1:19" x14ac:dyDescent="0.3">
      <c r="A1199" t="s">
        <v>1260</v>
      </c>
      <c r="B1199" s="1">
        <v>46294</v>
      </c>
      <c r="C1199" t="s">
        <v>62</v>
      </c>
      <c r="D1199" t="s">
        <v>29</v>
      </c>
      <c r="E1199" t="s">
        <v>75</v>
      </c>
      <c r="F1199" t="s">
        <v>31</v>
      </c>
      <c r="G1199" t="s">
        <v>32</v>
      </c>
      <c r="H1199">
        <v>150</v>
      </c>
      <c r="I1199">
        <v>121</v>
      </c>
      <c r="J1199">
        <v>102</v>
      </c>
      <c r="K1199">
        <v>169</v>
      </c>
      <c r="L1199">
        <v>59</v>
      </c>
      <c r="M1199" s="2">
        <v>659.43</v>
      </c>
      <c r="N1199">
        <v>7</v>
      </c>
      <c r="O1199">
        <v>0</v>
      </c>
      <c r="P1199" t="s">
        <v>24</v>
      </c>
      <c r="Q1199" t="s">
        <v>47</v>
      </c>
      <c r="R1199" t="s">
        <v>26</v>
      </c>
      <c r="S1199" s="2">
        <f t="shared" si="18"/>
        <v>111443.67</v>
      </c>
    </row>
    <row r="1200" spans="1:19" x14ac:dyDescent="0.3">
      <c r="A1200" t="s">
        <v>1261</v>
      </c>
      <c r="B1200" s="1">
        <v>46249</v>
      </c>
      <c r="C1200" t="s">
        <v>36</v>
      </c>
      <c r="D1200" t="s">
        <v>29</v>
      </c>
      <c r="E1200" t="s">
        <v>42</v>
      </c>
      <c r="F1200" t="s">
        <v>1582</v>
      </c>
      <c r="G1200" t="s">
        <v>1583</v>
      </c>
      <c r="H1200">
        <v>194</v>
      </c>
      <c r="I1200">
        <v>110</v>
      </c>
      <c r="J1200">
        <v>38</v>
      </c>
      <c r="K1200">
        <v>266</v>
      </c>
      <c r="L1200">
        <v>75</v>
      </c>
      <c r="M1200" s="2">
        <v>2298.27</v>
      </c>
      <c r="N1200">
        <v>7</v>
      </c>
      <c r="O1200">
        <v>0</v>
      </c>
      <c r="P1200" t="s">
        <v>33</v>
      </c>
      <c r="Q1200" t="s">
        <v>47</v>
      </c>
      <c r="R1200" t="s">
        <v>43</v>
      </c>
      <c r="S1200" s="2">
        <f t="shared" si="18"/>
        <v>611339.81999999995</v>
      </c>
    </row>
    <row r="1201" spans="1:19" x14ac:dyDescent="0.3">
      <c r="A1201" t="s">
        <v>1262</v>
      </c>
      <c r="B1201" s="1">
        <v>46061</v>
      </c>
      <c r="C1201" t="s">
        <v>62</v>
      </c>
      <c r="D1201" t="s">
        <v>29</v>
      </c>
      <c r="E1201" t="s">
        <v>75</v>
      </c>
      <c r="F1201" t="s">
        <v>22</v>
      </c>
      <c r="G1201" t="s">
        <v>23</v>
      </c>
      <c r="H1201">
        <v>90</v>
      </c>
      <c r="I1201">
        <v>53</v>
      </c>
      <c r="J1201">
        <v>33</v>
      </c>
      <c r="K1201">
        <v>110</v>
      </c>
      <c r="L1201">
        <v>79</v>
      </c>
      <c r="M1201" s="2">
        <v>710.56</v>
      </c>
      <c r="N1201">
        <v>3</v>
      </c>
      <c r="O1201">
        <v>0</v>
      </c>
      <c r="P1201" t="s">
        <v>33</v>
      </c>
      <c r="Q1201" t="s">
        <v>34</v>
      </c>
      <c r="R1201" t="s">
        <v>59</v>
      </c>
      <c r="S1201" s="2">
        <f t="shared" si="18"/>
        <v>78161.599999999991</v>
      </c>
    </row>
    <row r="1202" spans="1:19" x14ac:dyDescent="0.3">
      <c r="A1202" t="s">
        <v>1263</v>
      </c>
      <c r="B1202" s="1">
        <v>46199</v>
      </c>
      <c r="C1202" t="s">
        <v>28</v>
      </c>
      <c r="D1202" t="s">
        <v>29</v>
      </c>
      <c r="E1202" t="s">
        <v>21</v>
      </c>
      <c r="F1202" t="s">
        <v>22</v>
      </c>
      <c r="G1202" t="s">
        <v>23</v>
      </c>
      <c r="H1202">
        <v>81</v>
      </c>
      <c r="I1202">
        <v>70</v>
      </c>
      <c r="J1202">
        <v>96</v>
      </c>
      <c r="K1202">
        <v>55</v>
      </c>
      <c r="L1202">
        <v>98</v>
      </c>
      <c r="M1202" s="2">
        <v>1324</v>
      </c>
      <c r="N1202">
        <v>9</v>
      </c>
      <c r="O1202">
        <v>7</v>
      </c>
      <c r="P1202" t="s">
        <v>24</v>
      </c>
      <c r="Q1202" t="s">
        <v>25</v>
      </c>
      <c r="R1202" t="s">
        <v>26</v>
      </c>
      <c r="S1202" s="2">
        <f t="shared" si="18"/>
        <v>72820</v>
      </c>
    </row>
    <row r="1203" spans="1:19" x14ac:dyDescent="0.3">
      <c r="A1203" t="s">
        <v>1264</v>
      </c>
      <c r="B1203" s="1">
        <v>46243</v>
      </c>
      <c r="C1203" t="s">
        <v>62</v>
      </c>
      <c r="D1203" t="s">
        <v>29</v>
      </c>
      <c r="E1203" t="s">
        <v>21</v>
      </c>
      <c r="F1203" t="s">
        <v>37</v>
      </c>
      <c r="G1203" t="s">
        <v>38</v>
      </c>
      <c r="H1203">
        <v>81</v>
      </c>
      <c r="I1203">
        <v>28</v>
      </c>
      <c r="J1203">
        <v>22</v>
      </c>
      <c r="K1203">
        <v>87</v>
      </c>
      <c r="L1203">
        <v>49</v>
      </c>
      <c r="M1203" s="2">
        <v>699.15</v>
      </c>
      <c r="N1203">
        <v>7</v>
      </c>
      <c r="O1203">
        <v>0</v>
      </c>
      <c r="P1203" t="s">
        <v>24</v>
      </c>
      <c r="Q1203" t="s">
        <v>34</v>
      </c>
      <c r="R1203" t="s">
        <v>59</v>
      </c>
      <c r="S1203" s="2">
        <f t="shared" si="18"/>
        <v>60826.049999999996</v>
      </c>
    </row>
    <row r="1204" spans="1:19" x14ac:dyDescent="0.3">
      <c r="A1204" t="s">
        <v>1265</v>
      </c>
      <c r="B1204" s="1">
        <v>46186</v>
      </c>
      <c r="C1204" t="s">
        <v>40</v>
      </c>
      <c r="D1204" t="s">
        <v>20</v>
      </c>
      <c r="E1204" t="s">
        <v>75</v>
      </c>
      <c r="F1204" t="s">
        <v>31</v>
      </c>
      <c r="G1204" t="s">
        <v>32</v>
      </c>
      <c r="H1204">
        <v>121</v>
      </c>
      <c r="I1204">
        <v>95</v>
      </c>
      <c r="J1204">
        <v>61</v>
      </c>
      <c r="K1204">
        <v>155</v>
      </c>
      <c r="L1204">
        <v>89</v>
      </c>
      <c r="M1204" s="2">
        <v>932.59</v>
      </c>
      <c r="N1204">
        <v>7</v>
      </c>
      <c r="O1204">
        <v>0</v>
      </c>
      <c r="P1204" t="s">
        <v>33</v>
      </c>
      <c r="Q1204" t="s">
        <v>34</v>
      </c>
      <c r="R1204" t="s">
        <v>26</v>
      </c>
      <c r="S1204" s="2">
        <f t="shared" si="18"/>
        <v>144551.45000000001</v>
      </c>
    </row>
    <row r="1205" spans="1:19" x14ac:dyDescent="0.3">
      <c r="A1205" t="s">
        <v>1266</v>
      </c>
      <c r="B1205" s="1">
        <v>46044</v>
      </c>
      <c r="C1205" t="s">
        <v>49</v>
      </c>
      <c r="D1205" t="s">
        <v>50</v>
      </c>
      <c r="E1205" t="s">
        <v>58</v>
      </c>
      <c r="F1205" t="s">
        <v>37</v>
      </c>
      <c r="G1205" t="s">
        <v>38</v>
      </c>
      <c r="H1205">
        <v>167</v>
      </c>
      <c r="I1205">
        <v>58</v>
      </c>
      <c r="J1205">
        <v>77</v>
      </c>
      <c r="K1205">
        <v>148</v>
      </c>
      <c r="L1205">
        <v>65</v>
      </c>
      <c r="M1205" s="2">
        <v>1311.94</v>
      </c>
      <c r="N1205">
        <v>7</v>
      </c>
      <c r="O1205">
        <v>0</v>
      </c>
      <c r="P1205" t="s">
        <v>33</v>
      </c>
      <c r="Q1205" t="s">
        <v>47</v>
      </c>
      <c r="R1205" t="s">
        <v>26</v>
      </c>
      <c r="S1205" s="2">
        <f t="shared" si="18"/>
        <v>194167.12</v>
      </c>
    </row>
    <row r="1206" spans="1:19" x14ac:dyDescent="0.3">
      <c r="A1206" t="s">
        <v>1267</v>
      </c>
      <c r="B1206" s="1">
        <v>46220</v>
      </c>
      <c r="C1206" t="s">
        <v>146</v>
      </c>
      <c r="D1206" t="s">
        <v>46</v>
      </c>
      <c r="E1206" t="s">
        <v>58</v>
      </c>
      <c r="F1206" t="s">
        <v>1582</v>
      </c>
      <c r="G1206" t="s">
        <v>1583</v>
      </c>
      <c r="H1206">
        <v>123</v>
      </c>
      <c r="I1206">
        <v>121</v>
      </c>
      <c r="J1206">
        <v>66</v>
      </c>
      <c r="K1206">
        <v>178</v>
      </c>
      <c r="L1206">
        <v>74</v>
      </c>
      <c r="M1206" s="2">
        <v>1610.6</v>
      </c>
      <c r="N1206">
        <v>5</v>
      </c>
      <c r="O1206">
        <v>0</v>
      </c>
      <c r="P1206" t="s">
        <v>33</v>
      </c>
      <c r="Q1206" t="s">
        <v>47</v>
      </c>
      <c r="R1206" t="s">
        <v>26</v>
      </c>
      <c r="S1206" s="2">
        <f t="shared" si="18"/>
        <v>286686.8</v>
      </c>
    </row>
    <row r="1207" spans="1:19" x14ac:dyDescent="0.3">
      <c r="A1207" t="s">
        <v>1268</v>
      </c>
      <c r="B1207" s="1">
        <v>46111</v>
      </c>
      <c r="C1207" t="s">
        <v>57</v>
      </c>
      <c r="D1207" t="s">
        <v>50</v>
      </c>
      <c r="E1207" t="s">
        <v>42</v>
      </c>
      <c r="F1207" t="s">
        <v>37</v>
      </c>
      <c r="G1207" t="s">
        <v>38</v>
      </c>
      <c r="H1207">
        <v>137</v>
      </c>
      <c r="I1207">
        <v>100</v>
      </c>
      <c r="J1207">
        <v>34</v>
      </c>
      <c r="K1207">
        <v>203</v>
      </c>
      <c r="L1207">
        <v>70</v>
      </c>
      <c r="M1207" s="2">
        <v>2724.8</v>
      </c>
      <c r="N1207">
        <v>5</v>
      </c>
      <c r="O1207">
        <v>0</v>
      </c>
      <c r="P1207" t="s">
        <v>33</v>
      </c>
      <c r="Q1207" t="s">
        <v>47</v>
      </c>
      <c r="R1207" t="s">
        <v>26</v>
      </c>
      <c r="S1207" s="2">
        <f t="shared" si="18"/>
        <v>553134.4</v>
      </c>
    </row>
    <row r="1208" spans="1:19" x14ac:dyDescent="0.3">
      <c r="A1208" t="s">
        <v>1269</v>
      </c>
      <c r="B1208" s="1">
        <v>46304</v>
      </c>
      <c r="C1208" t="s">
        <v>28</v>
      </c>
      <c r="D1208" t="s">
        <v>29</v>
      </c>
      <c r="E1208" t="s">
        <v>42</v>
      </c>
      <c r="F1208" t="s">
        <v>31</v>
      </c>
      <c r="G1208" t="s">
        <v>32</v>
      </c>
      <c r="H1208">
        <v>44</v>
      </c>
      <c r="I1208">
        <v>70</v>
      </c>
      <c r="J1208">
        <v>75</v>
      </c>
      <c r="K1208">
        <v>39</v>
      </c>
      <c r="L1208">
        <v>54</v>
      </c>
      <c r="M1208" s="2">
        <v>1240.43</v>
      </c>
      <c r="N1208">
        <v>3</v>
      </c>
      <c r="O1208">
        <v>7</v>
      </c>
      <c r="P1208" t="s">
        <v>24</v>
      </c>
      <c r="Q1208" t="s">
        <v>34</v>
      </c>
      <c r="R1208" t="s">
        <v>26</v>
      </c>
      <c r="S1208" s="2">
        <f t="shared" si="18"/>
        <v>48376.770000000004</v>
      </c>
    </row>
    <row r="1209" spans="1:19" x14ac:dyDescent="0.3">
      <c r="A1209" t="s">
        <v>1270</v>
      </c>
      <c r="B1209" s="1">
        <v>46053</v>
      </c>
      <c r="C1209" t="s">
        <v>80</v>
      </c>
      <c r="D1209" t="s">
        <v>46</v>
      </c>
      <c r="E1209" t="s">
        <v>42</v>
      </c>
      <c r="F1209" t="s">
        <v>1582</v>
      </c>
      <c r="G1209" t="s">
        <v>1583</v>
      </c>
      <c r="H1209">
        <v>195</v>
      </c>
      <c r="I1209">
        <v>112</v>
      </c>
      <c r="J1209">
        <v>78</v>
      </c>
      <c r="K1209">
        <v>229</v>
      </c>
      <c r="L1209">
        <v>72</v>
      </c>
      <c r="M1209" s="2">
        <v>1085.72</v>
      </c>
      <c r="N1209">
        <v>8</v>
      </c>
      <c r="O1209">
        <v>0</v>
      </c>
      <c r="P1209" t="s">
        <v>24</v>
      </c>
      <c r="Q1209" t="s">
        <v>47</v>
      </c>
      <c r="R1209" t="s">
        <v>81</v>
      </c>
      <c r="S1209" s="2">
        <f t="shared" si="18"/>
        <v>248629.88</v>
      </c>
    </row>
    <row r="1210" spans="1:19" x14ac:dyDescent="0.3">
      <c r="A1210" t="s">
        <v>1271</v>
      </c>
      <c r="B1210" s="1">
        <v>46236</v>
      </c>
      <c r="C1210" t="s">
        <v>109</v>
      </c>
      <c r="D1210" t="s">
        <v>46</v>
      </c>
      <c r="E1210" t="s">
        <v>75</v>
      </c>
      <c r="F1210" t="s">
        <v>37</v>
      </c>
      <c r="G1210" t="s">
        <v>38</v>
      </c>
      <c r="H1210">
        <v>220</v>
      </c>
      <c r="I1210">
        <v>81</v>
      </c>
      <c r="J1210">
        <v>92</v>
      </c>
      <c r="K1210">
        <v>209</v>
      </c>
      <c r="L1210">
        <v>63</v>
      </c>
      <c r="M1210" s="2">
        <v>2970.55</v>
      </c>
      <c r="N1210">
        <v>6</v>
      </c>
      <c r="O1210">
        <v>0</v>
      </c>
      <c r="P1210" t="s">
        <v>33</v>
      </c>
      <c r="Q1210" t="s">
        <v>47</v>
      </c>
      <c r="R1210" t="s">
        <v>43</v>
      </c>
      <c r="S1210" s="2">
        <f t="shared" si="18"/>
        <v>620844.95000000007</v>
      </c>
    </row>
    <row r="1211" spans="1:19" x14ac:dyDescent="0.3">
      <c r="A1211" t="s">
        <v>1272</v>
      </c>
      <c r="B1211" s="1">
        <v>46167</v>
      </c>
      <c r="C1211" t="s">
        <v>57</v>
      </c>
      <c r="D1211" t="s">
        <v>50</v>
      </c>
      <c r="E1211" t="s">
        <v>21</v>
      </c>
      <c r="F1211" t="s">
        <v>22</v>
      </c>
      <c r="G1211" t="s">
        <v>23</v>
      </c>
      <c r="H1211">
        <v>126</v>
      </c>
      <c r="I1211">
        <v>100</v>
      </c>
      <c r="J1211">
        <v>54</v>
      </c>
      <c r="K1211">
        <v>172</v>
      </c>
      <c r="L1211">
        <v>88</v>
      </c>
      <c r="M1211" s="2">
        <v>2866.35</v>
      </c>
      <c r="N1211">
        <v>6</v>
      </c>
      <c r="O1211">
        <v>0</v>
      </c>
      <c r="P1211" t="s">
        <v>24</v>
      </c>
      <c r="Q1211" t="s">
        <v>34</v>
      </c>
      <c r="R1211" t="s">
        <v>26</v>
      </c>
      <c r="S1211" s="2">
        <f t="shared" si="18"/>
        <v>493012.2</v>
      </c>
    </row>
    <row r="1212" spans="1:19" x14ac:dyDescent="0.3">
      <c r="A1212" t="s">
        <v>1273</v>
      </c>
      <c r="B1212" s="1">
        <v>46375</v>
      </c>
      <c r="C1212" t="s">
        <v>45</v>
      </c>
      <c r="D1212" t="s">
        <v>46</v>
      </c>
      <c r="E1212" t="s">
        <v>42</v>
      </c>
      <c r="F1212" t="s">
        <v>37</v>
      </c>
      <c r="G1212" t="s">
        <v>38</v>
      </c>
      <c r="H1212">
        <v>184</v>
      </c>
      <c r="I1212">
        <v>80</v>
      </c>
      <c r="J1212">
        <v>23</v>
      </c>
      <c r="K1212">
        <v>241</v>
      </c>
      <c r="L1212">
        <v>46</v>
      </c>
      <c r="M1212" s="2">
        <v>791.53</v>
      </c>
      <c r="N1212">
        <v>5</v>
      </c>
      <c r="O1212">
        <v>0</v>
      </c>
      <c r="P1212" t="s">
        <v>33</v>
      </c>
      <c r="Q1212" t="s">
        <v>47</v>
      </c>
      <c r="R1212" t="s">
        <v>81</v>
      </c>
      <c r="S1212" s="2">
        <f t="shared" si="18"/>
        <v>190758.72999999998</v>
      </c>
    </row>
    <row r="1213" spans="1:19" x14ac:dyDescent="0.3">
      <c r="A1213" t="s">
        <v>1274</v>
      </c>
      <c r="B1213" s="1">
        <v>46346</v>
      </c>
      <c r="C1213" t="s">
        <v>83</v>
      </c>
      <c r="D1213" t="s">
        <v>29</v>
      </c>
      <c r="E1213" t="s">
        <v>58</v>
      </c>
      <c r="F1213" t="s">
        <v>37</v>
      </c>
      <c r="G1213" t="s">
        <v>38</v>
      </c>
      <c r="H1213">
        <v>182</v>
      </c>
      <c r="I1213">
        <v>63</v>
      </c>
      <c r="J1213">
        <v>88</v>
      </c>
      <c r="K1213">
        <v>157</v>
      </c>
      <c r="L1213">
        <v>95</v>
      </c>
      <c r="M1213" s="2">
        <v>1545.94</v>
      </c>
      <c r="N1213">
        <v>3</v>
      </c>
      <c r="O1213">
        <v>0</v>
      </c>
      <c r="P1213" t="s">
        <v>33</v>
      </c>
      <c r="Q1213" t="s">
        <v>34</v>
      </c>
      <c r="R1213" t="s">
        <v>81</v>
      </c>
      <c r="S1213" s="2">
        <f t="shared" si="18"/>
        <v>242712.58000000002</v>
      </c>
    </row>
    <row r="1214" spans="1:19" x14ac:dyDescent="0.3">
      <c r="A1214" t="s">
        <v>1275</v>
      </c>
      <c r="B1214" s="1">
        <v>46098</v>
      </c>
      <c r="C1214" t="s">
        <v>87</v>
      </c>
      <c r="D1214" t="s">
        <v>53</v>
      </c>
      <c r="E1214" t="s">
        <v>30</v>
      </c>
      <c r="F1214" t="s">
        <v>22</v>
      </c>
      <c r="G1214" t="s">
        <v>23</v>
      </c>
      <c r="H1214">
        <v>103</v>
      </c>
      <c r="I1214">
        <v>82</v>
      </c>
      <c r="J1214">
        <v>87</v>
      </c>
      <c r="K1214">
        <v>98</v>
      </c>
      <c r="L1214">
        <v>75</v>
      </c>
      <c r="M1214" s="2">
        <v>485.15</v>
      </c>
      <c r="N1214">
        <v>4</v>
      </c>
      <c r="O1214">
        <v>0</v>
      </c>
      <c r="P1214" t="s">
        <v>33</v>
      </c>
      <c r="Q1214" t="s">
        <v>34</v>
      </c>
      <c r="R1214" t="s">
        <v>26</v>
      </c>
      <c r="S1214" s="2">
        <f t="shared" si="18"/>
        <v>47544.7</v>
      </c>
    </row>
    <row r="1215" spans="1:19" x14ac:dyDescent="0.3">
      <c r="A1215" t="s">
        <v>1276</v>
      </c>
      <c r="B1215" s="1">
        <v>46164</v>
      </c>
      <c r="C1215" t="s">
        <v>52</v>
      </c>
      <c r="D1215" t="s">
        <v>53</v>
      </c>
      <c r="E1215" t="s">
        <v>75</v>
      </c>
      <c r="F1215" t="s">
        <v>1582</v>
      </c>
      <c r="G1215" t="s">
        <v>1583</v>
      </c>
      <c r="H1215">
        <v>158</v>
      </c>
      <c r="I1215">
        <v>97</v>
      </c>
      <c r="J1215">
        <v>108</v>
      </c>
      <c r="K1215">
        <v>147</v>
      </c>
      <c r="L1215">
        <v>62</v>
      </c>
      <c r="M1215" s="2">
        <v>593.70000000000005</v>
      </c>
      <c r="N1215">
        <v>5</v>
      </c>
      <c r="O1215">
        <v>0</v>
      </c>
      <c r="P1215" t="s">
        <v>33</v>
      </c>
      <c r="Q1215" t="s">
        <v>47</v>
      </c>
      <c r="R1215" t="s">
        <v>59</v>
      </c>
      <c r="S1215" s="2">
        <f t="shared" si="18"/>
        <v>87273.900000000009</v>
      </c>
    </row>
    <row r="1216" spans="1:19" x14ac:dyDescent="0.3">
      <c r="A1216" t="s">
        <v>1277</v>
      </c>
      <c r="B1216" s="1">
        <v>46162</v>
      </c>
      <c r="C1216" t="s">
        <v>83</v>
      </c>
      <c r="D1216" t="s">
        <v>29</v>
      </c>
      <c r="E1216" t="s">
        <v>75</v>
      </c>
      <c r="F1216" t="s">
        <v>1582</v>
      </c>
      <c r="G1216" t="s">
        <v>1583</v>
      </c>
      <c r="H1216">
        <v>103</v>
      </c>
      <c r="I1216">
        <v>48</v>
      </c>
      <c r="J1216">
        <v>96</v>
      </c>
      <c r="K1216">
        <v>55</v>
      </c>
      <c r="L1216">
        <v>45</v>
      </c>
      <c r="M1216" s="2">
        <v>1544.71</v>
      </c>
      <c r="N1216">
        <v>8</v>
      </c>
      <c r="O1216">
        <v>0</v>
      </c>
      <c r="P1216" t="s">
        <v>33</v>
      </c>
      <c r="Q1216" t="s">
        <v>34</v>
      </c>
      <c r="R1216" t="s">
        <v>26</v>
      </c>
      <c r="S1216" s="2">
        <f t="shared" si="18"/>
        <v>84959.05</v>
      </c>
    </row>
    <row r="1217" spans="1:19" x14ac:dyDescent="0.3">
      <c r="A1217" t="s">
        <v>1278</v>
      </c>
      <c r="B1217" s="1">
        <v>46291</v>
      </c>
      <c r="C1217" t="s">
        <v>146</v>
      </c>
      <c r="D1217" t="s">
        <v>46</v>
      </c>
      <c r="E1217" t="s">
        <v>21</v>
      </c>
      <c r="F1217" t="s">
        <v>22</v>
      </c>
      <c r="G1217" t="s">
        <v>23</v>
      </c>
      <c r="H1217">
        <v>205</v>
      </c>
      <c r="I1217">
        <v>44</v>
      </c>
      <c r="J1217">
        <v>91</v>
      </c>
      <c r="K1217">
        <v>158</v>
      </c>
      <c r="L1217">
        <v>83</v>
      </c>
      <c r="M1217" s="2">
        <v>1386.11</v>
      </c>
      <c r="N1217">
        <v>7</v>
      </c>
      <c r="O1217">
        <v>0</v>
      </c>
      <c r="P1217" t="s">
        <v>24</v>
      </c>
      <c r="Q1217" t="s">
        <v>34</v>
      </c>
      <c r="R1217" t="s">
        <v>43</v>
      </c>
      <c r="S1217" s="2">
        <f t="shared" si="18"/>
        <v>219005.37999999998</v>
      </c>
    </row>
    <row r="1218" spans="1:19" x14ac:dyDescent="0.3">
      <c r="A1218" t="s">
        <v>1279</v>
      </c>
      <c r="B1218" s="1">
        <v>46352</v>
      </c>
      <c r="C1218" t="s">
        <v>52</v>
      </c>
      <c r="D1218" t="s">
        <v>53</v>
      </c>
      <c r="E1218" t="s">
        <v>42</v>
      </c>
      <c r="F1218" t="s">
        <v>1582</v>
      </c>
      <c r="G1218" t="s">
        <v>1583</v>
      </c>
      <c r="H1218">
        <v>148</v>
      </c>
      <c r="I1218">
        <v>109</v>
      </c>
      <c r="J1218">
        <v>16</v>
      </c>
      <c r="K1218">
        <v>241</v>
      </c>
      <c r="L1218">
        <v>64</v>
      </c>
      <c r="M1218" s="2">
        <v>618.92999999999995</v>
      </c>
      <c r="N1218">
        <v>3</v>
      </c>
      <c r="O1218">
        <v>0</v>
      </c>
      <c r="P1218" t="s">
        <v>33</v>
      </c>
      <c r="Q1218" t="s">
        <v>47</v>
      </c>
      <c r="R1218" t="s">
        <v>26</v>
      </c>
      <c r="S1218" s="2">
        <f t="shared" ref="S1218:S1281" si="19">K1218*M1218</f>
        <v>149162.12999999998</v>
      </c>
    </row>
    <row r="1219" spans="1:19" x14ac:dyDescent="0.3">
      <c r="A1219" t="s">
        <v>1280</v>
      </c>
      <c r="B1219" s="1">
        <v>46163</v>
      </c>
      <c r="C1219" t="s">
        <v>57</v>
      </c>
      <c r="D1219" t="s">
        <v>50</v>
      </c>
      <c r="E1219" t="s">
        <v>21</v>
      </c>
      <c r="F1219" t="s">
        <v>1582</v>
      </c>
      <c r="G1219" t="s">
        <v>1583</v>
      </c>
      <c r="H1219">
        <v>77</v>
      </c>
      <c r="I1219">
        <v>77</v>
      </c>
      <c r="J1219">
        <v>95</v>
      </c>
      <c r="K1219">
        <v>59</v>
      </c>
      <c r="L1219">
        <v>69</v>
      </c>
      <c r="M1219" s="2">
        <v>2830.95</v>
      </c>
      <c r="N1219">
        <v>6</v>
      </c>
      <c r="O1219">
        <v>6</v>
      </c>
      <c r="P1219" t="s">
        <v>33</v>
      </c>
      <c r="Q1219" t="s">
        <v>34</v>
      </c>
      <c r="R1219" t="s">
        <v>26</v>
      </c>
      <c r="S1219" s="2">
        <f t="shared" si="19"/>
        <v>167026.04999999999</v>
      </c>
    </row>
    <row r="1220" spans="1:19" x14ac:dyDescent="0.3">
      <c r="A1220" t="s">
        <v>1281</v>
      </c>
      <c r="B1220" s="1">
        <v>46305</v>
      </c>
      <c r="C1220" t="s">
        <v>49</v>
      </c>
      <c r="D1220" t="s">
        <v>50</v>
      </c>
      <c r="E1220" t="s">
        <v>42</v>
      </c>
      <c r="F1220" t="s">
        <v>1582</v>
      </c>
      <c r="G1220" t="s">
        <v>1583</v>
      </c>
      <c r="H1220">
        <v>112</v>
      </c>
      <c r="I1220">
        <v>40</v>
      </c>
      <c r="J1220">
        <v>90</v>
      </c>
      <c r="K1220">
        <v>62</v>
      </c>
      <c r="L1220">
        <v>53</v>
      </c>
      <c r="M1220" s="2">
        <v>1253.93</v>
      </c>
      <c r="N1220">
        <v>2</v>
      </c>
      <c r="O1220">
        <v>0</v>
      </c>
      <c r="P1220" t="s">
        <v>24</v>
      </c>
      <c r="Q1220" t="s">
        <v>34</v>
      </c>
      <c r="R1220" t="s">
        <v>43</v>
      </c>
      <c r="S1220" s="2">
        <f t="shared" si="19"/>
        <v>77743.66</v>
      </c>
    </row>
    <row r="1221" spans="1:19" x14ac:dyDescent="0.3">
      <c r="A1221" t="s">
        <v>1282</v>
      </c>
      <c r="B1221" s="1">
        <v>46040</v>
      </c>
      <c r="C1221" t="s">
        <v>49</v>
      </c>
      <c r="D1221" t="s">
        <v>50</v>
      </c>
      <c r="E1221" t="s">
        <v>42</v>
      </c>
      <c r="F1221" t="s">
        <v>37</v>
      </c>
      <c r="G1221" t="s">
        <v>38</v>
      </c>
      <c r="H1221">
        <v>136</v>
      </c>
      <c r="I1221">
        <v>90</v>
      </c>
      <c r="J1221">
        <v>18</v>
      </c>
      <c r="K1221">
        <v>208</v>
      </c>
      <c r="L1221">
        <v>85</v>
      </c>
      <c r="M1221" s="2">
        <v>1282.9100000000001</v>
      </c>
      <c r="N1221">
        <v>4</v>
      </c>
      <c r="O1221">
        <v>0</v>
      </c>
      <c r="P1221" t="s">
        <v>33</v>
      </c>
      <c r="Q1221" t="s">
        <v>47</v>
      </c>
      <c r="R1221" t="s">
        <v>26</v>
      </c>
      <c r="S1221" s="2">
        <f t="shared" si="19"/>
        <v>266845.28000000003</v>
      </c>
    </row>
    <row r="1222" spans="1:19" x14ac:dyDescent="0.3">
      <c r="A1222" t="s">
        <v>1283</v>
      </c>
      <c r="B1222" s="1">
        <v>46075</v>
      </c>
      <c r="C1222" t="s">
        <v>45</v>
      </c>
      <c r="D1222" t="s">
        <v>46</v>
      </c>
      <c r="E1222" t="s">
        <v>30</v>
      </c>
      <c r="F1222" t="s">
        <v>31</v>
      </c>
      <c r="G1222" t="s">
        <v>32</v>
      </c>
      <c r="H1222">
        <v>170</v>
      </c>
      <c r="I1222">
        <v>27</v>
      </c>
      <c r="J1222">
        <v>107</v>
      </c>
      <c r="K1222">
        <v>90</v>
      </c>
      <c r="L1222">
        <v>90</v>
      </c>
      <c r="M1222" s="2">
        <v>834.19</v>
      </c>
      <c r="N1222">
        <v>5</v>
      </c>
      <c r="O1222">
        <v>2</v>
      </c>
      <c r="P1222" t="s">
        <v>24</v>
      </c>
      <c r="Q1222" t="s">
        <v>34</v>
      </c>
      <c r="R1222" t="s">
        <v>26</v>
      </c>
      <c r="S1222" s="2">
        <f t="shared" si="19"/>
        <v>75077.100000000006</v>
      </c>
    </row>
    <row r="1223" spans="1:19" x14ac:dyDescent="0.3">
      <c r="A1223" t="s">
        <v>1284</v>
      </c>
      <c r="B1223" s="1">
        <v>46054</v>
      </c>
      <c r="C1223" t="s">
        <v>87</v>
      </c>
      <c r="D1223" t="s">
        <v>53</v>
      </c>
      <c r="E1223" t="s">
        <v>42</v>
      </c>
      <c r="F1223" t="s">
        <v>31</v>
      </c>
      <c r="G1223" t="s">
        <v>32</v>
      </c>
      <c r="H1223">
        <v>132</v>
      </c>
      <c r="I1223">
        <v>65</v>
      </c>
      <c r="J1223">
        <v>58</v>
      </c>
      <c r="K1223">
        <v>139</v>
      </c>
      <c r="L1223">
        <v>50</v>
      </c>
      <c r="M1223" s="2">
        <v>442.14</v>
      </c>
      <c r="N1223">
        <v>8</v>
      </c>
      <c r="O1223">
        <v>0</v>
      </c>
      <c r="P1223" t="s">
        <v>24</v>
      </c>
      <c r="Q1223" t="s">
        <v>47</v>
      </c>
      <c r="R1223" t="s">
        <v>26</v>
      </c>
      <c r="S1223" s="2">
        <f t="shared" si="19"/>
        <v>61457.46</v>
      </c>
    </row>
    <row r="1224" spans="1:19" x14ac:dyDescent="0.3">
      <c r="A1224" t="s">
        <v>1285</v>
      </c>
      <c r="B1224" s="1">
        <v>46156</v>
      </c>
      <c r="C1224" t="s">
        <v>68</v>
      </c>
      <c r="D1224" t="s">
        <v>53</v>
      </c>
      <c r="E1224" t="s">
        <v>58</v>
      </c>
      <c r="F1224" t="s">
        <v>22</v>
      </c>
      <c r="G1224" t="s">
        <v>23</v>
      </c>
      <c r="H1224">
        <v>180</v>
      </c>
      <c r="I1224">
        <v>125</v>
      </c>
      <c r="J1224">
        <v>26</v>
      </c>
      <c r="K1224">
        <v>279</v>
      </c>
      <c r="L1224">
        <v>97</v>
      </c>
      <c r="M1224" s="2">
        <v>564.87</v>
      </c>
      <c r="N1224">
        <v>3</v>
      </c>
      <c r="O1224">
        <v>0</v>
      </c>
      <c r="P1224" t="s">
        <v>24</v>
      </c>
      <c r="Q1224" t="s">
        <v>47</v>
      </c>
      <c r="R1224" t="s">
        <v>43</v>
      </c>
      <c r="S1224" s="2">
        <f t="shared" si="19"/>
        <v>157598.73000000001</v>
      </c>
    </row>
    <row r="1225" spans="1:19" x14ac:dyDescent="0.3">
      <c r="A1225" t="s">
        <v>1286</v>
      </c>
      <c r="B1225" s="1">
        <v>46093</v>
      </c>
      <c r="C1225" t="s">
        <v>28</v>
      </c>
      <c r="D1225" t="s">
        <v>29</v>
      </c>
      <c r="E1225" t="s">
        <v>75</v>
      </c>
      <c r="F1225" t="s">
        <v>31</v>
      </c>
      <c r="G1225" t="s">
        <v>32</v>
      </c>
      <c r="H1225">
        <v>53</v>
      </c>
      <c r="I1225">
        <v>102</v>
      </c>
      <c r="J1225">
        <v>104</v>
      </c>
      <c r="K1225">
        <v>51</v>
      </c>
      <c r="L1225">
        <v>59</v>
      </c>
      <c r="M1225" s="2">
        <v>1294.46</v>
      </c>
      <c r="N1225">
        <v>2</v>
      </c>
      <c r="O1225">
        <v>4</v>
      </c>
      <c r="P1225" t="s">
        <v>33</v>
      </c>
      <c r="Q1225" t="s">
        <v>34</v>
      </c>
      <c r="R1225" t="s">
        <v>81</v>
      </c>
      <c r="S1225" s="2">
        <f t="shared" si="19"/>
        <v>66017.460000000006</v>
      </c>
    </row>
    <row r="1226" spans="1:19" x14ac:dyDescent="0.3">
      <c r="A1226" t="s">
        <v>1287</v>
      </c>
      <c r="B1226" s="1">
        <v>46379</v>
      </c>
      <c r="C1226" t="s">
        <v>52</v>
      </c>
      <c r="D1226" t="s">
        <v>53</v>
      </c>
      <c r="E1226" t="s">
        <v>21</v>
      </c>
      <c r="F1226" t="s">
        <v>1582</v>
      </c>
      <c r="G1226" t="s">
        <v>1583</v>
      </c>
      <c r="H1226">
        <v>202</v>
      </c>
      <c r="I1226">
        <v>105</v>
      </c>
      <c r="J1226">
        <v>65</v>
      </c>
      <c r="K1226">
        <v>242</v>
      </c>
      <c r="L1226">
        <v>46</v>
      </c>
      <c r="M1226" s="2">
        <v>651.33000000000004</v>
      </c>
      <c r="N1226">
        <v>4</v>
      </c>
      <c r="O1226">
        <v>0</v>
      </c>
      <c r="P1226" t="s">
        <v>33</v>
      </c>
      <c r="Q1226" t="s">
        <v>47</v>
      </c>
      <c r="R1226" t="s">
        <v>26</v>
      </c>
      <c r="S1226" s="2">
        <f t="shared" si="19"/>
        <v>157621.86000000002</v>
      </c>
    </row>
    <row r="1227" spans="1:19" x14ac:dyDescent="0.3">
      <c r="A1227" t="s">
        <v>1288</v>
      </c>
      <c r="B1227" s="1">
        <v>46211</v>
      </c>
      <c r="C1227" t="s">
        <v>57</v>
      </c>
      <c r="D1227" t="s">
        <v>50</v>
      </c>
      <c r="E1227" t="s">
        <v>75</v>
      </c>
      <c r="F1227" t="s">
        <v>22</v>
      </c>
      <c r="G1227" t="s">
        <v>23</v>
      </c>
      <c r="H1227">
        <v>190</v>
      </c>
      <c r="I1227">
        <v>24</v>
      </c>
      <c r="J1227">
        <v>41</v>
      </c>
      <c r="K1227">
        <v>173</v>
      </c>
      <c r="L1227">
        <v>59</v>
      </c>
      <c r="M1227" s="2">
        <v>2846.33</v>
      </c>
      <c r="N1227">
        <v>2</v>
      </c>
      <c r="O1227">
        <v>0</v>
      </c>
      <c r="P1227" t="s">
        <v>33</v>
      </c>
      <c r="Q1227" t="s">
        <v>47</v>
      </c>
      <c r="R1227" t="s">
        <v>26</v>
      </c>
      <c r="S1227" s="2">
        <f t="shared" si="19"/>
        <v>492415.08999999997</v>
      </c>
    </row>
    <row r="1228" spans="1:19" x14ac:dyDescent="0.3">
      <c r="A1228" t="s">
        <v>1289</v>
      </c>
      <c r="B1228" s="1">
        <v>46221</v>
      </c>
      <c r="C1228" t="s">
        <v>87</v>
      </c>
      <c r="D1228" t="s">
        <v>53</v>
      </c>
      <c r="E1228" t="s">
        <v>58</v>
      </c>
      <c r="F1228" t="s">
        <v>22</v>
      </c>
      <c r="G1228" t="s">
        <v>23</v>
      </c>
      <c r="H1228">
        <v>78</v>
      </c>
      <c r="I1228">
        <v>88</v>
      </c>
      <c r="J1228">
        <v>15</v>
      </c>
      <c r="K1228">
        <v>151</v>
      </c>
      <c r="L1228">
        <v>85</v>
      </c>
      <c r="M1228" s="2">
        <v>471.98</v>
      </c>
      <c r="N1228">
        <v>4</v>
      </c>
      <c r="O1228">
        <v>0</v>
      </c>
      <c r="P1228" t="s">
        <v>33</v>
      </c>
      <c r="Q1228" t="s">
        <v>34</v>
      </c>
      <c r="R1228" t="s">
        <v>26</v>
      </c>
      <c r="S1228" s="2">
        <f t="shared" si="19"/>
        <v>71268.98</v>
      </c>
    </row>
    <row r="1229" spans="1:19" x14ac:dyDescent="0.3">
      <c r="A1229" t="s">
        <v>1290</v>
      </c>
      <c r="B1229" s="1">
        <v>46331</v>
      </c>
      <c r="C1229" t="s">
        <v>28</v>
      </c>
      <c r="D1229" t="s">
        <v>29</v>
      </c>
      <c r="E1229" t="s">
        <v>30</v>
      </c>
      <c r="F1229" t="s">
        <v>37</v>
      </c>
      <c r="G1229" t="s">
        <v>38</v>
      </c>
      <c r="H1229">
        <v>125</v>
      </c>
      <c r="I1229">
        <v>45</v>
      </c>
      <c r="J1229">
        <v>56</v>
      </c>
      <c r="K1229">
        <v>114</v>
      </c>
      <c r="L1229">
        <v>61</v>
      </c>
      <c r="M1229" s="2">
        <v>1272.08</v>
      </c>
      <c r="N1229">
        <v>7</v>
      </c>
      <c r="O1229">
        <v>0</v>
      </c>
      <c r="P1229" t="s">
        <v>33</v>
      </c>
      <c r="Q1229" t="s">
        <v>34</v>
      </c>
      <c r="R1229" t="s">
        <v>26</v>
      </c>
      <c r="S1229" s="2">
        <f t="shared" si="19"/>
        <v>145017.12</v>
      </c>
    </row>
    <row r="1230" spans="1:19" x14ac:dyDescent="0.3">
      <c r="A1230" t="s">
        <v>1291</v>
      </c>
      <c r="B1230" s="1">
        <v>46368</v>
      </c>
      <c r="C1230" t="s">
        <v>68</v>
      </c>
      <c r="D1230" t="s">
        <v>53</v>
      </c>
      <c r="E1230" t="s">
        <v>42</v>
      </c>
      <c r="F1230" t="s">
        <v>22</v>
      </c>
      <c r="G1230" t="s">
        <v>23</v>
      </c>
      <c r="H1230">
        <v>68</v>
      </c>
      <c r="I1230">
        <v>25</v>
      </c>
      <c r="J1230">
        <v>64</v>
      </c>
      <c r="K1230">
        <v>29</v>
      </c>
      <c r="L1230">
        <v>96</v>
      </c>
      <c r="M1230" s="2">
        <v>552.80999999999995</v>
      </c>
      <c r="N1230">
        <v>8</v>
      </c>
      <c r="O1230">
        <v>5</v>
      </c>
      <c r="P1230" t="s">
        <v>33</v>
      </c>
      <c r="Q1230" t="s">
        <v>25</v>
      </c>
      <c r="R1230" t="s">
        <v>43</v>
      </c>
      <c r="S1230" s="2">
        <f t="shared" si="19"/>
        <v>16031.489999999998</v>
      </c>
    </row>
    <row r="1231" spans="1:19" x14ac:dyDescent="0.3">
      <c r="A1231" t="s">
        <v>1292</v>
      </c>
      <c r="B1231" s="1">
        <v>46181</v>
      </c>
      <c r="C1231" t="s">
        <v>83</v>
      </c>
      <c r="D1231" t="s">
        <v>29</v>
      </c>
      <c r="E1231" t="s">
        <v>21</v>
      </c>
      <c r="F1231" t="s">
        <v>1582</v>
      </c>
      <c r="G1231" t="s">
        <v>1583</v>
      </c>
      <c r="H1231">
        <v>53</v>
      </c>
      <c r="I1231">
        <v>102</v>
      </c>
      <c r="J1231">
        <v>95</v>
      </c>
      <c r="K1231">
        <v>60</v>
      </c>
      <c r="L1231">
        <v>59</v>
      </c>
      <c r="M1231" s="2">
        <v>1621.39</v>
      </c>
      <c r="N1231">
        <v>8</v>
      </c>
      <c r="O1231">
        <v>0</v>
      </c>
      <c r="P1231" t="s">
        <v>33</v>
      </c>
      <c r="Q1231" t="s">
        <v>34</v>
      </c>
      <c r="R1231" t="s">
        <v>26</v>
      </c>
      <c r="S1231" s="2">
        <f t="shared" si="19"/>
        <v>97283.400000000009</v>
      </c>
    </row>
    <row r="1232" spans="1:19" x14ac:dyDescent="0.3">
      <c r="A1232" t="s">
        <v>1293</v>
      </c>
      <c r="B1232" s="1">
        <v>46268</v>
      </c>
      <c r="C1232" t="s">
        <v>98</v>
      </c>
      <c r="D1232" t="s">
        <v>20</v>
      </c>
      <c r="E1232" t="s">
        <v>42</v>
      </c>
      <c r="F1232" t="s">
        <v>37</v>
      </c>
      <c r="G1232" t="s">
        <v>38</v>
      </c>
      <c r="H1232">
        <v>92</v>
      </c>
      <c r="I1232">
        <v>83</v>
      </c>
      <c r="J1232">
        <v>107</v>
      </c>
      <c r="K1232">
        <v>68</v>
      </c>
      <c r="L1232">
        <v>69</v>
      </c>
      <c r="M1232" s="2">
        <v>1461.59</v>
      </c>
      <c r="N1232">
        <v>5</v>
      </c>
      <c r="O1232">
        <v>3</v>
      </c>
      <c r="P1232" t="s">
        <v>33</v>
      </c>
      <c r="Q1232" t="s">
        <v>34</v>
      </c>
      <c r="R1232" t="s">
        <v>81</v>
      </c>
      <c r="S1232" s="2">
        <f t="shared" si="19"/>
        <v>99388.12</v>
      </c>
    </row>
    <row r="1233" spans="1:19" x14ac:dyDescent="0.3">
      <c r="A1233" t="s">
        <v>1294</v>
      </c>
      <c r="B1233" s="1">
        <v>46023</v>
      </c>
      <c r="C1233" t="s">
        <v>52</v>
      </c>
      <c r="D1233" t="s">
        <v>53</v>
      </c>
      <c r="E1233" t="s">
        <v>42</v>
      </c>
      <c r="F1233" t="s">
        <v>31</v>
      </c>
      <c r="G1233" t="s">
        <v>32</v>
      </c>
      <c r="H1233">
        <v>197</v>
      </c>
      <c r="I1233">
        <v>33</v>
      </c>
      <c r="J1233">
        <v>15</v>
      </c>
      <c r="K1233">
        <v>215</v>
      </c>
      <c r="L1233">
        <v>99</v>
      </c>
      <c r="M1233" s="2">
        <v>589.05999999999995</v>
      </c>
      <c r="N1233">
        <v>2</v>
      </c>
      <c r="O1233">
        <v>0</v>
      </c>
      <c r="P1233" t="s">
        <v>33</v>
      </c>
      <c r="Q1233" t="s">
        <v>34</v>
      </c>
      <c r="R1233" t="s">
        <v>81</v>
      </c>
      <c r="S1233" s="2">
        <f t="shared" si="19"/>
        <v>126647.9</v>
      </c>
    </row>
    <row r="1234" spans="1:19" x14ac:dyDescent="0.3">
      <c r="A1234" t="s">
        <v>1295</v>
      </c>
      <c r="B1234" s="1">
        <v>46236</v>
      </c>
      <c r="C1234" t="s">
        <v>146</v>
      </c>
      <c r="D1234" t="s">
        <v>46</v>
      </c>
      <c r="E1234" t="s">
        <v>58</v>
      </c>
      <c r="F1234" t="s">
        <v>22</v>
      </c>
      <c r="G1234" t="s">
        <v>23</v>
      </c>
      <c r="H1234">
        <v>64</v>
      </c>
      <c r="I1234">
        <v>26</v>
      </c>
      <c r="J1234">
        <v>62</v>
      </c>
      <c r="K1234">
        <v>28</v>
      </c>
      <c r="L1234">
        <v>58</v>
      </c>
      <c r="M1234" s="2">
        <v>1543.73</v>
      </c>
      <c r="N1234">
        <v>5</v>
      </c>
      <c r="O1234">
        <v>6</v>
      </c>
      <c r="P1234" t="s">
        <v>33</v>
      </c>
      <c r="Q1234" t="s">
        <v>25</v>
      </c>
      <c r="R1234" t="s">
        <v>26</v>
      </c>
      <c r="S1234" s="2">
        <f t="shared" si="19"/>
        <v>43224.44</v>
      </c>
    </row>
    <row r="1235" spans="1:19" x14ac:dyDescent="0.3">
      <c r="A1235" t="s">
        <v>1296</v>
      </c>
      <c r="B1235" s="1">
        <v>46348</v>
      </c>
      <c r="C1235" t="s">
        <v>89</v>
      </c>
      <c r="D1235" t="s">
        <v>20</v>
      </c>
      <c r="E1235" t="s">
        <v>75</v>
      </c>
      <c r="F1235" t="s">
        <v>31</v>
      </c>
      <c r="G1235" t="s">
        <v>32</v>
      </c>
      <c r="H1235">
        <v>117</v>
      </c>
      <c r="I1235">
        <v>38</v>
      </c>
      <c r="J1235">
        <v>48</v>
      </c>
      <c r="K1235">
        <v>107</v>
      </c>
      <c r="L1235">
        <v>74</v>
      </c>
      <c r="M1235" s="2">
        <v>1303.23</v>
      </c>
      <c r="N1235">
        <v>8</v>
      </c>
      <c r="O1235">
        <v>0</v>
      </c>
      <c r="P1235" t="s">
        <v>33</v>
      </c>
      <c r="Q1235" t="s">
        <v>34</v>
      </c>
      <c r="R1235" t="s">
        <v>26</v>
      </c>
      <c r="S1235" s="2">
        <f t="shared" si="19"/>
        <v>139445.61000000002</v>
      </c>
    </row>
    <row r="1236" spans="1:19" x14ac:dyDescent="0.3">
      <c r="A1236" t="s">
        <v>1297</v>
      </c>
      <c r="B1236" s="1">
        <v>46382</v>
      </c>
      <c r="C1236" t="s">
        <v>40</v>
      </c>
      <c r="D1236" t="s">
        <v>20</v>
      </c>
      <c r="E1236" t="s">
        <v>42</v>
      </c>
      <c r="F1236" t="s">
        <v>31</v>
      </c>
      <c r="G1236" t="s">
        <v>32</v>
      </c>
      <c r="H1236">
        <v>68</v>
      </c>
      <c r="I1236">
        <v>31</v>
      </c>
      <c r="J1236">
        <v>107</v>
      </c>
      <c r="K1236">
        <v>0</v>
      </c>
      <c r="L1236">
        <v>60</v>
      </c>
      <c r="M1236" s="2">
        <v>891.94</v>
      </c>
      <c r="N1236">
        <v>6</v>
      </c>
      <c r="O1236">
        <v>5</v>
      </c>
      <c r="P1236" t="s">
        <v>33</v>
      </c>
      <c r="Q1236" t="s">
        <v>25</v>
      </c>
      <c r="R1236" t="s">
        <v>26</v>
      </c>
      <c r="S1236" s="2">
        <f t="shared" si="19"/>
        <v>0</v>
      </c>
    </row>
    <row r="1237" spans="1:19" x14ac:dyDescent="0.3">
      <c r="A1237" t="s">
        <v>1298</v>
      </c>
      <c r="B1237" s="1">
        <v>46029</v>
      </c>
      <c r="C1237" t="s">
        <v>68</v>
      </c>
      <c r="D1237" t="s">
        <v>53</v>
      </c>
      <c r="E1237" t="s">
        <v>75</v>
      </c>
      <c r="F1237" t="s">
        <v>22</v>
      </c>
      <c r="G1237" t="s">
        <v>23</v>
      </c>
      <c r="H1237">
        <v>95</v>
      </c>
      <c r="I1237">
        <v>28</v>
      </c>
      <c r="J1237">
        <v>65</v>
      </c>
      <c r="K1237">
        <v>58</v>
      </c>
      <c r="L1237">
        <v>88</v>
      </c>
      <c r="M1237" s="2">
        <v>585.29</v>
      </c>
      <c r="N1237">
        <v>2</v>
      </c>
      <c r="O1237">
        <v>8</v>
      </c>
      <c r="P1237" t="s">
        <v>33</v>
      </c>
      <c r="Q1237" t="s">
        <v>34</v>
      </c>
      <c r="R1237" t="s">
        <v>26</v>
      </c>
      <c r="S1237" s="2">
        <f t="shared" si="19"/>
        <v>33946.82</v>
      </c>
    </row>
    <row r="1238" spans="1:19" x14ac:dyDescent="0.3">
      <c r="A1238" t="s">
        <v>1299</v>
      </c>
      <c r="B1238" s="1">
        <v>46119</v>
      </c>
      <c r="C1238" t="s">
        <v>77</v>
      </c>
      <c r="D1238" t="s">
        <v>53</v>
      </c>
      <c r="E1238" t="s">
        <v>75</v>
      </c>
      <c r="F1238" t="s">
        <v>37</v>
      </c>
      <c r="G1238" t="s">
        <v>38</v>
      </c>
      <c r="H1238">
        <v>112</v>
      </c>
      <c r="I1238">
        <v>112</v>
      </c>
      <c r="J1238">
        <v>76</v>
      </c>
      <c r="K1238">
        <v>148</v>
      </c>
      <c r="L1238">
        <v>57</v>
      </c>
      <c r="M1238" s="2">
        <v>530.19000000000005</v>
      </c>
      <c r="N1238">
        <v>2</v>
      </c>
      <c r="O1238">
        <v>0</v>
      </c>
      <c r="P1238" t="s">
        <v>33</v>
      </c>
      <c r="Q1238" t="s">
        <v>47</v>
      </c>
      <c r="R1238" t="s">
        <v>81</v>
      </c>
      <c r="S1238" s="2">
        <f t="shared" si="19"/>
        <v>78468.12000000001</v>
      </c>
    </row>
    <row r="1239" spans="1:19" x14ac:dyDescent="0.3">
      <c r="A1239" t="s">
        <v>1300</v>
      </c>
      <c r="B1239" s="1">
        <v>46047</v>
      </c>
      <c r="C1239" t="s">
        <v>36</v>
      </c>
      <c r="D1239" t="s">
        <v>29</v>
      </c>
      <c r="E1239" t="s">
        <v>75</v>
      </c>
      <c r="F1239" t="s">
        <v>31</v>
      </c>
      <c r="G1239" t="s">
        <v>32</v>
      </c>
      <c r="H1239">
        <v>184</v>
      </c>
      <c r="I1239">
        <v>126</v>
      </c>
      <c r="J1239">
        <v>70</v>
      </c>
      <c r="K1239">
        <v>240</v>
      </c>
      <c r="L1239">
        <v>80</v>
      </c>
      <c r="M1239" s="2">
        <v>2617.0300000000002</v>
      </c>
      <c r="N1239">
        <v>5</v>
      </c>
      <c r="O1239">
        <v>0</v>
      </c>
      <c r="P1239" t="s">
        <v>33</v>
      </c>
      <c r="Q1239" t="s">
        <v>47</v>
      </c>
      <c r="R1239" t="s">
        <v>59</v>
      </c>
      <c r="S1239" s="2">
        <f t="shared" si="19"/>
        <v>628087.20000000007</v>
      </c>
    </row>
    <row r="1240" spans="1:19" x14ac:dyDescent="0.3">
      <c r="A1240" t="s">
        <v>1301</v>
      </c>
      <c r="B1240" s="1">
        <v>46299</v>
      </c>
      <c r="C1240" t="s">
        <v>45</v>
      </c>
      <c r="D1240" t="s">
        <v>46</v>
      </c>
      <c r="E1240" t="s">
        <v>75</v>
      </c>
      <c r="F1240" t="s">
        <v>37</v>
      </c>
      <c r="G1240" t="s">
        <v>38</v>
      </c>
      <c r="H1240">
        <v>156</v>
      </c>
      <c r="I1240">
        <v>125</v>
      </c>
      <c r="J1240">
        <v>75</v>
      </c>
      <c r="K1240">
        <v>206</v>
      </c>
      <c r="L1240">
        <v>79</v>
      </c>
      <c r="M1240" s="2">
        <v>746.22</v>
      </c>
      <c r="N1240">
        <v>7</v>
      </c>
      <c r="O1240">
        <v>0</v>
      </c>
      <c r="P1240" t="s">
        <v>33</v>
      </c>
      <c r="Q1240" t="s">
        <v>47</v>
      </c>
      <c r="R1240" t="s">
        <v>59</v>
      </c>
      <c r="S1240" s="2">
        <f t="shared" si="19"/>
        <v>153721.32</v>
      </c>
    </row>
    <row r="1241" spans="1:19" x14ac:dyDescent="0.3">
      <c r="A1241" t="s">
        <v>1302</v>
      </c>
      <c r="B1241" s="1">
        <v>46367</v>
      </c>
      <c r="C1241" t="s">
        <v>83</v>
      </c>
      <c r="D1241" t="s">
        <v>29</v>
      </c>
      <c r="E1241" t="s">
        <v>21</v>
      </c>
      <c r="F1241" t="s">
        <v>1582</v>
      </c>
      <c r="G1241" t="s">
        <v>1583</v>
      </c>
      <c r="H1241">
        <v>84</v>
      </c>
      <c r="I1241">
        <v>94</v>
      </c>
      <c r="J1241">
        <v>66</v>
      </c>
      <c r="K1241">
        <v>112</v>
      </c>
      <c r="L1241">
        <v>68</v>
      </c>
      <c r="M1241" s="2">
        <v>1589.59</v>
      </c>
      <c r="N1241">
        <v>4</v>
      </c>
      <c r="O1241">
        <v>0</v>
      </c>
      <c r="P1241" t="s">
        <v>33</v>
      </c>
      <c r="Q1241" t="s">
        <v>34</v>
      </c>
      <c r="R1241" t="s">
        <v>26</v>
      </c>
      <c r="S1241" s="2">
        <f t="shared" si="19"/>
        <v>178034.08</v>
      </c>
    </row>
    <row r="1242" spans="1:19" x14ac:dyDescent="0.3">
      <c r="A1242" t="s">
        <v>1303</v>
      </c>
      <c r="B1242" s="1">
        <v>46299</v>
      </c>
      <c r="C1242" t="s">
        <v>55</v>
      </c>
      <c r="D1242" t="s">
        <v>50</v>
      </c>
      <c r="E1242" t="s">
        <v>21</v>
      </c>
      <c r="F1242" t="s">
        <v>1582</v>
      </c>
      <c r="G1242" t="s">
        <v>1583</v>
      </c>
      <c r="H1242">
        <v>62</v>
      </c>
      <c r="I1242">
        <v>97</v>
      </c>
      <c r="J1242">
        <v>47</v>
      </c>
      <c r="K1242">
        <v>112</v>
      </c>
      <c r="L1242">
        <v>53</v>
      </c>
      <c r="M1242" s="2">
        <v>966.56</v>
      </c>
      <c r="N1242">
        <v>4</v>
      </c>
      <c r="O1242">
        <v>0</v>
      </c>
      <c r="P1242" t="s">
        <v>33</v>
      </c>
      <c r="Q1242" t="s">
        <v>34</v>
      </c>
      <c r="R1242" t="s">
        <v>26</v>
      </c>
      <c r="S1242" s="2">
        <f t="shared" si="19"/>
        <v>108254.72</v>
      </c>
    </row>
    <row r="1243" spans="1:19" x14ac:dyDescent="0.3">
      <c r="A1243" t="s">
        <v>1304</v>
      </c>
      <c r="B1243" s="1">
        <v>46128</v>
      </c>
      <c r="C1243" t="s">
        <v>62</v>
      </c>
      <c r="D1243" t="s">
        <v>29</v>
      </c>
      <c r="E1243" t="s">
        <v>21</v>
      </c>
      <c r="F1243" t="s">
        <v>22</v>
      </c>
      <c r="G1243" t="s">
        <v>23</v>
      </c>
      <c r="H1243">
        <v>193</v>
      </c>
      <c r="I1243">
        <v>63</v>
      </c>
      <c r="J1243">
        <v>84</v>
      </c>
      <c r="K1243">
        <v>172</v>
      </c>
      <c r="L1243">
        <v>85</v>
      </c>
      <c r="M1243" s="2">
        <v>746.48</v>
      </c>
      <c r="N1243">
        <v>3</v>
      </c>
      <c r="O1243">
        <v>0</v>
      </c>
      <c r="P1243" t="s">
        <v>33</v>
      </c>
      <c r="Q1243" t="s">
        <v>34</v>
      </c>
      <c r="R1243" t="s">
        <v>26</v>
      </c>
      <c r="S1243" s="2">
        <f t="shared" si="19"/>
        <v>128394.56</v>
      </c>
    </row>
    <row r="1244" spans="1:19" x14ac:dyDescent="0.3">
      <c r="A1244" t="s">
        <v>1305</v>
      </c>
      <c r="B1244" s="1">
        <v>46107</v>
      </c>
      <c r="C1244" t="s">
        <v>57</v>
      </c>
      <c r="D1244" t="s">
        <v>50</v>
      </c>
      <c r="E1244" t="s">
        <v>58</v>
      </c>
      <c r="F1244" t="s">
        <v>31</v>
      </c>
      <c r="G1244" t="s">
        <v>32</v>
      </c>
      <c r="H1244">
        <v>168</v>
      </c>
      <c r="I1244">
        <v>89</v>
      </c>
      <c r="J1244">
        <v>20</v>
      </c>
      <c r="K1244">
        <v>237</v>
      </c>
      <c r="L1244">
        <v>78</v>
      </c>
      <c r="M1244" s="2">
        <v>2578.14</v>
      </c>
      <c r="N1244">
        <v>2</v>
      </c>
      <c r="O1244">
        <v>0</v>
      </c>
      <c r="P1244" t="s">
        <v>33</v>
      </c>
      <c r="Q1244" t="s">
        <v>47</v>
      </c>
      <c r="R1244" t="s">
        <v>26</v>
      </c>
      <c r="S1244" s="2">
        <f t="shared" si="19"/>
        <v>611019.17999999993</v>
      </c>
    </row>
    <row r="1245" spans="1:19" x14ac:dyDescent="0.3">
      <c r="A1245" t="s">
        <v>1306</v>
      </c>
      <c r="B1245" s="1">
        <v>46318</v>
      </c>
      <c r="C1245" t="s">
        <v>83</v>
      </c>
      <c r="D1245" t="s">
        <v>29</v>
      </c>
      <c r="E1245" t="s">
        <v>58</v>
      </c>
      <c r="F1245" t="s">
        <v>31</v>
      </c>
      <c r="G1245" t="s">
        <v>32</v>
      </c>
      <c r="H1245">
        <v>123</v>
      </c>
      <c r="I1245">
        <v>113</v>
      </c>
      <c r="J1245">
        <v>62</v>
      </c>
      <c r="K1245">
        <v>174</v>
      </c>
      <c r="L1245">
        <v>80</v>
      </c>
      <c r="M1245" s="2">
        <v>1739.82</v>
      </c>
      <c r="N1245">
        <v>6</v>
      </c>
      <c r="O1245">
        <v>0</v>
      </c>
      <c r="P1245" t="s">
        <v>33</v>
      </c>
      <c r="Q1245" t="s">
        <v>34</v>
      </c>
      <c r="R1245" t="s">
        <v>26</v>
      </c>
      <c r="S1245" s="2">
        <f t="shared" si="19"/>
        <v>302728.68</v>
      </c>
    </row>
    <row r="1246" spans="1:19" x14ac:dyDescent="0.3">
      <c r="A1246" t="s">
        <v>1307</v>
      </c>
      <c r="B1246" s="1">
        <v>46281</v>
      </c>
      <c r="C1246" t="s">
        <v>146</v>
      </c>
      <c r="D1246" t="s">
        <v>46</v>
      </c>
      <c r="E1246" t="s">
        <v>75</v>
      </c>
      <c r="F1246" t="s">
        <v>22</v>
      </c>
      <c r="G1246" t="s">
        <v>23</v>
      </c>
      <c r="H1246">
        <v>203</v>
      </c>
      <c r="I1246">
        <v>102</v>
      </c>
      <c r="J1246">
        <v>73</v>
      </c>
      <c r="K1246">
        <v>232</v>
      </c>
      <c r="L1246">
        <v>54</v>
      </c>
      <c r="M1246" s="2">
        <v>1600.3</v>
      </c>
      <c r="N1246">
        <v>8</v>
      </c>
      <c r="O1246">
        <v>0</v>
      </c>
      <c r="P1246" t="s">
        <v>33</v>
      </c>
      <c r="Q1246" t="s">
        <v>47</v>
      </c>
      <c r="R1246" t="s">
        <v>26</v>
      </c>
      <c r="S1246" s="2">
        <f t="shared" si="19"/>
        <v>371269.6</v>
      </c>
    </row>
    <row r="1247" spans="1:19" x14ac:dyDescent="0.3">
      <c r="A1247" t="s">
        <v>1308</v>
      </c>
      <c r="B1247" s="1">
        <v>46120</v>
      </c>
      <c r="C1247" t="s">
        <v>40</v>
      </c>
      <c r="D1247" t="s">
        <v>20</v>
      </c>
      <c r="E1247" t="s">
        <v>42</v>
      </c>
      <c r="F1247" t="s">
        <v>31</v>
      </c>
      <c r="G1247" t="s">
        <v>32</v>
      </c>
      <c r="H1247">
        <v>217</v>
      </c>
      <c r="I1247">
        <v>59</v>
      </c>
      <c r="J1247">
        <v>45</v>
      </c>
      <c r="K1247">
        <v>231</v>
      </c>
      <c r="L1247">
        <v>93</v>
      </c>
      <c r="M1247" s="2">
        <v>883.1</v>
      </c>
      <c r="N1247">
        <v>8</v>
      </c>
      <c r="O1247">
        <v>0</v>
      </c>
      <c r="P1247" t="s">
        <v>33</v>
      </c>
      <c r="Q1247" t="s">
        <v>47</v>
      </c>
      <c r="R1247" t="s">
        <v>26</v>
      </c>
      <c r="S1247" s="2">
        <f t="shared" si="19"/>
        <v>203996.1</v>
      </c>
    </row>
    <row r="1248" spans="1:19" x14ac:dyDescent="0.3">
      <c r="A1248" t="s">
        <v>1309</v>
      </c>
      <c r="B1248" s="1">
        <v>46361</v>
      </c>
      <c r="C1248" t="s">
        <v>19</v>
      </c>
      <c r="D1248" t="s">
        <v>20</v>
      </c>
      <c r="E1248" t="s">
        <v>75</v>
      </c>
      <c r="F1248" t="s">
        <v>37</v>
      </c>
      <c r="G1248" t="s">
        <v>38</v>
      </c>
      <c r="H1248">
        <v>70</v>
      </c>
      <c r="I1248">
        <v>46</v>
      </c>
      <c r="J1248">
        <v>38</v>
      </c>
      <c r="K1248">
        <v>78</v>
      </c>
      <c r="L1248">
        <v>97</v>
      </c>
      <c r="M1248" s="2">
        <v>1899.38</v>
      </c>
      <c r="N1248">
        <v>4</v>
      </c>
      <c r="O1248">
        <v>6</v>
      </c>
      <c r="P1248" t="s">
        <v>24</v>
      </c>
      <c r="Q1248" t="s">
        <v>34</v>
      </c>
      <c r="R1248" t="s">
        <v>81</v>
      </c>
      <c r="S1248" s="2">
        <f t="shared" si="19"/>
        <v>148151.64000000001</v>
      </c>
    </row>
    <row r="1249" spans="1:19" x14ac:dyDescent="0.3">
      <c r="A1249" t="s">
        <v>1310</v>
      </c>
      <c r="B1249" s="1">
        <v>46337</v>
      </c>
      <c r="C1249" t="s">
        <v>57</v>
      </c>
      <c r="D1249" t="s">
        <v>50</v>
      </c>
      <c r="E1249" t="s">
        <v>30</v>
      </c>
      <c r="F1249" t="s">
        <v>37</v>
      </c>
      <c r="G1249" t="s">
        <v>38</v>
      </c>
      <c r="H1249">
        <v>127</v>
      </c>
      <c r="I1249">
        <v>69</v>
      </c>
      <c r="J1249">
        <v>62</v>
      </c>
      <c r="K1249">
        <v>134</v>
      </c>
      <c r="L1249">
        <v>58</v>
      </c>
      <c r="M1249" s="2">
        <v>2690.12</v>
      </c>
      <c r="N1249">
        <v>6</v>
      </c>
      <c r="O1249">
        <v>0</v>
      </c>
      <c r="P1249" t="s">
        <v>33</v>
      </c>
      <c r="Q1249" t="s">
        <v>47</v>
      </c>
      <c r="R1249" t="s">
        <v>26</v>
      </c>
      <c r="S1249" s="2">
        <f t="shared" si="19"/>
        <v>360476.07999999996</v>
      </c>
    </row>
    <row r="1250" spans="1:19" x14ac:dyDescent="0.3">
      <c r="A1250" t="s">
        <v>1311</v>
      </c>
      <c r="B1250" s="1">
        <v>46298</v>
      </c>
      <c r="C1250" t="s">
        <v>77</v>
      </c>
      <c r="D1250" t="s">
        <v>53</v>
      </c>
      <c r="E1250" t="s">
        <v>58</v>
      </c>
      <c r="F1250" t="s">
        <v>31</v>
      </c>
      <c r="G1250" t="s">
        <v>32</v>
      </c>
      <c r="H1250">
        <v>167</v>
      </c>
      <c r="I1250">
        <v>60</v>
      </c>
      <c r="J1250">
        <v>59</v>
      </c>
      <c r="K1250">
        <v>168</v>
      </c>
      <c r="L1250">
        <v>46</v>
      </c>
      <c r="M1250" s="2">
        <v>475.58</v>
      </c>
      <c r="N1250">
        <v>5</v>
      </c>
      <c r="O1250">
        <v>0</v>
      </c>
      <c r="P1250" t="s">
        <v>33</v>
      </c>
      <c r="Q1250" t="s">
        <v>47</v>
      </c>
      <c r="R1250" t="s">
        <v>26</v>
      </c>
      <c r="S1250" s="2">
        <f t="shared" si="19"/>
        <v>79897.440000000002</v>
      </c>
    </row>
    <row r="1251" spans="1:19" x14ac:dyDescent="0.3">
      <c r="A1251" t="s">
        <v>1312</v>
      </c>
      <c r="B1251" s="1">
        <v>46152</v>
      </c>
      <c r="C1251" t="s">
        <v>40</v>
      </c>
      <c r="D1251" t="s">
        <v>20</v>
      </c>
      <c r="E1251" t="s">
        <v>30</v>
      </c>
      <c r="F1251" t="s">
        <v>37</v>
      </c>
      <c r="G1251" t="s">
        <v>38</v>
      </c>
      <c r="H1251">
        <v>215</v>
      </c>
      <c r="I1251">
        <v>82</v>
      </c>
      <c r="J1251">
        <v>18</v>
      </c>
      <c r="K1251">
        <v>279</v>
      </c>
      <c r="L1251">
        <v>69</v>
      </c>
      <c r="M1251" s="2">
        <v>816.96</v>
      </c>
      <c r="N1251">
        <v>5</v>
      </c>
      <c r="O1251">
        <v>0</v>
      </c>
      <c r="P1251" t="s">
        <v>33</v>
      </c>
      <c r="Q1251" t="s">
        <v>47</v>
      </c>
      <c r="R1251" t="s">
        <v>26</v>
      </c>
      <c r="S1251" s="2">
        <f t="shared" si="19"/>
        <v>227931.84</v>
      </c>
    </row>
    <row r="1252" spans="1:19" x14ac:dyDescent="0.3">
      <c r="A1252" t="s">
        <v>1313</v>
      </c>
      <c r="B1252" s="1">
        <v>46188</v>
      </c>
      <c r="C1252" t="s">
        <v>77</v>
      </c>
      <c r="D1252" t="s">
        <v>53</v>
      </c>
      <c r="E1252" t="s">
        <v>75</v>
      </c>
      <c r="F1252" t="s">
        <v>22</v>
      </c>
      <c r="G1252" t="s">
        <v>23</v>
      </c>
      <c r="H1252">
        <v>201</v>
      </c>
      <c r="I1252">
        <v>32</v>
      </c>
      <c r="J1252">
        <v>73</v>
      </c>
      <c r="K1252">
        <v>160</v>
      </c>
      <c r="L1252">
        <v>69</v>
      </c>
      <c r="M1252" s="2">
        <v>524.91</v>
      </c>
      <c r="N1252">
        <v>3</v>
      </c>
      <c r="O1252">
        <v>0</v>
      </c>
      <c r="P1252" t="s">
        <v>33</v>
      </c>
      <c r="Q1252" t="s">
        <v>47</v>
      </c>
      <c r="R1252" t="s">
        <v>26</v>
      </c>
      <c r="S1252" s="2">
        <f t="shared" si="19"/>
        <v>83985.599999999991</v>
      </c>
    </row>
    <row r="1253" spans="1:19" x14ac:dyDescent="0.3">
      <c r="A1253" t="s">
        <v>1314</v>
      </c>
      <c r="B1253" s="1">
        <v>46115</v>
      </c>
      <c r="C1253" t="s">
        <v>146</v>
      </c>
      <c r="D1253" t="s">
        <v>46</v>
      </c>
      <c r="E1253" t="s">
        <v>42</v>
      </c>
      <c r="F1253" t="s">
        <v>1582</v>
      </c>
      <c r="G1253" t="s">
        <v>1583</v>
      </c>
      <c r="H1253">
        <v>64</v>
      </c>
      <c r="I1253">
        <v>21</v>
      </c>
      <c r="J1253">
        <v>102</v>
      </c>
      <c r="K1253">
        <v>0</v>
      </c>
      <c r="L1253">
        <v>53</v>
      </c>
      <c r="M1253" s="2">
        <v>1528.03</v>
      </c>
      <c r="N1253">
        <v>7</v>
      </c>
      <c r="O1253">
        <v>8</v>
      </c>
      <c r="P1253" t="s">
        <v>33</v>
      </c>
      <c r="Q1253" t="s">
        <v>25</v>
      </c>
      <c r="R1253" t="s">
        <v>26</v>
      </c>
      <c r="S1253" s="2">
        <f t="shared" si="19"/>
        <v>0</v>
      </c>
    </row>
    <row r="1254" spans="1:19" x14ac:dyDescent="0.3">
      <c r="A1254" t="s">
        <v>1315</v>
      </c>
      <c r="B1254" s="1">
        <v>46254</v>
      </c>
      <c r="C1254" t="s">
        <v>49</v>
      </c>
      <c r="D1254" t="s">
        <v>50</v>
      </c>
      <c r="E1254" t="s">
        <v>30</v>
      </c>
      <c r="F1254" t="s">
        <v>1582</v>
      </c>
      <c r="G1254" t="s">
        <v>1583</v>
      </c>
      <c r="H1254">
        <v>177</v>
      </c>
      <c r="I1254">
        <v>103</v>
      </c>
      <c r="J1254">
        <v>107</v>
      </c>
      <c r="K1254">
        <v>173</v>
      </c>
      <c r="L1254">
        <v>48</v>
      </c>
      <c r="M1254" s="2">
        <v>1235.83</v>
      </c>
      <c r="N1254">
        <v>2</v>
      </c>
      <c r="O1254">
        <v>0</v>
      </c>
      <c r="P1254" t="s">
        <v>33</v>
      </c>
      <c r="Q1254" t="s">
        <v>47</v>
      </c>
      <c r="R1254" t="s">
        <v>26</v>
      </c>
      <c r="S1254" s="2">
        <f t="shared" si="19"/>
        <v>213798.59</v>
      </c>
    </row>
    <row r="1255" spans="1:19" x14ac:dyDescent="0.3">
      <c r="A1255" t="s">
        <v>1316</v>
      </c>
      <c r="B1255" s="1">
        <v>46150</v>
      </c>
      <c r="C1255" t="s">
        <v>80</v>
      </c>
      <c r="D1255" t="s">
        <v>46</v>
      </c>
      <c r="E1255" t="s">
        <v>75</v>
      </c>
      <c r="F1255" t="s">
        <v>37</v>
      </c>
      <c r="G1255" t="s">
        <v>38</v>
      </c>
      <c r="H1255">
        <v>193</v>
      </c>
      <c r="I1255">
        <v>62</v>
      </c>
      <c r="J1255">
        <v>69</v>
      </c>
      <c r="K1255">
        <v>186</v>
      </c>
      <c r="L1255">
        <v>52</v>
      </c>
      <c r="M1255" s="2">
        <v>1141.0999999999999</v>
      </c>
      <c r="N1255">
        <v>8</v>
      </c>
      <c r="O1255">
        <v>0</v>
      </c>
      <c r="P1255" t="s">
        <v>24</v>
      </c>
      <c r="Q1255" t="s">
        <v>47</v>
      </c>
      <c r="R1255" t="s">
        <v>26</v>
      </c>
      <c r="S1255" s="2">
        <f t="shared" si="19"/>
        <v>212244.59999999998</v>
      </c>
    </row>
    <row r="1256" spans="1:19" x14ac:dyDescent="0.3">
      <c r="A1256" t="s">
        <v>1317</v>
      </c>
      <c r="B1256" s="1">
        <v>46250</v>
      </c>
      <c r="C1256" t="s">
        <v>40</v>
      </c>
      <c r="D1256" t="s">
        <v>20</v>
      </c>
      <c r="E1256" t="s">
        <v>42</v>
      </c>
      <c r="F1256" t="s">
        <v>1582</v>
      </c>
      <c r="G1256" t="s">
        <v>1583</v>
      </c>
      <c r="H1256">
        <v>51</v>
      </c>
      <c r="I1256">
        <v>58</v>
      </c>
      <c r="J1256">
        <v>38</v>
      </c>
      <c r="K1256">
        <v>71</v>
      </c>
      <c r="L1256">
        <v>59</v>
      </c>
      <c r="M1256" s="2">
        <v>871.21</v>
      </c>
      <c r="N1256">
        <v>7</v>
      </c>
      <c r="O1256">
        <v>0</v>
      </c>
      <c r="P1256" t="s">
        <v>33</v>
      </c>
      <c r="Q1256" t="s">
        <v>34</v>
      </c>
      <c r="R1256" t="s">
        <v>26</v>
      </c>
      <c r="S1256" s="2">
        <f t="shared" si="19"/>
        <v>61855.91</v>
      </c>
    </row>
    <row r="1257" spans="1:19" x14ac:dyDescent="0.3">
      <c r="A1257" t="s">
        <v>1318</v>
      </c>
      <c r="B1257" s="1">
        <v>46033</v>
      </c>
      <c r="C1257" t="s">
        <v>19</v>
      </c>
      <c r="D1257" t="s">
        <v>20</v>
      </c>
      <c r="E1257" t="s">
        <v>42</v>
      </c>
      <c r="F1257" t="s">
        <v>22</v>
      </c>
      <c r="G1257" t="s">
        <v>23</v>
      </c>
      <c r="H1257">
        <v>73</v>
      </c>
      <c r="I1257">
        <v>114</v>
      </c>
      <c r="J1257">
        <v>92</v>
      </c>
      <c r="K1257">
        <v>95</v>
      </c>
      <c r="L1257">
        <v>81</v>
      </c>
      <c r="M1257" s="2">
        <v>1628.52</v>
      </c>
      <c r="N1257">
        <v>5</v>
      </c>
      <c r="O1257">
        <v>0</v>
      </c>
      <c r="P1257" t="s">
        <v>33</v>
      </c>
      <c r="Q1257" t="s">
        <v>34</v>
      </c>
      <c r="R1257" t="s">
        <v>59</v>
      </c>
      <c r="S1257" s="2">
        <f t="shared" si="19"/>
        <v>154709.4</v>
      </c>
    </row>
    <row r="1258" spans="1:19" x14ac:dyDescent="0.3">
      <c r="A1258" t="s">
        <v>1319</v>
      </c>
      <c r="B1258" s="1">
        <v>46157</v>
      </c>
      <c r="C1258" t="s">
        <v>52</v>
      </c>
      <c r="D1258" t="s">
        <v>53</v>
      </c>
      <c r="E1258" t="s">
        <v>30</v>
      </c>
      <c r="F1258" t="s">
        <v>31</v>
      </c>
      <c r="G1258" t="s">
        <v>32</v>
      </c>
      <c r="H1258">
        <v>147</v>
      </c>
      <c r="I1258">
        <v>80</v>
      </c>
      <c r="J1258">
        <v>19</v>
      </c>
      <c r="K1258">
        <v>208</v>
      </c>
      <c r="L1258">
        <v>62</v>
      </c>
      <c r="M1258" s="2">
        <v>641.72</v>
      </c>
      <c r="N1258">
        <v>7</v>
      </c>
      <c r="O1258">
        <v>0</v>
      </c>
      <c r="P1258" t="s">
        <v>33</v>
      </c>
      <c r="Q1258" t="s">
        <v>47</v>
      </c>
      <c r="R1258" t="s">
        <v>26</v>
      </c>
      <c r="S1258" s="2">
        <f t="shared" si="19"/>
        <v>133477.76000000001</v>
      </c>
    </row>
    <row r="1259" spans="1:19" x14ac:dyDescent="0.3">
      <c r="A1259" t="s">
        <v>1320</v>
      </c>
      <c r="B1259" s="1">
        <v>46302</v>
      </c>
      <c r="C1259" t="s">
        <v>146</v>
      </c>
      <c r="D1259" t="s">
        <v>46</v>
      </c>
      <c r="E1259" t="s">
        <v>58</v>
      </c>
      <c r="F1259" t="s">
        <v>22</v>
      </c>
      <c r="G1259" t="s">
        <v>23</v>
      </c>
      <c r="H1259">
        <v>75</v>
      </c>
      <c r="I1259">
        <v>35</v>
      </c>
      <c r="J1259">
        <v>18</v>
      </c>
      <c r="K1259">
        <v>92</v>
      </c>
      <c r="L1259">
        <v>55</v>
      </c>
      <c r="M1259" s="2">
        <v>1375.91</v>
      </c>
      <c r="N1259">
        <v>3</v>
      </c>
      <c r="O1259">
        <v>0</v>
      </c>
      <c r="P1259" t="s">
        <v>33</v>
      </c>
      <c r="Q1259" t="s">
        <v>34</v>
      </c>
      <c r="R1259" t="s">
        <v>26</v>
      </c>
      <c r="S1259" s="2">
        <f t="shared" si="19"/>
        <v>126583.72</v>
      </c>
    </row>
    <row r="1260" spans="1:19" x14ac:dyDescent="0.3">
      <c r="A1260" t="s">
        <v>1321</v>
      </c>
      <c r="B1260" s="1">
        <v>46091</v>
      </c>
      <c r="C1260" t="s">
        <v>45</v>
      </c>
      <c r="D1260" t="s">
        <v>46</v>
      </c>
      <c r="E1260" t="s">
        <v>58</v>
      </c>
      <c r="F1260" t="s">
        <v>31</v>
      </c>
      <c r="G1260" t="s">
        <v>32</v>
      </c>
      <c r="H1260">
        <v>208</v>
      </c>
      <c r="I1260">
        <v>43</v>
      </c>
      <c r="J1260">
        <v>89</v>
      </c>
      <c r="K1260">
        <v>162</v>
      </c>
      <c r="L1260">
        <v>71</v>
      </c>
      <c r="M1260" s="2">
        <v>738.54</v>
      </c>
      <c r="N1260">
        <v>2</v>
      </c>
      <c r="O1260">
        <v>0</v>
      </c>
      <c r="P1260" t="s">
        <v>33</v>
      </c>
      <c r="Q1260" t="s">
        <v>47</v>
      </c>
      <c r="R1260" t="s">
        <v>26</v>
      </c>
      <c r="S1260" s="2">
        <f t="shared" si="19"/>
        <v>119643.48</v>
      </c>
    </row>
    <row r="1261" spans="1:19" x14ac:dyDescent="0.3">
      <c r="A1261" t="s">
        <v>1322</v>
      </c>
      <c r="B1261" s="1">
        <v>46093</v>
      </c>
      <c r="C1261" t="s">
        <v>57</v>
      </c>
      <c r="D1261" t="s">
        <v>50</v>
      </c>
      <c r="E1261" t="s">
        <v>21</v>
      </c>
      <c r="F1261" t="s">
        <v>31</v>
      </c>
      <c r="G1261" t="s">
        <v>32</v>
      </c>
      <c r="H1261">
        <v>170</v>
      </c>
      <c r="I1261">
        <v>120</v>
      </c>
      <c r="J1261">
        <v>16</v>
      </c>
      <c r="K1261">
        <v>274</v>
      </c>
      <c r="L1261">
        <v>52</v>
      </c>
      <c r="M1261" s="2">
        <v>2813.76</v>
      </c>
      <c r="N1261">
        <v>4</v>
      </c>
      <c r="O1261">
        <v>0</v>
      </c>
      <c r="P1261" t="s">
        <v>33</v>
      </c>
      <c r="Q1261" t="s">
        <v>47</v>
      </c>
      <c r="R1261" t="s">
        <v>26</v>
      </c>
      <c r="S1261" s="2">
        <f t="shared" si="19"/>
        <v>770970.24000000011</v>
      </c>
    </row>
    <row r="1262" spans="1:19" x14ac:dyDescent="0.3">
      <c r="A1262" t="s">
        <v>1323</v>
      </c>
      <c r="B1262" s="1">
        <v>46344</v>
      </c>
      <c r="C1262" t="s">
        <v>80</v>
      </c>
      <c r="D1262" t="s">
        <v>46</v>
      </c>
      <c r="E1262" t="s">
        <v>58</v>
      </c>
      <c r="F1262" t="s">
        <v>22</v>
      </c>
      <c r="G1262" t="s">
        <v>23</v>
      </c>
      <c r="H1262">
        <v>88</v>
      </c>
      <c r="I1262">
        <v>104</v>
      </c>
      <c r="J1262">
        <v>75</v>
      </c>
      <c r="K1262">
        <v>117</v>
      </c>
      <c r="L1262">
        <v>75</v>
      </c>
      <c r="M1262" s="2">
        <v>1095.32</v>
      </c>
      <c r="N1262">
        <v>2</v>
      </c>
      <c r="O1262">
        <v>0</v>
      </c>
      <c r="P1262" t="s">
        <v>33</v>
      </c>
      <c r="Q1262" t="s">
        <v>34</v>
      </c>
      <c r="R1262" t="s">
        <v>26</v>
      </c>
      <c r="S1262" s="2">
        <f t="shared" si="19"/>
        <v>128152.43999999999</v>
      </c>
    </row>
    <row r="1263" spans="1:19" x14ac:dyDescent="0.3">
      <c r="A1263" t="s">
        <v>1324</v>
      </c>
      <c r="B1263" s="1">
        <v>46234</v>
      </c>
      <c r="C1263" t="s">
        <v>77</v>
      </c>
      <c r="D1263" t="s">
        <v>53</v>
      </c>
      <c r="E1263" t="s">
        <v>42</v>
      </c>
      <c r="F1263" t="s">
        <v>22</v>
      </c>
      <c r="G1263" t="s">
        <v>23</v>
      </c>
      <c r="H1263">
        <v>170</v>
      </c>
      <c r="I1263">
        <v>38</v>
      </c>
      <c r="J1263">
        <v>23</v>
      </c>
      <c r="K1263">
        <v>185</v>
      </c>
      <c r="L1263">
        <v>75</v>
      </c>
      <c r="M1263" s="2">
        <v>501.34</v>
      </c>
      <c r="N1263">
        <v>2</v>
      </c>
      <c r="O1263">
        <v>0</v>
      </c>
      <c r="P1263" t="s">
        <v>33</v>
      </c>
      <c r="Q1263" t="s">
        <v>47</v>
      </c>
      <c r="R1263" t="s">
        <v>26</v>
      </c>
      <c r="S1263" s="2">
        <f t="shared" si="19"/>
        <v>92747.9</v>
      </c>
    </row>
    <row r="1264" spans="1:19" x14ac:dyDescent="0.3">
      <c r="A1264" t="s">
        <v>1325</v>
      </c>
      <c r="B1264" s="1">
        <v>46214</v>
      </c>
      <c r="C1264" t="s">
        <v>80</v>
      </c>
      <c r="D1264" t="s">
        <v>46</v>
      </c>
      <c r="E1264" t="s">
        <v>21</v>
      </c>
      <c r="F1264" t="s">
        <v>1582</v>
      </c>
      <c r="G1264" t="s">
        <v>1583</v>
      </c>
      <c r="H1264">
        <v>55</v>
      </c>
      <c r="I1264">
        <v>116</v>
      </c>
      <c r="J1264">
        <v>70</v>
      </c>
      <c r="K1264">
        <v>101</v>
      </c>
      <c r="L1264">
        <v>47</v>
      </c>
      <c r="M1264" s="2">
        <v>1181.55</v>
      </c>
      <c r="N1264">
        <v>8</v>
      </c>
      <c r="O1264">
        <v>0</v>
      </c>
      <c r="P1264" t="s">
        <v>33</v>
      </c>
      <c r="Q1264" t="s">
        <v>34</v>
      </c>
      <c r="R1264" t="s">
        <v>26</v>
      </c>
      <c r="S1264" s="2">
        <f t="shared" si="19"/>
        <v>119336.54999999999</v>
      </c>
    </row>
    <row r="1265" spans="1:19" x14ac:dyDescent="0.3">
      <c r="A1265" t="s">
        <v>1326</v>
      </c>
      <c r="B1265" s="1">
        <v>46289</v>
      </c>
      <c r="C1265" t="s">
        <v>55</v>
      </c>
      <c r="D1265" t="s">
        <v>50</v>
      </c>
      <c r="E1265" t="s">
        <v>30</v>
      </c>
      <c r="F1265" t="s">
        <v>22</v>
      </c>
      <c r="G1265" t="s">
        <v>23</v>
      </c>
      <c r="H1265">
        <v>72</v>
      </c>
      <c r="I1265">
        <v>81</v>
      </c>
      <c r="J1265">
        <v>93</v>
      </c>
      <c r="K1265">
        <v>60</v>
      </c>
      <c r="L1265">
        <v>95</v>
      </c>
      <c r="M1265" s="2">
        <v>1001.91</v>
      </c>
      <c r="N1265">
        <v>5</v>
      </c>
      <c r="O1265">
        <v>3</v>
      </c>
      <c r="P1265" t="s">
        <v>33</v>
      </c>
      <c r="Q1265" t="s">
        <v>25</v>
      </c>
      <c r="R1265" t="s">
        <v>26</v>
      </c>
      <c r="S1265" s="2">
        <f t="shared" si="19"/>
        <v>60114.6</v>
      </c>
    </row>
    <row r="1266" spans="1:19" x14ac:dyDescent="0.3">
      <c r="A1266" t="s">
        <v>1327</v>
      </c>
      <c r="B1266" s="1">
        <v>46351</v>
      </c>
      <c r="C1266" t="s">
        <v>146</v>
      </c>
      <c r="D1266" t="s">
        <v>46</v>
      </c>
      <c r="E1266" t="s">
        <v>75</v>
      </c>
      <c r="F1266" t="s">
        <v>1582</v>
      </c>
      <c r="G1266" t="s">
        <v>1583</v>
      </c>
      <c r="H1266">
        <v>193</v>
      </c>
      <c r="I1266">
        <v>23</v>
      </c>
      <c r="J1266">
        <v>68</v>
      </c>
      <c r="K1266">
        <v>148</v>
      </c>
      <c r="L1266">
        <v>49</v>
      </c>
      <c r="M1266" s="2">
        <v>1518.51</v>
      </c>
      <c r="N1266">
        <v>7</v>
      </c>
      <c r="O1266">
        <v>0</v>
      </c>
      <c r="P1266" t="s">
        <v>33</v>
      </c>
      <c r="Q1266" t="s">
        <v>47</v>
      </c>
      <c r="R1266" t="s">
        <v>26</v>
      </c>
      <c r="S1266" s="2">
        <f t="shared" si="19"/>
        <v>224739.48</v>
      </c>
    </row>
    <row r="1267" spans="1:19" x14ac:dyDescent="0.3">
      <c r="A1267" t="s">
        <v>1328</v>
      </c>
      <c r="B1267" s="1">
        <v>46263</v>
      </c>
      <c r="C1267" t="s">
        <v>89</v>
      </c>
      <c r="D1267" t="s">
        <v>20</v>
      </c>
      <c r="E1267" t="s">
        <v>21</v>
      </c>
      <c r="F1267" t="s">
        <v>1582</v>
      </c>
      <c r="G1267" t="s">
        <v>1583</v>
      </c>
      <c r="H1267">
        <v>111</v>
      </c>
      <c r="I1267">
        <v>79</v>
      </c>
      <c r="J1267">
        <v>98</v>
      </c>
      <c r="K1267">
        <v>92</v>
      </c>
      <c r="L1267">
        <v>96</v>
      </c>
      <c r="M1267" s="2">
        <v>1316.8</v>
      </c>
      <c r="N1267">
        <v>4</v>
      </c>
      <c r="O1267">
        <v>6</v>
      </c>
      <c r="P1267" t="s">
        <v>33</v>
      </c>
      <c r="Q1267" t="s">
        <v>34</v>
      </c>
      <c r="R1267" t="s">
        <v>43</v>
      </c>
      <c r="S1267" s="2">
        <f t="shared" si="19"/>
        <v>121145.59999999999</v>
      </c>
    </row>
    <row r="1268" spans="1:19" x14ac:dyDescent="0.3">
      <c r="A1268" t="s">
        <v>1329</v>
      </c>
      <c r="B1268" s="1">
        <v>46055</v>
      </c>
      <c r="C1268" t="s">
        <v>68</v>
      </c>
      <c r="D1268" t="s">
        <v>53</v>
      </c>
      <c r="E1268" t="s">
        <v>58</v>
      </c>
      <c r="F1268" t="s">
        <v>22</v>
      </c>
      <c r="G1268" t="s">
        <v>23</v>
      </c>
      <c r="H1268">
        <v>160</v>
      </c>
      <c r="I1268">
        <v>63</v>
      </c>
      <c r="J1268">
        <v>26</v>
      </c>
      <c r="K1268">
        <v>197</v>
      </c>
      <c r="L1268">
        <v>89</v>
      </c>
      <c r="M1268" s="2">
        <v>598.76</v>
      </c>
      <c r="N1268">
        <v>4</v>
      </c>
      <c r="O1268">
        <v>0</v>
      </c>
      <c r="P1268" t="s">
        <v>33</v>
      </c>
      <c r="Q1268" t="s">
        <v>47</v>
      </c>
      <c r="R1268" t="s">
        <v>26</v>
      </c>
      <c r="S1268" s="2">
        <f t="shared" si="19"/>
        <v>117955.72</v>
      </c>
    </row>
    <row r="1269" spans="1:19" x14ac:dyDescent="0.3">
      <c r="A1269" t="s">
        <v>1330</v>
      </c>
      <c r="B1269" s="1">
        <v>46201</v>
      </c>
      <c r="C1269" t="s">
        <v>45</v>
      </c>
      <c r="D1269" t="s">
        <v>46</v>
      </c>
      <c r="E1269" t="s">
        <v>21</v>
      </c>
      <c r="F1269" t="s">
        <v>37</v>
      </c>
      <c r="G1269" t="s">
        <v>38</v>
      </c>
      <c r="H1269">
        <v>192</v>
      </c>
      <c r="I1269">
        <v>85</v>
      </c>
      <c r="J1269">
        <v>44</v>
      </c>
      <c r="K1269">
        <v>233</v>
      </c>
      <c r="L1269">
        <v>65</v>
      </c>
      <c r="M1269" s="2">
        <v>868.29</v>
      </c>
      <c r="N1269">
        <v>4</v>
      </c>
      <c r="O1269">
        <v>0</v>
      </c>
      <c r="P1269" t="s">
        <v>33</v>
      </c>
      <c r="Q1269" t="s">
        <v>47</v>
      </c>
      <c r="R1269" t="s">
        <v>26</v>
      </c>
      <c r="S1269" s="2">
        <f t="shared" si="19"/>
        <v>202311.56999999998</v>
      </c>
    </row>
    <row r="1270" spans="1:19" x14ac:dyDescent="0.3">
      <c r="A1270" t="s">
        <v>1331</v>
      </c>
      <c r="B1270" s="1">
        <v>46094</v>
      </c>
      <c r="C1270" t="s">
        <v>80</v>
      </c>
      <c r="D1270" t="s">
        <v>46</v>
      </c>
      <c r="E1270" t="s">
        <v>21</v>
      </c>
      <c r="F1270" t="s">
        <v>1582</v>
      </c>
      <c r="G1270" t="s">
        <v>1583</v>
      </c>
      <c r="H1270">
        <v>111</v>
      </c>
      <c r="I1270">
        <v>53</v>
      </c>
      <c r="J1270">
        <v>91</v>
      </c>
      <c r="K1270">
        <v>73</v>
      </c>
      <c r="L1270">
        <v>72</v>
      </c>
      <c r="M1270" s="2">
        <v>1137.33</v>
      </c>
      <c r="N1270">
        <v>3</v>
      </c>
      <c r="O1270">
        <v>0</v>
      </c>
      <c r="P1270" t="s">
        <v>33</v>
      </c>
      <c r="Q1270" t="s">
        <v>34</v>
      </c>
      <c r="R1270" t="s">
        <v>43</v>
      </c>
      <c r="S1270" s="2">
        <f t="shared" si="19"/>
        <v>83025.09</v>
      </c>
    </row>
    <row r="1271" spans="1:19" x14ac:dyDescent="0.3">
      <c r="A1271" t="s">
        <v>1332</v>
      </c>
      <c r="B1271" s="1">
        <v>46349</v>
      </c>
      <c r="C1271" t="s">
        <v>80</v>
      </c>
      <c r="D1271" t="s">
        <v>46</v>
      </c>
      <c r="E1271" t="s">
        <v>21</v>
      </c>
      <c r="F1271" t="s">
        <v>37</v>
      </c>
      <c r="G1271" t="s">
        <v>38</v>
      </c>
      <c r="H1271">
        <v>92</v>
      </c>
      <c r="I1271">
        <v>122</v>
      </c>
      <c r="J1271">
        <v>74</v>
      </c>
      <c r="K1271">
        <v>140</v>
      </c>
      <c r="L1271">
        <v>82</v>
      </c>
      <c r="M1271" s="2">
        <v>1104.42</v>
      </c>
      <c r="N1271">
        <v>2</v>
      </c>
      <c r="O1271">
        <v>0</v>
      </c>
      <c r="P1271" t="s">
        <v>33</v>
      </c>
      <c r="Q1271" t="s">
        <v>34</v>
      </c>
      <c r="R1271" t="s">
        <v>43</v>
      </c>
      <c r="S1271" s="2">
        <f t="shared" si="19"/>
        <v>154618.80000000002</v>
      </c>
    </row>
    <row r="1272" spans="1:19" x14ac:dyDescent="0.3">
      <c r="A1272" t="s">
        <v>1333</v>
      </c>
      <c r="B1272" s="1">
        <v>46258</v>
      </c>
      <c r="C1272" t="s">
        <v>28</v>
      </c>
      <c r="D1272" t="s">
        <v>29</v>
      </c>
      <c r="E1272" t="s">
        <v>30</v>
      </c>
      <c r="F1272" t="s">
        <v>37</v>
      </c>
      <c r="G1272" t="s">
        <v>38</v>
      </c>
      <c r="H1272">
        <v>86</v>
      </c>
      <c r="I1272">
        <v>102</v>
      </c>
      <c r="J1272">
        <v>78</v>
      </c>
      <c r="K1272">
        <v>110</v>
      </c>
      <c r="L1272">
        <v>68</v>
      </c>
      <c r="M1272" s="2">
        <v>1233.8599999999999</v>
      </c>
      <c r="N1272">
        <v>5</v>
      </c>
      <c r="O1272">
        <v>0</v>
      </c>
      <c r="P1272" t="s">
        <v>33</v>
      </c>
      <c r="Q1272" t="s">
        <v>34</v>
      </c>
      <c r="R1272" t="s">
        <v>81</v>
      </c>
      <c r="S1272" s="2">
        <f t="shared" si="19"/>
        <v>135724.59999999998</v>
      </c>
    </row>
    <row r="1273" spans="1:19" x14ac:dyDescent="0.3">
      <c r="A1273" t="s">
        <v>1334</v>
      </c>
      <c r="B1273" s="1">
        <v>46057</v>
      </c>
      <c r="C1273" t="s">
        <v>52</v>
      </c>
      <c r="D1273" t="s">
        <v>53</v>
      </c>
      <c r="E1273" t="s">
        <v>42</v>
      </c>
      <c r="F1273" t="s">
        <v>37</v>
      </c>
      <c r="G1273" t="s">
        <v>38</v>
      </c>
      <c r="H1273">
        <v>195</v>
      </c>
      <c r="I1273">
        <v>29</v>
      </c>
      <c r="J1273">
        <v>47</v>
      </c>
      <c r="K1273">
        <v>177</v>
      </c>
      <c r="L1273">
        <v>52</v>
      </c>
      <c r="M1273" s="2">
        <v>710.65</v>
      </c>
      <c r="N1273">
        <v>8</v>
      </c>
      <c r="O1273">
        <v>0</v>
      </c>
      <c r="P1273" t="s">
        <v>33</v>
      </c>
      <c r="Q1273" t="s">
        <v>47</v>
      </c>
      <c r="R1273" t="s">
        <v>26</v>
      </c>
      <c r="S1273" s="2">
        <f t="shared" si="19"/>
        <v>125785.05</v>
      </c>
    </row>
    <row r="1274" spans="1:19" x14ac:dyDescent="0.3">
      <c r="A1274" t="s">
        <v>1335</v>
      </c>
      <c r="B1274" s="1">
        <v>46344</v>
      </c>
      <c r="C1274" t="s">
        <v>83</v>
      </c>
      <c r="D1274" t="s">
        <v>29</v>
      </c>
      <c r="E1274" t="s">
        <v>58</v>
      </c>
      <c r="F1274" t="s">
        <v>1582</v>
      </c>
      <c r="G1274" t="s">
        <v>1583</v>
      </c>
      <c r="H1274">
        <v>180</v>
      </c>
      <c r="I1274">
        <v>94</v>
      </c>
      <c r="J1274">
        <v>50</v>
      </c>
      <c r="K1274">
        <v>224</v>
      </c>
      <c r="L1274">
        <v>77</v>
      </c>
      <c r="M1274" s="2">
        <v>1621.59</v>
      </c>
      <c r="N1274">
        <v>3</v>
      </c>
      <c r="O1274">
        <v>0</v>
      </c>
      <c r="P1274" t="s">
        <v>33</v>
      </c>
      <c r="Q1274" t="s">
        <v>47</v>
      </c>
      <c r="R1274" t="s">
        <v>81</v>
      </c>
      <c r="S1274" s="2">
        <f t="shared" si="19"/>
        <v>363236.16</v>
      </c>
    </row>
    <row r="1275" spans="1:19" x14ac:dyDescent="0.3">
      <c r="A1275" t="s">
        <v>1336</v>
      </c>
      <c r="B1275" s="1">
        <v>46044</v>
      </c>
      <c r="C1275" t="s">
        <v>57</v>
      </c>
      <c r="D1275" t="s">
        <v>50</v>
      </c>
      <c r="E1275" t="s">
        <v>58</v>
      </c>
      <c r="F1275" t="s">
        <v>1582</v>
      </c>
      <c r="G1275" t="s">
        <v>1583</v>
      </c>
      <c r="H1275">
        <v>139</v>
      </c>
      <c r="I1275">
        <v>60</v>
      </c>
      <c r="J1275">
        <v>30</v>
      </c>
      <c r="K1275">
        <v>169</v>
      </c>
      <c r="L1275">
        <v>53</v>
      </c>
      <c r="M1275" s="2">
        <v>2621.42</v>
      </c>
      <c r="N1275">
        <v>4</v>
      </c>
      <c r="O1275">
        <v>0</v>
      </c>
      <c r="P1275" t="s">
        <v>33</v>
      </c>
      <c r="Q1275" t="s">
        <v>47</v>
      </c>
      <c r="R1275" t="s">
        <v>81</v>
      </c>
      <c r="S1275" s="2">
        <f t="shared" si="19"/>
        <v>443019.98000000004</v>
      </c>
    </row>
    <row r="1276" spans="1:19" x14ac:dyDescent="0.3">
      <c r="A1276" t="s">
        <v>1337</v>
      </c>
      <c r="B1276" s="1">
        <v>46053</v>
      </c>
      <c r="C1276" t="s">
        <v>89</v>
      </c>
      <c r="D1276" t="s">
        <v>20</v>
      </c>
      <c r="E1276" t="s">
        <v>75</v>
      </c>
      <c r="F1276" t="s">
        <v>37</v>
      </c>
      <c r="G1276" t="s">
        <v>38</v>
      </c>
      <c r="H1276">
        <v>72</v>
      </c>
      <c r="I1276">
        <v>120</v>
      </c>
      <c r="J1276">
        <v>27</v>
      </c>
      <c r="K1276">
        <v>165</v>
      </c>
      <c r="L1276">
        <v>92</v>
      </c>
      <c r="M1276" s="2">
        <v>1244.81</v>
      </c>
      <c r="N1276">
        <v>3</v>
      </c>
      <c r="O1276">
        <v>0</v>
      </c>
      <c r="P1276" t="s">
        <v>24</v>
      </c>
      <c r="Q1276" t="s">
        <v>34</v>
      </c>
      <c r="R1276" t="s">
        <v>26</v>
      </c>
      <c r="S1276" s="2">
        <f t="shared" si="19"/>
        <v>205393.65</v>
      </c>
    </row>
    <row r="1277" spans="1:19" x14ac:dyDescent="0.3">
      <c r="A1277" t="s">
        <v>1338</v>
      </c>
      <c r="B1277" s="1">
        <v>46305</v>
      </c>
      <c r="C1277" t="s">
        <v>19</v>
      </c>
      <c r="D1277" t="s">
        <v>20</v>
      </c>
      <c r="E1277" t="s">
        <v>21</v>
      </c>
      <c r="F1277" t="s">
        <v>37</v>
      </c>
      <c r="G1277" t="s">
        <v>38</v>
      </c>
      <c r="H1277">
        <v>112</v>
      </c>
      <c r="I1277">
        <v>75</v>
      </c>
      <c r="J1277">
        <v>45</v>
      </c>
      <c r="K1277">
        <v>142</v>
      </c>
      <c r="L1277">
        <v>59</v>
      </c>
      <c r="M1277" s="2">
        <v>1699.36</v>
      </c>
      <c r="N1277">
        <v>6</v>
      </c>
      <c r="O1277">
        <v>0</v>
      </c>
      <c r="P1277" t="s">
        <v>33</v>
      </c>
      <c r="Q1277" t="s">
        <v>47</v>
      </c>
      <c r="R1277" t="s">
        <v>26</v>
      </c>
      <c r="S1277" s="2">
        <f t="shared" si="19"/>
        <v>241309.12</v>
      </c>
    </row>
    <row r="1278" spans="1:19" x14ac:dyDescent="0.3">
      <c r="A1278" t="s">
        <v>1339</v>
      </c>
      <c r="B1278" s="1">
        <v>46300</v>
      </c>
      <c r="C1278" t="s">
        <v>80</v>
      </c>
      <c r="D1278" t="s">
        <v>46</v>
      </c>
      <c r="E1278" t="s">
        <v>42</v>
      </c>
      <c r="F1278" t="s">
        <v>31</v>
      </c>
      <c r="G1278" t="s">
        <v>32</v>
      </c>
      <c r="H1278">
        <v>181</v>
      </c>
      <c r="I1278">
        <v>94</v>
      </c>
      <c r="J1278">
        <v>55</v>
      </c>
      <c r="K1278">
        <v>220</v>
      </c>
      <c r="L1278">
        <v>93</v>
      </c>
      <c r="M1278" s="2">
        <v>1038.3699999999999</v>
      </c>
      <c r="N1278">
        <v>8</v>
      </c>
      <c r="O1278">
        <v>0</v>
      </c>
      <c r="P1278" t="s">
        <v>33</v>
      </c>
      <c r="Q1278" t="s">
        <v>47</v>
      </c>
      <c r="R1278" t="s">
        <v>26</v>
      </c>
      <c r="S1278" s="2">
        <f t="shared" si="19"/>
        <v>228441.39999999997</v>
      </c>
    </row>
    <row r="1279" spans="1:19" x14ac:dyDescent="0.3">
      <c r="A1279" t="s">
        <v>1340</v>
      </c>
      <c r="B1279" s="1">
        <v>46136</v>
      </c>
      <c r="C1279" t="s">
        <v>77</v>
      </c>
      <c r="D1279" t="s">
        <v>53</v>
      </c>
      <c r="E1279" t="s">
        <v>42</v>
      </c>
      <c r="F1279" t="s">
        <v>31</v>
      </c>
      <c r="G1279" t="s">
        <v>32</v>
      </c>
      <c r="H1279">
        <v>186</v>
      </c>
      <c r="I1279">
        <v>114</v>
      </c>
      <c r="J1279">
        <v>93</v>
      </c>
      <c r="K1279">
        <v>207</v>
      </c>
      <c r="L1279">
        <v>62</v>
      </c>
      <c r="M1279" s="2">
        <v>530.96</v>
      </c>
      <c r="N1279">
        <v>2</v>
      </c>
      <c r="O1279">
        <v>0</v>
      </c>
      <c r="P1279" t="s">
        <v>24</v>
      </c>
      <c r="Q1279" t="s">
        <v>47</v>
      </c>
      <c r="R1279" t="s">
        <v>43</v>
      </c>
      <c r="S1279" s="2">
        <f t="shared" si="19"/>
        <v>109908.72</v>
      </c>
    </row>
    <row r="1280" spans="1:19" x14ac:dyDescent="0.3">
      <c r="A1280" t="s">
        <v>1341</v>
      </c>
      <c r="B1280" s="1">
        <v>46330</v>
      </c>
      <c r="C1280" t="s">
        <v>36</v>
      </c>
      <c r="D1280" t="s">
        <v>29</v>
      </c>
      <c r="E1280" t="s">
        <v>30</v>
      </c>
      <c r="F1280" t="s">
        <v>22</v>
      </c>
      <c r="G1280" t="s">
        <v>23</v>
      </c>
      <c r="H1280">
        <v>84</v>
      </c>
      <c r="I1280">
        <v>48</v>
      </c>
      <c r="J1280">
        <v>50</v>
      </c>
      <c r="K1280">
        <v>82</v>
      </c>
      <c r="L1280">
        <v>51</v>
      </c>
      <c r="M1280" s="2">
        <v>2161.52</v>
      </c>
      <c r="N1280">
        <v>7</v>
      </c>
      <c r="O1280">
        <v>0</v>
      </c>
      <c r="P1280" t="s">
        <v>33</v>
      </c>
      <c r="Q1280" t="s">
        <v>34</v>
      </c>
      <c r="R1280" t="s">
        <v>26</v>
      </c>
      <c r="S1280" s="2">
        <f t="shared" si="19"/>
        <v>177244.63999999998</v>
      </c>
    </row>
    <row r="1281" spans="1:19" x14ac:dyDescent="0.3">
      <c r="A1281" t="s">
        <v>1342</v>
      </c>
      <c r="B1281" s="1">
        <v>46337</v>
      </c>
      <c r="C1281" t="s">
        <v>55</v>
      </c>
      <c r="D1281" t="s">
        <v>50</v>
      </c>
      <c r="E1281" t="s">
        <v>42</v>
      </c>
      <c r="F1281" t="s">
        <v>22</v>
      </c>
      <c r="G1281" t="s">
        <v>23</v>
      </c>
      <c r="H1281">
        <v>65</v>
      </c>
      <c r="I1281">
        <v>128</v>
      </c>
      <c r="J1281">
        <v>25</v>
      </c>
      <c r="K1281">
        <v>168</v>
      </c>
      <c r="L1281">
        <v>71</v>
      </c>
      <c r="M1281" s="2">
        <v>1042.49</v>
      </c>
      <c r="N1281">
        <v>5</v>
      </c>
      <c r="O1281">
        <v>0</v>
      </c>
      <c r="P1281" t="s">
        <v>24</v>
      </c>
      <c r="Q1281" t="s">
        <v>47</v>
      </c>
      <c r="R1281" t="s">
        <v>43</v>
      </c>
      <c r="S1281" s="2">
        <f t="shared" si="19"/>
        <v>175138.32</v>
      </c>
    </row>
    <row r="1282" spans="1:19" x14ac:dyDescent="0.3">
      <c r="A1282" t="s">
        <v>1343</v>
      </c>
      <c r="B1282" s="1">
        <v>46282</v>
      </c>
      <c r="C1282" t="s">
        <v>57</v>
      </c>
      <c r="D1282" t="s">
        <v>50</v>
      </c>
      <c r="E1282" t="s">
        <v>30</v>
      </c>
      <c r="F1282" t="s">
        <v>37</v>
      </c>
      <c r="G1282" t="s">
        <v>38</v>
      </c>
      <c r="H1282">
        <v>92</v>
      </c>
      <c r="I1282">
        <v>106</v>
      </c>
      <c r="J1282">
        <v>77</v>
      </c>
      <c r="K1282">
        <v>121</v>
      </c>
      <c r="L1282">
        <v>72</v>
      </c>
      <c r="M1282" s="2">
        <v>2962.17</v>
      </c>
      <c r="N1282">
        <v>6</v>
      </c>
      <c r="O1282">
        <v>0</v>
      </c>
      <c r="P1282" t="s">
        <v>33</v>
      </c>
      <c r="Q1282" t="s">
        <v>34</v>
      </c>
      <c r="R1282" t="s">
        <v>26</v>
      </c>
      <c r="S1282" s="2">
        <f t="shared" ref="S1282:S1345" si="20">K1282*M1282</f>
        <v>358422.57</v>
      </c>
    </row>
    <row r="1283" spans="1:19" x14ac:dyDescent="0.3">
      <c r="A1283" t="s">
        <v>1344</v>
      </c>
      <c r="B1283" s="1">
        <v>46229</v>
      </c>
      <c r="C1283" t="s">
        <v>68</v>
      </c>
      <c r="D1283" t="s">
        <v>53</v>
      </c>
      <c r="E1283" t="s">
        <v>58</v>
      </c>
      <c r="F1283" t="s">
        <v>22</v>
      </c>
      <c r="G1283" t="s">
        <v>23</v>
      </c>
      <c r="H1283">
        <v>135</v>
      </c>
      <c r="I1283">
        <v>38</v>
      </c>
      <c r="J1283">
        <v>105</v>
      </c>
      <c r="K1283">
        <v>68</v>
      </c>
      <c r="L1283">
        <v>49</v>
      </c>
      <c r="M1283" s="2">
        <v>612.11</v>
      </c>
      <c r="N1283">
        <v>7</v>
      </c>
      <c r="O1283">
        <v>0</v>
      </c>
      <c r="P1283" t="s">
        <v>33</v>
      </c>
      <c r="Q1283" t="s">
        <v>34</v>
      </c>
      <c r="R1283" t="s">
        <v>26</v>
      </c>
      <c r="S1283" s="2">
        <f t="shared" si="20"/>
        <v>41623.480000000003</v>
      </c>
    </row>
    <row r="1284" spans="1:19" x14ac:dyDescent="0.3">
      <c r="A1284" t="s">
        <v>1345</v>
      </c>
      <c r="B1284" s="1">
        <v>46311</v>
      </c>
      <c r="C1284" t="s">
        <v>28</v>
      </c>
      <c r="D1284" t="s">
        <v>29</v>
      </c>
      <c r="E1284" t="s">
        <v>21</v>
      </c>
      <c r="F1284" t="s">
        <v>37</v>
      </c>
      <c r="G1284" t="s">
        <v>38</v>
      </c>
      <c r="H1284">
        <v>143</v>
      </c>
      <c r="I1284">
        <v>55</v>
      </c>
      <c r="J1284">
        <v>46</v>
      </c>
      <c r="K1284">
        <v>152</v>
      </c>
      <c r="L1284">
        <v>90</v>
      </c>
      <c r="M1284" s="2">
        <v>1245.58</v>
      </c>
      <c r="N1284">
        <v>6</v>
      </c>
      <c r="O1284">
        <v>0</v>
      </c>
      <c r="P1284" t="s">
        <v>24</v>
      </c>
      <c r="Q1284" t="s">
        <v>34</v>
      </c>
      <c r="R1284" t="s">
        <v>26</v>
      </c>
      <c r="S1284" s="2">
        <f t="shared" si="20"/>
        <v>189328.15999999997</v>
      </c>
    </row>
    <row r="1285" spans="1:19" x14ac:dyDescent="0.3">
      <c r="A1285" t="s">
        <v>1346</v>
      </c>
      <c r="B1285" s="1">
        <v>46240</v>
      </c>
      <c r="C1285" t="s">
        <v>62</v>
      </c>
      <c r="D1285" t="s">
        <v>29</v>
      </c>
      <c r="E1285" t="s">
        <v>58</v>
      </c>
      <c r="F1285" t="s">
        <v>31</v>
      </c>
      <c r="G1285" t="s">
        <v>32</v>
      </c>
      <c r="H1285">
        <v>139</v>
      </c>
      <c r="I1285">
        <v>93</v>
      </c>
      <c r="J1285">
        <v>59</v>
      </c>
      <c r="K1285">
        <v>173</v>
      </c>
      <c r="L1285">
        <v>68</v>
      </c>
      <c r="M1285" s="2">
        <v>683.34</v>
      </c>
      <c r="N1285">
        <v>5</v>
      </c>
      <c r="O1285">
        <v>0</v>
      </c>
      <c r="P1285" t="s">
        <v>33</v>
      </c>
      <c r="Q1285" t="s">
        <v>47</v>
      </c>
      <c r="R1285" t="s">
        <v>26</v>
      </c>
      <c r="S1285" s="2">
        <f t="shared" si="20"/>
        <v>118217.82</v>
      </c>
    </row>
    <row r="1286" spans="1:19" x14ac:dyDescent="0.3">
      <c r="A1286" t="s">
        <v>1347</v>
      </c>
      <c r="B1286" s="1">
        <v>46287</v>
      </c>
      <c r="C1286" t="s">
        <v>40</v>
      </c>
      <c r="D1286" t="s">
        <v>20</v>
      </c>
      <c r="E1286" t="s">
        <v>21</v>
      </c>
      <c r="F1286" t="s">
        <v>37</v>
      </c>
      <c r="G1286" t="s">
        <v>38</v>
      </c>
      <c r="H1286">
        <v>98</v>
      </c>
      <c r="I1286">
        <v>54</v>
      </c>
      <c r="J1286">
        <v>61</v>
      </c>
      <c r="K1286">
        <v>91</v>
      </c>
      <c r="L1286">
        <v>61</v>
      </c>
      <c r="M1286" s="2">
        <v>896.14</v>
      </c>
      <c r="N1286">
        <v>3</v>
      </c>
      <c r="O1286">
        <v>0</v>
      </c>
      <c r="P1286" t="s">
        <v>33</v>
      </c>
      <c r="Q1286" t="s">
        <v>34</v>
      </c>
      <c r="R1286" t="s">
        <v>26</v>
      </c>
      <c r="S1286" s="2">
        <f t="shared" si="20"/>
        <v>81548.740000000005</v>
      </c>
    </row>
    <row r="1287" spans="1:19" x14ac:dyDescent="0.3">
      <c r="A1287" t="s">
        <v>1348</v>
      </c>
      <c r="B1287" s="1">
        <v>46048</v>
      </c>
      <c r="C1287" t="s">
        <v>87</v>
      </c>
      <c r="D1287" t="s">
        <v>53</v>
      </c>
      <c r="E1287" t="s">
        <v>75</v>
      </c>
      <c r="F1287" t="s">
        <v>1582</v>
      </c>
      <c r="G1287" t="s">
        <v>1583</v>
      </c>
      <c r="H1287">
        <v>133</v>
      </c>
      <c r="I1287">
        <v>26</v>
      </c>
      <c r="J1287">
        <v>44</v>
      </c>
      <c r="K1287">
        <v>115</v>
      </c>
      <c r="L1287">
        <v>50</v>
      </c>
      <c r="M1287" s="2">
        <v>468.64</v>
      </c>
      <c r="N1287">
        <v>3</v>
      </c>
      <c r="O1287">
        <v>0</v>
      </c>
      <c r="P1287" t="s">
        <v>24</v>
      </c>
      <c r="Q1287" t="s">
        <v>47</v>
      </c>
      <c r="R1287" t="s">
        <v>59</v>
      </c>
      <c r="S1287" s="2">
        <f t="shared" si="20"/>
        <v>53893.599999999999</v>
      </c>
    </row>
    <row r="1288" spans="1:19" x14ac:dyDescent="0.3">
      <c r="A1288" t="s">
        <v>1349</v>
      </c>
      <c r="B1288" s="1">
        <v>46232</v>
      </c>
      <c r="C1288" t="s">
        <v>109</v>
      </c>
      <c r="D1288" t="s">
        <v>46</v>
      </c>
      <c r="E1288" t="s">
        <v>30</v>
      </c>
      <c r="F1288" t="s">
        <v>37</v>
      </c>
      <c r="G1288" t="s">
        <v>38</v>
      </c>
      <c r="H1288">
        <v>155</v>
      </c>
      <c r="I1288">
        <v>39</v>
      </c>
      <c r="J1288">
        <v>52</v>
      </c>
      <c r="K1288">
        <v>142</v>
      </c>
      <c r="L1288">
        <v>54</v>
      </c>
      <c r="M1288" s="2">
        <v>3429.44</v>
      </c>
      <c r="N1288">
        <v>4</v>
      </c>
      <c r="O1288">
        <v>0</v>
      </c>
      <c r="P1288" t="s">
        <v>33</v>
      </c>
      <c r="Q1288" t="s">
        <v>47</v>
      </c>
      <c r="R1288" t="s">
        <v>26</v>
      </c>
      <c r="S1288" s="2">
        <f t="shared" si="20"/>
        <v>486980.48</v>
      </c>
    </row>
    <row r="1289" spans="1:19" x14ac:dyDescent="0.3">
      <c r="A1289" t="s">
        <v>1350</v>
      </c>
      <c r="B1289" s="1">
        <v>46263</v>
      </c>
      <c r="C1289" t="s">
        <v>80</v>
      </c>
      <c r="D1289" t="s">
        <v>46</v>
      </c>
      <c r="E1289" t="s">
        <v>30</v>
      </c>
      <c r="F1289" t="s">
        <v>31</v>
      </c>
      <c r="G1289" t="s">
        <v>32</v>
      </c>
      <c r="H1289">
        <v>99</v>
      </c>
      <c r="I1289">
        <v>31</v>
      </c>
      <c r="J1289">
        <v>94</v>
      </c>
      <c r="K1289">
        <v>36</v>
      </c>
      <c r="L1289">
        <v>48</v>
      </c>
      <c r="M1289" s="2">
        <v>1115.97</v>
      </c>
      <c r="N1289">
        <v>8</v>
      </c>
      <c r="O1289">
        <v>3</v>
      </c>
      <c r="P1289" t="s">
        <v>33</v>
      </c>
      <c r="Q1289" t="s">
        <v>34</v>
      </c>
      <c r="R1289" t="s">
        <v>26</v>
      </c>
      <c r="S1289" s="2">
        <f t="shared" si="20"/>
        <v>40174.92</v>
      </c>
    </row>
    <row r="1290" spans="1:19" x14ac:dyDescent="0.3">
      <c r="A1290" t="s">
        <v>1351</v>
      </c>
      <c r="B1290" s="1">
        <v>46306</v>
      </c>
      <c r="C1290" t="s">
        <v>72</v>
      </c>
      <c r="D1290" t="s">
        <v>50</v>
      </c>
      <c r="E1290" t="s">
        <v>42</v>
      </c>
      <c r="F1290" t="s">
        <v>31</v>
      </c>
      <c r="G1290" t="s">
        <v>32</v>
      </c>
      <c r="H1290">
        <v>90</v>
      </c>
      <c r="I1290">
        <v>97</v>
      </c>
      <c r="J1290">
        <v>106</v>
      </c>
      <c r="K1290">
        <v>81</v>
      </c>
      <c r="L1290">
        <v>49</v>
      </c>
      <c r="M1290" s="2">
        <v>2009.65</v>
      </c>
      <c r="N1290">
        <v>5</v>
      </c>
      <c r="O1290">
        <v>1</v>
      </c>
      <c r="P1290" t="s">
        <v>33</v>
      </c>
      <c r="Q1290" t="s">
        <v>34</v>
      </c>
      <c r="R1290" t="s">
        <v>59</v>
      </c>
      <c r="S1290" s="2">
        <f t="shared" si="20"/>
        <v>162781.65</v>
      </c>
    </row>
    <row r="1291" spans="1:19" x14ac:dyDescent="0.3">
      <c r="A1291" t="s">
        <v>1352</v>
      </c>
      <c r="B1291" s="1">
        <v>46279</v>
      </c>
      <c r="C1291" t="s">
        <v>80</v>
      </c>
      <c r="D1291" t="s">
        <v>46</v>
      </c>
      <c r="E1291" t="s">
        <v>42</v>
      </c>
      <c r="F1291" t="s">
        <v>22</v>
      </c>
      <c r="G1291" t="s">
        <v>23</v>
      </c>
      <c r="H1291">
        <v>102</v>
      </c>
      <c r="I1291">
        <v>120</v>
      </c>
      <c r="J1291">
        <v>16</v>
      </c>
      <c r="K1291">
        <v>206</v>
      </c>
      <c r="L1291">
        <v>65</v>
      </c>
      <c r="M1291" s="2">
        <v>1178.19</v>
      </c>
      <c r="N1291">
        <v>8</v>
      </c>
      <c r="O1291">
        <v>0</v>
      </c>
      <c r="P1291" t="s">
        <v>33</v>
      </c>
      <c r="Q1291" t="s">
        <v>47</v>
      </c>
      <c r="R1291" t="s">
        <v>43</v>
      </c>
      <c r="S1291" s="2">
        <f t="shared" si="20"/>
        <v>242707.14</v>
      </c>
    </row>
    <row r="1292" spans="1:19" x14ac:dyDescent="0.3">
      <c r="A1292" t="s">
        <v>1353</v>
      </c>
      <c r="B1292" s="1">
        <v>46165</v>
      </c>
      <c r="C1292" t="s">
        <v>77</v>
      </c>
      <c r="D1292" t="s">
        <v>53</v>
      </c>
      <c r="E1292" t="s">
        <v>58</v>
      </c>
      <c r="F1292" t="s">
        <v>22</v>
      </c>
      <c r="G1292" t="s">
        <v>23</v>
      </c>
      <c r="H1292">
        <v>82</v>
      </c>
      <c r="I1292">
        <v>26</v>
      </c>
      <c r="J1292">
        <v>75</v>
      </c>
      <c r="K1292">
        <v>33</v>
      </c>
      <c r="L1292">
        <v>54</v>
      </c>
      <c r="M1292" s="2">
        <v>534.65</v>
      </c>
      <c r="N1292">
        <v>3</v>
      </c>
      <c r="O1292">
        <v>6</v>
      </c>
      <c r="P1292" t="s">
        <v>33</v>
      </c>
      <c r="Q1292" t="s">
        <v>25</v>
      </c>
      <c r="R1292" t="s">
        <v>26</v>
      </c>
      <c r="S1292" s="2">
        <f t="shared" si="20"/>
        <v>17643.45</v>
      </c>
    </row>
    <row r="1293" spans="1:19" x14ac:dyDescent="0.3">
      <c r="A1293" t="s">
        <v>1354</v>
      </c>
      <c r="B1293" s="1">
        <v>46092</v>
      </c>
      <c r="C1293" t="s">
        <v>72</v>
      </c>
      <c r="D1293" t="s">
        <v>50</v>
      </c>
      <c r="E1293" t="s">
        <v>58</v>
      </c>
      <c r="F1293" t="s">
        <v>22</v>
      </c>
      <c r="G1293" t="s">
        <v>23</v>
      </c>
      <c r="H1293">
        <v>68</v>
      </c>
      <c r="I1293">
        <v>111</v>
      </c>
      <c r="J1293">
        <v>46</v>
      </c>
      <c r="K1293">
        <v>133</v>
      </c>
      <c r="L1293">
        <v>55</v>
      </c>
      <c r="M1293" s="2">
        <v>2261.66</v>
      </c>
      <c r="N1293">
        <v>8</v>
      </c>
      <c r="O1293">
        <v>0</v>
      </c>
      <c r="P1293" t="s">
        <v>24</v>
      </c>
      <c r="Q1293" t="s">
        <v>47</v>
      </c>
      <c r="R1293" t="s">
        <v>81</v>
      </c>
      <c r="S1293" s="2">
        <f t="shared" si="20"/>
        <v>300800.77999999997</v>
      </c>
    </row>
    <row r="1294" spans="1:19" x14ac:dyDescent="0.3">
      <c r="A1294" t="s">
        <v>1355</v>
      </c>
      <c r="B1294" s="1">
        <v>46354</v>
      </c>
      <c r="C1294" t="s">
        <v>89</v>
      </c>
      <c r="D1294" t="s">
        <v>20</v>
      </c>
      <c r="E1294" t="s">
        <v>58</v>
      </c>
      <c r="F1294" t="s">
        <v>1582</v>
      </c>
      <c r="G1294" t="s">
        <v>1583</v>
      </c>
      <c r="H1294">
        <v>213</v>
      </c>
      <c r="I1294">
        <v>116</v>
      </c>
      <c r="J1294">
        <v>65</v>
      </c>
      <c r="K1294">
        <v>264</v>
      </c>
      <c r="L1294">
        <v>80</v>
      </c>
      <c r="M1294" s="2">
        <v>1209.95</v>
      </c>
      <c r="N1294">
        <v>5</v>
      </c>
      <c r="O1294">
        <v>0</v>
      </c>
      <c r="P1294" t="s">
        <v>33</v>
      </c>
      <c r="Q1294" t="s">
        <v>47</v>
      </c>
      <c r="R1294" t="s">
        <v>26</v>
      </c>
      <c r="S1294" s="2">
        <f t="shared" si="20"/>
        <v>319426.8</v>
      </c>
    </row>
    <row r="1295" spans="1:19" x14ac:dyDescent="0.3">
      <c r="A1295" t="s">
        <v>1356</v>
      </c>
      <c r="B1295" s="1">
        <v>46060</v>
      </c>
      <c r="C1295" t="s">
        <v>52</v>
      </c>
      <c r="D1295" t="s">
        <v>53</v>
      </c>
      <c r="E1295" t="s">
        <v>30</v>
      </c>
      <c r="F1295" t="s">
        <v>1582</v>
      </c>
      <c r="G1295" t="s">
        <v>1583</v>
      </c>
      <c r="H1295">
        <v>104</v>
      </c>
      <c r="I1295">
        <v>87</v>
      </c>
      <c r="J1295">
        <v>67</v>
      </c>
      <c r="K1295">
        <v>124</v>
      </c>
      <c r="L1295">
        <v>55</v>
      </c>
      <c r="M1295" s="2">
        <v>650.41</v>
      </c>
      <c r="N1295">
        <v>5</v>
      </c>
      <c r="O1295">
        <v>0</v>
      </c>
      <c r="P1295" t="s">
        <v>24</v>
      </c>
      <c r="Q1295" t="s">
        <v>47</v>
      </c>
      <c r="R1295" t="s">
        <v>26</v>
      </c>
      <c r="S1295" s="2">
        <f t="shared" si="20"/>
        <v>80650.84</v>
      </c>
    </row>
    <row r="1296" spans="1:19" x14ac:dyDescent="0.3">
      <c r="A1296" t="s">
        <v>1357</v>
      </c>
      <c r="B1296" s="1">
        <v>46031</v>
      </c>
      <c r="C1296" t="s">
        <v>52</v>
      </c>
      <c r="D1296" t="s">
        <v>53</v>
      </c>
      <c r="E1296" t="s">
        <v>21</v>
      </c>
      <c r="F1296" t="s">
        <v>31</v>
      </c>
      <c r="G1296" t="s">
        <v>32</v>
      </c>
      <c r="H1296">
        <v>194</v>
      </c>
      <c r="I1296">
        <v>72</v>
      </c>
      <c r="J1296">
        <v>63</v>
      </c>
      <c r="K1296">
        <v>203</v>
      </c>
      <c r="L1296">
        <v>69</v>
      </c>
      <c r="M1296" s="2">
        <v>623.94000000000005</v>
      </c>
      <c r="N1296">
        <v>2</v>
      </c>
      <c r="O1296">
        <v>0</v>
      </c>
      <c r="P1296" t="s">
        <v>33</v>
      </c>
      <c r="Q1296" t="s">
        <v>47</v>
      </c>
      <c r="R1296" t="s">
        <v>26</v>
      </c>
      <c r="S1296" s="2">
        <f t="shared" si="20"/>
        <v>126659.82</v>
      </c>
    </row>
    <row r="1297" spans="1:19" x14ac:dyDescent="0.3">
      <c r="A1297" t="s">
        <v>1358</v>
      </c>
      <c r="B1297" s="1">
        <v>46139</v>
      </c>
      <c r="C1297" t="s">
        <v>36</v>
      </c>
      <c r="D1297" t="s">
        <v>29</v>
      </c>
      <c r="E1297" t="s">
        <v>42</v>
      </c>
      <c r="F1297" t="s">
        <v>1582</v>
      </c>
      <c r="G1297" t="s">
        <v>1583</v>
      </c>
      <c r="H1297">
        <v>191</v>
      </c>
      <c r="I1297">
        <v>121</v>
      </c>
      <c r="J1297">
        <v>110</v>
      </c>
      <c r="K1297">
        <v>202</v>
      </c>
      <c r="L1297">
        <v>53</v>
      </c>
      <c r="M1297" s="2">
        <v>2471.5500000000002</v>
      </c>
      <c r="N1297">
        <v>4</v>
      </c>
      <c r="O1297">
        <v>0</v>
      </c>
      <c r="P1297" t="s">
        <v>33</v>
      </c>
      <c r="Q1297" t="s">
        <v>47</v>
      </c>
      <c r="R1297" t="s">
        <v>26</v>
      </c>
      <c r="S1297" s="2">
        <f t="shared" si="20"/>
        <v>499253.10000000003</v>
      </c>
    </row>
    <row r="1298" spans="1:19" x14ac:dyDescent="0.3">
      <c r="A1298" t="s">
        <v>1359</v>
      </c>
      <c r="B1298" s="1">
        <v>46148</v>
      </c>
      <c r="C1298" t="s">
        <v>49</v>
      </c>
      <c r="D1298" t="s">
        <v>50</v>
      </c>
      <c r="E1298" t="s">
        <v>58</v>
      </c>
      <c r="F1298" t="s">
        <v>1582</v>
      </c>
      <c r="G1298" t="s">
        <v>1583</v>
      </c>
      <c r="H1298">
        <v>159</v>
      </c>
      <c r="I1298">
        <v>111</v>
      </c>
      <c r="J1298">
        <v>74</v>
      </c>
      <c r="K1298">
        <v>196</v>
      </c>
      <c r="L1298">
        <v>68</v>
      </c>
      <c r="M1298" s="2">
        <v>1399.42</v>
      </c>
      <c r="N1298">
        <v>5</v>
      </c>
      <c r="O1298">
        <v>0</v>
      </c>
      <c r="P1298" t="s">
        <v>24</v>
      </c>
      <c r="Q1298" t="s">
        <v>47</v>
      </c>
      <c r="R1298" t="s">
        <v>81</v>
      </c>
      <c r="S1298" s="2">
        <f t="shared" si="20"/>
        <v>274286.32</v>
      </c>
    </row>
    <row r="1299" spans="1:19" x14ac:dyDescent="0.3">
      <c r="A1299" t="s">
        <v>1360</v>
      </c>
      <c r="B1299" s="1">
        <v>46285</v>
      </c>
      <c r="C1299" t="s">
        <v>62</v>
      </c>
      <c r="D1299" t="s">
        <v>29</v>
      </c>
      <c r="E1299" t="s">
        <v>21</v>
      </c>
      <c r="F1299" t="s">
        <v>37</v>
      </c>
      <c r="G1299" t="s">
        <v>38</v>
      </c>
      <c r="H1299">
        <v>53</v>
      </c>
      <c r="I1299">
        <v>64</v>
      </c>
      <c r="J1299">
        <v>74</v>
      </c>
      <c r="K1299">
        <v>43</v>
      </c>
      <c r="L1299">
        <v>69</v>
      </c>
      <c r="M1299" s="2">
        <v>754.19</v>
      </c>
      <c r="N1299">
        <v>8</v>
      </c>
      <c r="O1299">
        <v>5</v>
      </c>
      <c r="P1299" t="s">
        <v>33</v>
      </c>
      <c r="Q1299" t="s">
        <v>25</v>
      </c>
      <c r="R1299" t="s">
        <v>26</v>
      </c>
      <c r="S1299" s="2">
        <f t="shared" si="20"/>
        <v>32430.170000000002</v>
      </c>
    </row>
    <row r="1300" spans="1:19" x14ac:dyDescent="0.3">
      <c r="A1300" t="s">
        <v>1361</v>
      </c>
      <c r="B1300" s="1">
        <v>46097</v>
      </c>
      <c r="C1300" t="s">
        <v>68</v>
      </c>
      <c r="D1300" t="s">
        <v>53</v>
      </c>
      <c r="E1300" t="s">
        <v>75</v>
      </c>
      <c r="F1300" t="s">
        <v>1582</v>
      </c>
      <c r="G1300" t="s">
        <v>1583</v>
      </c>
      <c r="H1300">
        <v>57</v>
      </c>
      <c r="I1300">
        <v>65</v>
      </c>
      <c r="J1300">
        <v>57</v>
      </c>
      <c r="K1300">
        <v>65</v>
      </c>
      <c r="L1300">
        <v>57</v>
      </c>
      <c r="M1300" s="2">
        <v>577.24</v>
      </c>
      <c r="N1300">
        <v>6</v>
      </c>
      <c r="O1300">
        <v>0</v>
      </c>
      <c r="P1300" t="s">
        <v>24</v>
      </c>
      <c r="Q1300" t="s">
        <v>34</v>
      </c>
      <c r="R1300" t="s">
        <v>81</v>
      </c>
      <c r="S1300" s="2">
        <f t="shared" si="20"/>
        <v>37520.6</v>
      </c>
    </row>
    <row r="1301" spans="1:19" x14ac:dyDescent="0.3">
      <c r="A1301" t="s">
        <v>1362</v>
      </c>
      <c r="B1301" s="1">
        <v>46258</v>
      </c>
      <c r="C1301" t="s">
        <v>52</v>
      </c>
      <c r="D1301" t="s">
        <v>53</v>
      </c>
      <c r="E1301" t="s">
        <v>75</v>
      </c>
      <c r="F1301" t="s">
        <v>31</v>
      </c>
      <c r="G1301" t="s">
        <v>32</v>
      </c>
      <c r="H1301">
        <v>170</v>
      </c>
      <c r="I1301">
        <v>47</v>
      </c>
      <c r="J1301">
        <v>95</v>
      </c>
      <c r="K1301">
        <v>122</v>
      </c>
      <c r="L1301">
        <v>78</v>
      </c>
      <c r="M1301" s="2">
        <v>633.26</v>
      </c>
      <c r="N1301">
        <v>5</v>
      </c>
      <c r="O1301">
        <v>0</v>
      </c>
      <c r="P1301" t="s">
        <v>33</v>
      </c>
      <c r="Q1301" t="s">
        <v>34</v>
      </c>
      <c r="R1301" t="s">
        <v>59</v>
      </c>
      <c r="S1301" s="2">
        <f t="shared" si="20"/>
        <v>77257.72</v>
      </c>
    </row>
    <row r="1302" spans="1:19" x14ac:dyDescent="0.3">
      <c r="A1302" t="s">
        <v>1363</v>
      </c>
      <c r="B1302" s="1">
        <v>46286</v>
      </c>
      <c r="C1302" t="s">
        <v>45</v>
      </c>
      <c r="D1302" t="s">
        <v>46</v>
      </c>
      <c r="E1302" t="s">
        <v>21</v>
      </c>
      <c r="F1302" t="s">
        <v>37</v>
      </c>
      <c r="G1302" t="s">
        <v>38</v>
      </c>
      <c r="H1302">
        <v>53</v>
      </c>
      <c r="I1302">
        <v>122</v>
      </c>
      <c r="J1302">
        <v>81</v>
      </c>
      <c r="K1302">
        <v>94</v>
      </c>
      <c r="L1302">
        <v>82</v>
      </c>
      <c r="M1302" s="2">
        <v>739.73</v>
      </c>
      <c r="N1302">
        <v>5</v>
      </c>
      <c r="O1302">
        <v>0</v>
      </c>
      <c r="P1302" t="s">
        <v>33</v>
      </c>
      <c r="Q1302" t="s">
        <v>34</v>
      </c>
      <c r="R1302" t="s">
        <v>26</v>
      </c>
      <c r="S1302" s="2">
        <f t="shared" si="20"/>
        <v>69534.62</v>
      </c>
    </row>
    <row r="1303" spans="1:19" x14ac:dyDescent="0.3">
      <c r="A1303" t="s">
        <v>1364</v>
      </c>
      <c r="B1303" s="1">
        <v>46123</v>
      </c>
      <c r="C1303" t="s">
        <v>19</v>
      </c>
      <c r="D1303" t="s">
        <v>20</v>
      </c>
      <c r="E1303" t="s">
        <v>42</v>
      </c>
      <c r="F1303" t="s">
        <v>1582</v>
      </c>
      <c r="G1303" t="s">
        <v>1583</v>
      </c>
      <c r="H1303">
        <v>124</v>
      </c>
      <c r="I1303">
        <v>104</v>
      </c>
      <c r="J1303">
        <v>106</v>
      </c>
      <c r="K1303">
        <v>122</v>
      </c>
      <c r="L1303">
        <v>73</v>
      </c>
      <c r="M1303" s="2">
        <v>1883.32</v>
      </c>
      <c r="N1303">
        <v>7</v>
      </c>
      <c r="O1303">
        <v>0</v>
      </c>
      <c r="P1303" t="s">
        <v>33</v>
      </c>
      <c r="Q1303" t="s">
        <v>34</v>
      </c>
      <c r="R1303" t="s">
        <v>26</v>
      </c>
      <c r="S1303" s="2">
        <f t="shared" si="20"/>
        <v>229765.03999999998</v>
      </c>
    </row>
    <row r="1304" spans="1:19" x14ac:dyDescent="0.3">
      <c r="A1304" t="s">
        <v>1365</v>
      </c>
      <c r="B1304" s="1">
        <v>46236</v>
      </c>
      <c r="C1304" t="s">
        <v>40</v>
      </c>
      <c r="D1304" t="s">
        <v>20</v>
      </c>
      <c r="E1304" t="s">
        <v>21</v>
      </c>
      <c r="F1304" t="s">
        <v>1582</v>
      </c>
      <c r="G1304" t="s">
        <v>1583</v>
      </c>
      <c r="H1304">
        <v>96</v>
      </c>
      <c r="I1304">
        <v>25</v>
      </c>
      <c r="J1304">
        <v>20</v>
      </c>
      <c r="K1304">
        <v>101</v>
      </c>
      <c r="L1304">
        <v>64</v>
      </c>
      <c r="M1304" s="2">
        <v>812.18</v>
      </c>
      <c r="N1304">
        <v>3</v>
      </c>
      <c r="O1304">
        <v>0</v>
      </c>
      <c r="P1304" t="s">
        <v>33</v>
      </c>
      <c r="Q1304" t="s">
        <v>34</v>
      </c>
      <c r="R1304" t="s">
        <v>26</v>
      </c>
      <c r="S1304" s="2">
        <f t="shared" si="20"/>
        <v>82030.179999999993</v>
      </c>
    </row>
    <row r="1305" spans="1:19" x14ac:dyDescent="0.3">
      <c r="A1305" t="s">
        <v>1366</v>
      </c>
      <c r="B1305" s="1">
        <v>46135</v>
      </c>
      <c r="C1305" t="s">
        <v>36</v>
      </c>
      <c r="D1305" t="s">
        <v>29</v>
      </c>
      <c r="E1305" t="s">
        <v>30</v>
      </c>
      <c r="F1305" t="s">
        <v>37</v>
      </c>
      <c r="G1305" t="s">
        <v>38</v>
      </c>
      <c r="H1305">
        <v>93</v>
      </c>
      <c r="I1305">
        <v>20</v>
      </c>
      <c r="J1305">
        <v>23</v>
      </c>
      <c r="K1305">
        <v>90</v>
      </c>
      <c r="L1305">
        <v>55</v>
      </c>
      <c r="M1305" s="2">
        <v>2572.2399999999998</v>
      </c>
      <c r="N1305">
        <v>4</v>
      </c>
      <c r="O1305">
        <v>0</v>
      </c>
      <c r="P1305" t="s">
        <v>33</v>
      </c>
      <c r="Q1305" t="s">
        <v>34</v>
      </c>
      <c r="R1305" t="s">
        <v>59</v>
      </c>
      <c r="S1305" s="2">
        <f t="shared" si="20"/>
        <v>231501.59999999998</v>
      </c>
    </row>
    <row r="1306" spans="1:19" x14ac:dyDescent="0.3">
      <c r="A1306" t="s">
        <v>1367</v>
      </c>
      <c r="B1306" s="1">
        <v>46155</v>
      </c>
      <c r="C1306" t="s">
        <v>72</v>
      </c>
      <c r="D1306" t="s">
        <v>50</v>
      </c>
      <c r="E1306" t="s">
        <v>58</v>
      </c>
      <c r="F1306" t="s">
        <v>31</v>
      </c>
      <c r="G1306" t="s">
        <v>32</v>
      </c>
      <c r="H1306">
        <v>60</v>
      </c>
      <c r="I1306">
        <v>105</v>
      </c>
      <c r="J1306">
        <v>73</v>
      </c>
      <c r="K1306">
        <v>92</v>
      </c>
      <c r="L1306">
        <v>96</v>
      </c>
      <c r="M1306" s="2">
        <v>2375.7399999999998</v>
      </c>
      <c r="N1306">
        <v>6</v>
      </c>
      <c r="O1306">
        <v>6</v>
      </c>
      <c r="P1306" t="s">
        <v>33</v>
      </c>
      <c r="Q1306" t="s">
        <v>34</v>
      </c>
      <c r="R1306" t="s">
        <v>43</v>
      </c>
      <c r="S1306" s="2">
        <f t="shared" si="20"/>
        <v>218568.08</v>
      </c>
    </row>
    <row r="1307" spans="1:19" x14ac:dyDescent="0.3">
      <c r="A1307" t="s">
        <v>1368</v>
      </c>
      <c r="B1307" s="1">
        <v>46148</v>
      </c>
      <c r="C1307" t="s">
        <v>52</v>
      </c>
      <c r="D1307" t="s">
        <v>53</v>
      </c>
      <c r="E1307" t="s">
        <v>21</v>
      </c>
      <c r="F1307" t="s">
        <v>22</v>
      </c>
      <c r="G1307" t="s">
        <v>23</v>
      </c>
      <c r="H1307">
        <v>210</v>
      </c>
      <c r="I1307">
        <v>107</v>
      </c>
      <c r="J1307">
        <v>106</v>
      </c>
      <c r="K1307">
        <v>211</v>
      </c>
      <c r="L1307">
        <v>82</v>
      </c>
      <c r="M1307" s="2">
        <v>652.61</v>
      </c>
      <c r="N1307">
        <v>4</v>
      </c>
      <c r="O1307">
        <v>0</v>
      </c>
      <c r="P1307" t="s">
        <v>33</v>
      </c>
      <c r="Q1307" t="s">
        <v>47</v>
      </c>
      <c r="R1307" t="s">
        <v>59</v>
      </c>
      <c r="S1307" s="2">
        <f t="shared" si="20"/>
        <v>137700.71</v>
      </c>
    </row>
    <row r="1308" spans="1:19" x14ac:dyDescent="0.3">
      <c r="A1308" t="s">
        <v>1369</v>
      </c>
      <c r="B1308" s="1">
        <v>46325</v>
      </c>
      <c r="C1308" t="s">
        <v>62</v>
      </c>
      <c r="D1308" t="s">
        <v>29</v>
      </c>
      <c r="E1308" t="s">
        <v>58</v>
      </c>
      <c r="F1308" t="s">
        <v>1582</v>
      </c>
      <c r="G1308" t="s">
        <v>1583</v>
      </c>
      <c r="H1308">
        <v>109</v>
      </c>
      <c r="I1308">
        <v>62</v>
      </c>
      <c r="J1308">
        <v>80</v>
      </c>
      <c r="K1308">
        <v>91</v>
      </c>
      <c r="L1308">
        <v>64</v>
      </c>
      <c r="M1308" s="2">
        <v>699.84</v>
      </c>
      <c r="N1308">
        <v>7</v>
      </c>
      <c r="O1308">
        <v>0</v>
      </c>
      <c r="P1308" t="s">
        <v>33</v>
      </c>
      <c r="Q1308" t="s">
        <v>34</v>
      </c>
      <c r="R1308" t="s">
        <v>26</v>
      </c>
      <c r="S1308" s="2">
        <f t="shared" si="20"/>
        <v>63685.440000000002</v>
      </c>
    </row>
    <row r="1309" spans="1:19" x14ac:dyDescent="0.3">
      <c r="A1309" t="s">
        <v>1370</v>
      </c>
      <c r="B1309" s="1">
        <v>46281</v>
      </c>
      <c r="C1309" t="s">
        <v>45</v>
      </c>
      <c r="D1309" t="s">
        <v>46</v>
      </c>
      <c r="E1309" t="s">
        <v>75</v>
      </c>
      <c r="F1309" t="s">
        <v>22</v>
      </c>
      <c r="G1309" t="s">
        <v>23</v>
      </c>
      <c r="H1309">
        <v>182</v>
      </c>
      <c r="I1309">
        <v>48</v>
      </c>
      <c r="J1309">
        <v>43</v>
      </c>
      <c r="K1309">
        <v>187</v>
      </c>
      <c r="L1309">
        <v>60</v>
      </c>
      <c r="M1309" s="2">
        <v>794.3</v>
      </c>
      <c r="N1309">
        <v>3</v>
      </c>
      <c r="O1309">
        <v>0</v>
      </c>
      <c r="P1309" t="s">
        <v>33</v>
      </c>
      <c r="Q1309" t="s">
        <v>47</v>
      </c>
      <c r="R1309" t="s">
        <v>59</v>
      </c>
      <c r="S1309" s="2">
        <f t="shared" si="20"/>
        <v>148534.1</v>
      </c>
    </row>
    <row r="1310" spans="1:19" x14ac:dyDescent="0.3">
      <c r="A1310" t="s">
        <v>1371</v>
      </c>
      <c r="B1310" s="1">
        <v>46056</v>
      </c>
      <c r="C1310" t="s">
        <v>146</v>
      </c>
      <c r="D1310" t="s">
        <v>46</v>
      </c>
      <c r="E1310" t="s">
        <v>58</v>
      </c>
      <c r="F1310" t="s">
        <v>1582</v>
      </c>
      <c r="G1310" t="s">
        <v>1583</v>
      </c>
      <c r="H1310">
        <v>185</v>
      </c>
      <c r="I1310">
        <v>62</v>
      </c>
      <c r="J1310">
        <v>53</v>
      </c>
      <c r="K1310">
        <v>194</v>
      </c>
      <c r="L1310">
        <v>50</v>
      </c>
      <c r="M1310" s="2">
        <v>1422.75</v>
      </c>
      <c r="N1310">
        <v>6</v>
      </c>
      <c r="O1310">
        <v>0</v>
      </c>
      <c r="P1310" t="s">
        <v>33</v>
      </c>
      <c r="Q1310" t="s">
        <v>47</v>
      </c>
      <c r="R1310" t="s">
        <v>81</v>
      </c>
      <c r="S1310" s="2">
        <f t="shared" si="20"/>
        <v>276013.5</v>
      </c>
    </row>
    <row r="1311" spans="1:19" x14ac:dyDescent="0.3">
      <c r="A1311" t="s">
        <v>1372</v>
      </c>
      <c r="B1311" s="1">
        <v>46225</v>
      </c>
      <c r="C1311" t="s">
        <v>109</v>
      </c>
      <c r="D1311" t="s">
        <v>46</v>
      </c>
      <c r="E1311" t="s">
        <v>58</v>
      </c>
      <c r="F1311" t="s">
        <v>1582</v>
      </c>
      <c r="G1311" t="s">
        <v>1583</v>
      </c>
      <c r="H1311">
        <v>150</v>
      </c>
      <c r="I1311">
        <v>39</v>
      </c>
      <c r="J1311">
        <v>68</v>
      </c>
      <c r="K1311">
        <v>121</v>
      </c>
      <c r="L1311">
        <v>75</v>
      </c>
      <c r="M1311" s="2">
        <v>3506.15</v>
      </c>
      <c r="N1311">
        <v>7</v>
      </c>
      <c r="O1311">
        <v>2</v>
      </c>
      <c r="P1311" t="s">
        <v>24</v>
      </c>
      <c r="Q1311" t="s">
        <v>34</v>
      </c>
      <c r="R1311" t="s">
        <v>81</v>
      </c>
      <c r="S1311" s="2">
        <f t="shared" si="20"/>
        <v>424244.15</v>
      </c>
    </row>
    <row r="1312" spans="1:19" x14ac:dyDescent="0.3">
      <c r="A1312" t="s">
        <v>1373</v>
      </c>
      <c r="B1312" s="1">
        <v>46215</v>
      </c>
      <c r="C1312" t="s">
        <v>87</v>
      </c>
      <c r="D1312" t="s">
        <v>53</v>
      </c>
      <c r="E1312" t="s">
        <v>58</v>
      </c>
      <c r="F1312" t="s">
        <v>1582</v>
      </c>
      <c r="G1312" t="s">
        <v>1583</v>
      </c>
      <c r="H1312">
        <v>100</v>
      </c>
      <c r="I1312">
        <v>56</v>
      </c>
      <c r="J1312">
        <v>46</v>
      </c>
      <c r="K1312">
        <v>110</v>
      </c>
      <c r="L1312">
        <v>84</v>
      </c>
      <c r="M1312" s="2">
        <v>477.41</v>
      </c>
      <c r="N1312">
        <v>4</v>
      </c>
      <c r="O1312">
        <v>0</v>
      </c>
      <c r="P1312" t="s">
        <v>24</v>
      </c>
      <c r="Q1312" t="s">
        <v>34</v>
      </c>
      <c r="R1312" t="s">
        <v>26</v>
      </c>
      <c r="S1312" s="2">
        <f t="shared" si="20"/>
        <v>52515.100000000006</v>
      </c>
    </row>
    <row r="1313" spans="1:19" x14ac:dyDescent="0.3">
      <c r="A1313" t="s">
        <v>1374</v>
      </c>
      <c r="B1313" s="1">
        <v>46039</v>
      </c>
      <c r="C1313" t="s">
        <v>19</v>
      </c>
      <c r="D1313" t="s">
        <v>20</v>
      </c>
      <c r="E1313" t="s">
        <v>75</v>
      </c>
      <c r="F1313" t="s">
        <v>31</v>
      </c>
      <c r="G1313" t="s">
        <v>32</v>
      </c>
      <c r="H1313">
        <v>42</v>
      </c>
      <c r="I1313">
        <v>39</v>
      </c>
      <c r="J1313">
        <v>84</v>
      </c>
      <c r="K1313">
        <v>0</v>
      </c>
      <c r="L1313">
        <v>72</v>
      </c>
      <c r="M1313" s="2">
        <v>1797.35</v>
      </c>
      <c r="N1313">
        <v>6</v>
      </c>
      <c r="O1313">
        <v>2</v>
      </c>
      <c r="P1313" t="s">
        <v>33</v>
      </c>
      <c r="Q1313" t="s">
        <v>25</v>
      </c>
      <c r="R1313" t="s">
        <v>26</v>
      </c>
      <c r="S1313" s="2">
        <f t="shared" si="20"/>
        <v>0</v>
      </c>
    </row>
    <row r="1314" spans="1:19" x14ac:dyDescent="0.3">
      <c r="A1314" t="s">
        <v>1375</v>
      </c>
      <c r="B1314" s="1">
        <v>46321</v>
      </c>
      <c r="C1314" t="s">
        <v>83</v>
      </c>
      <c r="D1314" t="s">
        <v>29</v>
      </c>
      <c r="E1314" t="s">
        <v>21</v>
      </c>
      <c r="F1314" t="s">
        <v>37</v>
      </c>
      <c r="G1314" t="s">
        <v>38</v>
      </c>
      <c r="H1314">
        <v>210</v>
      </c>
      <c r="I1314">
        <v>93</v>
      </c>
      <c r="J1314">
        <v>26</v>
      </c>
      <c r="K1314">
        <v>277</v>
      </c>
      <c r="L1314">
        <v>47</v>
      </c>
      <c r="M1314" s="2">
        <v>1492.87</v>
      </c>
      <c r="N1314">
        <v>4</v>
      </c>
      <c r="O1314">
        <v>0</v>
      </c>
      <c r="P1314" t="s">
        <v>33</v>
      </c>
      <c r="Q1314" t="s">
        <v>47</v>
      </c>
      <c r="R1314" t="s">
        <v>26</v>
      </c>
      <c r="S1314" s="2">
        <f t="shared" si="20"/>
        <v>413524.99</v>
      </c>
    </row>
    <row r="1315" spans="1:19" x14ac:dyDescent="0.3">
      <c r="A1315" t="s">
        <v>1376</v>
      </c>
      <c r="B1315" s="1">
        <v>46338</v>
      </c>
      <c r="C1315" t="s">
        <v>19</v>
      </c>
      <c r="D1315" t="s">
        <v>20</v>
      </c>
      <c r="E1315" t="s">
        <v>30</v>
      </c>
      <c r="F1315" t="s">
        <v>31</v>
      </c>
      <c r="G1315" t="s">
        <v>32</v>
      </c>
      <c r="H1315">
        <v>89</v>
      </c>
      <c r="I1315">
        <v>121</v>
      </c>
      <c r="J1315">
        <v>36</v>
      </c>
      <c r="K1315">
        <v>174</v>
      </c>
      <c r="L1315">
        <v>70</v>
      </c>
      <c r="M1315" s="2">
        <v>1916.71</v>
      </c>
      <c r="N1315">
        <v>5</v>
      </c>
      <c r="O1315">
        <v>0</v>
      </c>
      <c r="P1315" t="s">
        <v>24</v>
      </c>
      <c r="Q1315" t="s">
        <v>47</v>
      </c>
      <c r="R1315" t="s">
        <v>26</v>
      </c>
      <c r="S1315" s="2">
        <f t="shared" si="20"/>
        <v>333507.53999999998</v>
      </c>
    </row>
    <row r="1316" spans="1:19" x14ac:dyDescent="0.3">
      <c r="A1316" t="s">
        <v>1377</v>
      </c>
      <c r="B1316" s="1">
        <v>46137</v>
      </c>
      <c r="C1316" t="s">
        <v>77</v>
      </c>
      <c r="D1316" t="s">
        <v>53</v>
      </c>
      <c r="E1316" t="s">
        <v>30</v>
      </c>
      <c r="F1316" t="s">
        <v>37</v>
      </c>
      <c r="G1316" t="s">
        <v>38</v>
      </c>
      <c r="H1316">
        <v>75</v>
      </c>
      <c r="I1316">
        <v>28</v>
      </c>
      <c r="J1316">
        <v>74</v>
      </c>
      <c r="K1316">
        <v>29</v>
      </c>
      <c r="L1316">
        <v>83</v>
      </c>
      <c r="M1316" s="2">
        <v>535.24</v>
      </c>
      <c r="N1316">
        <v>3</v>
      </c>
      <c r="O1316">
        <v>2</v>
      </c>
      <c r="P1316" t="s">
        <v>33</v>
      </c>
      <c r="Q1316" t="s">
        <v>25</v>
      </c>
      <c r="R1316" t="s">
        <v>26</v>
      </c>
      <c r="S1316" s="2">
        <f t="shared" si="20"/>
        <v>15521.960000000001</v>
      </c>
    </row>
    <row r="1317" spans="1:19" x14ac:dyDescent="0.3">
      <c r="A1317" t="s">
        <v>1378</v>
      </c>
      <c r="B1317" s="1">
        <v>46237</v>
      </c>
      <c r="C1317" t="s">
        <v>109</v>
      </c>
      <c r="D1317" t="s">
        <v>46</v>
      </c>
      <c r="E1317" t="s">
        <v>58</v>
      </c>
      <c r="F1317" t="s">
        <v>37</v>
      </c>
      <c r="G1317" t="s">
        <v>38</v>
      </c>
      <c r="H1317">
        <v>210</v>
      </c>
      <c r="I1317">
        <v>40</v>
      </c>
      <c r="J1317">
        <v>103</v>
      </c>
      <c r="K1317">
        <v>147</v>
      </c>
      <c r="L1317">
        <v>75</v>
      </c>
      <c r="M1317" s="2">
        <v>3398.57</v>
      </c>
      <c r="N1317">
        <v>8</v>
      </c>
      <c r="O1317">
        <v>0</v>
      </c>
      <c r="P1317" t="s">
        <v>24</v>
      </c>
      <c r="Q1317" t="s">
        <v>34</v>
      </c>
      <c r="R1317" t="s">
        <v>43</v>
      </c>
      <c r="S1317" s="2">
        <f t="shared" si="20"/>
        <v>499589.79000000004</v>
      </c>
    </row>
    <row r="1318" spans="1:19" x14ac:dyDescent="0.3">
      <c r="A1318" t="s">
        <v>1379</v>
      </c>
      <c r="B1318" s="1">
        <v>46098</v>
      </c>
      <c r="C1318" t="s">
        <v>83</v>
      </c>
      <c r="D1318" t="s">
        <v>29</v>
      </c>
      <c r="E1318" t="s">
        <v>21</v>
      </c>
      <c r="F1318" t="s">
        <v>22</v>
      </c>
      <c r="G1318" t="s">
        <v>23</v>
      </c>
      <c r="H1318">
        <v>101</v>
      </c>
      <c r="I1318">
        <v>79</v>
      </c>
      <c r="J1318">
        <v>34</v>
      </c>
      <c r="K1318">
        <v>146</v>
      </c>
      <c r="L1318">
        <v>90</v>
      </c>
      <c r="M1318" s="2">
        <v>1489.67</v>
      </c>
      <c r="N1318">
        <v>2</v>
      </c>
      <c r="O1318">
        <v>0</v>
      </c>
      <c r="P1318" t="s">
        <v>24</v>
      </c>
      <c r="Q1318" t="s">
        <v>34</v>
      </c>
      <c r="R1318" t="s">
        <v>43</v>
      </c>
      <c r="S1318" s="2">
        <f t="shared" si="20"/>
        <v>217491.82</v>
      </c>
    </row>
    <row r="1319" spans="1:19" x14ac:dyDescent="0.3">
      <c r="A1319" t="s">
        <v>1380</v>
      </c>
      <c r="B1319" s="1">
        <v>46352</v>
      </c>
      <c r="C1319" t="s">
        <v>40</v>
      </c>
      <c r="D1319" t="s">
        <v>20</v>
      </c>
      <c r="E1319" t="s">
        <v>42</v>
      </c>
      <c r="F1319" t="s">
        <v>22</v>
      </c>
      <c r="G1319" t="s">
        <v>23</v>
      </c>
      <c r="H1319">
        <v>58</v>
      </c>
      <c r="I1319">
        <v>56</v>
      </c>
      <c r="J1319">
        <v>57</v>
      </c>
      <c r="K1319">
        <v>57</v>
      </c>
      <c r="L1319">
        <v>89</v>
      </c>
      <c r="M1319" s="2">
        <v>867.59</v>
      </c>
      <c r="N1319">
        <v>3</v>
      </c>
      <c r="O1319">
        <v>7</v>
      </c>
      <c r="P1319" t="s">
        <v>33</v>
      </c>
      <c r="Q1319" t="s">
        <v>25</v>
      </c>
      <c r="R1319" t="s">
        <v>26</v>
      </c>
      <c r="S1319" s="2">
        <f t="shared" si="20"/>
        <v>49452.630000000005</v>
      </c>
    </row>
    <row r="1320" spans="1:19" x14ac:dyDescent="0.3">
      <c r="A1320" t="s">
        <v>1381</v>
      </c>
      <c r="B1320" s="1">
        <v>46152</v>
      </c>
      <c r="C1320" t="s">
        <v>52</v>
      </c>
      <c r="D1320" t="s">
        <v>53</v>
      </c>
      <c r="E1320" t="s">
        <v>42</v>
      </c>
      <c r="F1320" t="s">
        <v>1582</v>
      </c>
      <c r="G1320" t="s">
        <v>1583</v>
      </c>
      <c r="H1320">
        <v>207</v>
      </c>
      <c r="I1320">
        <v>24</v>
      </c>
      <c r="J1320">
        <v>61</v>
      </c>
      <c r="K1320">
        <v>170</v>
      </c>
      <c r="L1320">
        <v>55</v>
      </c>
      <c r="M1320" s="2">
        <v>635.79999999999995</v>
      </c>
      <c r="N1320">
        <v>4</v>
      </c>
      <c r="O1320">
        <v>0</v>
      </c>
      <c r="P1320" t="s">
        <v>24</v>
      </c>
      <c r="Q1320" t="s">
        <v>47</v>
      </c>
      <c r="R1320" t="s">
        <v>26</v>
      </c>
      <c r="S1320" s="2">
        <f t="shared" si="20"/>
        <v>108085.99999999999</v>
      </c>
    </row>
    <row r="1321" spans="1:19" x14ac:dyDescent="0.3">
      <c r="A1321" t="s">
        <v>1382</v>
      </c>
      <c r="B1321" s="1">
        <v>46385</v>
      </c>
      <c r="C1321" t="s">
        <v>72</v>
      </c>
      <c r="D1321" t="s">
        <v>50</v>
      </c>
      <c r="E1321" t="s">
        <v>58</v>
      </c>
      <c r="F1321" t="s">
        <v>1582</v>
      </c>
      <c r="G1321" t="s">
        <v>1583</v>
      </c>
      <c r="H1321">
        <v>208</v>
      </c>
      <c r="I1321">
        <v>70</v>
      </c>
      <c r="J1321">
        <v>105</v>
      </c>
      <c r="K1321">
        <v>173</v>
      </c>
      <c r="L1321">
        <v>100</v>
      </c>
      <c r="M1321" s="2">
        <v>2122.38</v>
      </c>
      <c r="N1321">
        <v>3</v>
      </c>
      <c r="O1321">
        <v>0</v>
      </c>
      <c r="P1321" t="s">
        <v>33</v>
      </c>
      <c r="Q1321" t="s">
        <v>34</v>
      </c>
      <c r="R1321" t="s">
        <v>59</v>
      </c>
      <c r="S1321" s="2">
        <f t="shared" si="20"/>
        <v>367171.74</v>
      </c>
    </row>
    <row r="1322" spans="1:19" x14ac:dyDescent="0.3">
      <c r="A1322" t="s">
        <v>1383</v>
      </c>
      <c r="B1322" s="1">
        <v>46044</v>
      </c>
      <c r="C1322" t="s">
        <v>49</v>
      </c>
      <c r="D1322" t="s">
        <v>50</v>
      </c>
      <c r="E1322" t="s">
        <v>30</v>
      </c>
      <c r="F1322" t="s">
        <v>22</v>
      </c>
      <c r="G1322" t="s">
        <v>23</v>
      </c>
      <c r="H1322">
        <v>41</v>
      </c>
      <c r="I1322">
        <v>120</v>
      </c>
      <c r="J1322">
        <v>36</v>
      </c>
      <c r="K1322">
        <v>125</v>
      </c>
      <c r="L1322">
        <v>61</v>
      </c>
      <c r="M1322" s="2">
        <v>1278.1099999999999</v>
      </c>
      <c r="N1322">
        <v>5</v>
      </c>
      <c r="O1322">
        <v>0</v>
      </c>
      <c r="P1322" t="s">
        <v>33</v>
      </c>
      <c r="Q1322" t="s">
        <v>34</v>
      </c>
      <c r="R1322" t="s">
        <v>26</v>
      </c>
      <c r="S1322" s="2">
        <f t="shared" si="20"/>
        <v>159763.75</v>
      </c>
    </row>
    <row r="1323" spans="1:19" x14ac:dyDescent="0.3">
      <c r="A1323" t="s">
        <v>1384</v>
      </c>
      <c r="B1323" s="1">
        <v>46337</v>
      </c>
      <c r="C1323" t="s">
        <v>28</v>
      </c>
      <c r="D1323" t="s">
        <v>29</v>
      </c>
      <c r="E1323" t="s">
        <v>30</v>
      </c>
      <c r="F1323" t="s">
        <v>1582</v>
      </c>
      <c r="G1323" t="s">
        <v>1583</v>
      </c>
      <c r="H1323">
        <v>111</v>
      </c>
      <c r="I1323">
        <v>45</v>
      </c>
      <c r="J1323">
        <v>107</v>
      </c>
      <c r="K1323">
        <v>49</v>
      </c>
      <c r="L1323">
        <v>56</v>
      </c>
      <c r="M1323" s="2">
        <v>1278.6500000000001</v>
      </c>
      <c r="N1323">
        <v>8</v>
      </c>
      <c r="O1323">
        <v>6</v>
      </c>
      <c r="P1323" t="s">
        <v>24</v>
      </c>
      <c r="Q1323" t="s">
        <v>34</v>
      </c>
      <c r="R1323" t="s">
        <v>59</v>
      </c>
      <c r="S1323" s="2">
        <f t="shared" si="20"/>
        <v>62653.850000000006</v>
      </c>
    </row>
    <row r="1324" spans="1:19" x14ac:dyDescent="0.3">
      <c r="A1324" t="s">
        <v>1385</v>
      </c>
      <c r="B1324" s="1">
        <v>46281</v>
      </c>
      <c r="C1324" t="s">
        <v>45</v>
      </c>
      <c r="D1324" t="s">
        <v>46</v>
      </c>
      <c r="E1324" t="s">
        <v>75</v>
      </c>
      <c r="F1324" t="s">
        <v>31</v>
      </c>
      <c r="G1324" t="s">
        <v>32</v>
      </c>
      <c r="H1324">
        <v>163</v>
      </c>
      <c r="I1324">
        <v>118</v>
      </c>
      <c r="J1324">
        <v>79</v>
      </c>
      <c r="K1324">
        <v>202</v>
      </c>
      <c r="L1324">
        <v>57</v>
      </c>
      <c r="M1324" s="2">
        <v>753.77</v>
      </c>
      <c r="N1324">
        <v>4</v>
      </c>
      <c r="O1324">
        <v>0</v>
      </c>
      <c r="P1324" t="s">
        <v>33</v>
      </c>
      <c r="Q1324" t="s">
        <v>47</v>
      </c>
      <c r="R1324" t="s">
        <v>43</v>
      </c>
      <c r="S1324" s="2">
        <f t="shared" si="20"/>
        <v>152261.54</v>
      </c>
    </row>
    <row r="1325" spans="1:19" x14ac:dyDescent="0.3">
      <c r="A1325" t="s">
        <v>1386</v>
      </c>
      <c r="B1325" s="1">
        <v>46256</v>
      </c>
      <c r="C1325" t="s">
        <v>146</v>
      </c>
      <c r="D1325" t="s">
        <v>46</v>
      </c>
      <c r="E1325" t="s">
        <v>30</v>
      </c>
      <c r="F1325" t="s">
        <v>22</v>
      </c>
      <c r="G1325" t="s">
        <v>23</v>
      </c>
      <c r="H1325">
        <v>151</v>
      </c>
      <c r="I1325">
        <v>118</v>
      </c>
      <c r="J1325">
        <v>108</v>
      </c>
      <c r="K1325">
        <v>161</v>
      </c>
      <c r="L1325">
        <v>96</v>
      </c>
      <c r="M1325" s="2">
        <v>1361.83</v>
      </c>
      <c r="N1325">
        <v>7</v>
      </c>
      <c r="O1325">
        <v>0</v>
      </c>
      <c r="P1325" t="s">
        <v>33</v>
      </c>
      <c r="Q1325" t="s">
        <v>34</v>
      </c>
      <c r="R1325" t="s">
        <v>26</v>
      </c>
      <c r="S1325" s="2">
        <f t="shared" si="20"/>
        <v>219254.62999999998</v>
      </c>
    </row>
    <row r="1326" spans="1:19" x14ac:dyDescent="0.3">
      <c r="A1326" t="s">
        <v>1387</v>
      </c>
      <c r="B1326" s="1">
        <v>46334</v>
      </c>
      <c r="C1326" t="s">
        <v>89</v>
      </c>
      <c r="D1326" t="s">
        <v>20</v>
      </c>
      <c r="E1326" t="s">
        <v>21</v>
      </c>
      <c r="F1326" t="s">
        <v>31</v>
      </c>
      <c r="G1326" t="s">
        <v>32</v>
      </c>
      <c r="H1326">
        <v>144</v>
      </c>
      <c r="I1326">
        <v>95</v>
      </c>
      <c r="J1326">
        <v>95</v>
      </c>
      <c r="K1326">
        <v>144</v>
      </c>
      <c r="L1326">
        <v>95</v>
      </c>
      <c r="M1326" s="2">
        <v>1095.07</v>
      </c>
      <c r="N1326">
        <v>8</v>
      </c>
      <c r="O1326">
        <v>0</v>
      </c>
      <c r="P1326" t="s">
        <v>33</v>
      </c>
      <c r="Q1326" t="s">
        <v>34</v>
      </c>
      <c r="R1326" t="s">
        <v>81</v>
      </c>
      <c r="S1326" s="2">
        <f t="shared" si="20"/>
        <v>157690.07999999999</v>
      </c>
    </row>
    <row r="1327" spans="1:19" x14ac:dyDescent="0.3">
      <c r="A1327" t="s">
        <v>1388</v>
      </c>
      <c r="B1327" s="1">
        <v>46153</v>
      </c>
      <c r="C1327" t="s">
        <v>87</v>
      </c>
      <c r="D1327" t="s">
        <v>53</v>
      </c>
      <c r="E1327" t="s">
        <v>21</v>
      </c>
      <c r="F1327" t="s">
        <v>22</v>
      </c>
      <c r="G1327" t="s">
        <v>23</v>
      </c>
      <c r="H1327">
        <v>155</v>
      </c>
      <c r="I1327">
        <v>53</v>
      </c>
      <c r="J1327">
        <v>53</v>
      </c>
      <c r="K1327">
        <v>155</v>
      </c>
      <c r="L1327">
        <v>86</v>
      </c>
      <c r="M1327" s="2">
        <v>481.69</v>
      </c>
      <c r="N1327">
        <v>8</v>
      </c>
      <c r="O1327">
        <v>0</v>
      </c>
      <c r="P1327" t="s">
        <v>33</v>
      </c>
      <c r="Q1327" t="s">
        <v>34</v>
      </c>
      <c r="R1327" t="s">
        <v>43</v>
      </c>
      <c r="S1327" s="2">
        <f t="shared" si="20"/>
        <v>74661.95</v>
      </c>
    </row>
    <row r="1328" spans="1:19" x14ac:dyDescent="0.3">
      <c r="A1328" t="s">
        <v>1389</v>
      </c>
      <c r="B1328" s="1">
        <v>46163</v>
      </c>
      <c r="C1328" t="s">
        <v>49</v>
      </c>
      <c r="D1328" t="s">
        <v>50</v>
      </c>
      <c r="E1328" t="s">
        <v>75</v>
      </c>
      <c r="F1328" t="s">
        <v>22</v>
      </c>
      <c r="G1328" t="s">
        <v>23</v>
      </c>
      <c r="H1328">
        <v>50</v>
      </c>
      <c r="I1328">
        <v>48</v>
      </c>
      <c r="J1328">
        <v>72</v>
      </c>
      <c r="K1328">
        <v>26</v>
      </c>
      <c r="L1328">
        <v>60</v>
      </c>
      <c r="M1328" s="2">
        <v>1273.21</v>
      </c>
      <c r="N1328">
        <v>5</v>
      </c>
      <c r="O1328">
        <v>2</v>
      </c>
      <c r="P1328" t="s">
        <v>24</v>
      </c>
      <c r="Q1328" t="s">
        <v>25</v>
      </c>
      <c r="R1328" t="s">
        <v>43</v>
      </c>
      <c r="S1328" s="2">
        <f t="shared" si="20"/>
        <v>33103.46</v>
      </c>
    </row>
    <row r="1329" spans="1:19" x14ac:dyDescent="0.3">
      <c r="A1329" t="s">
        <v>1390</v>
      </c>
      <c r="B1329" s="1">
        <v>46082</v>
      </c>
      <c r="C1329" t="s">
        <v>68</v>
      </c>
      <c r="D1329" t="s">
        <v>53</v>
      </c>
      <c r="E1329" t="s">
        <v>75</v>
      </c>
      <c r="F1329" t="s">
        <v>37</v>
      </c>
      <c r="G1329" t="s">
        <v>38</v>
      </c>
      <c r="H1329">
        <v>193</v>
      </c>
      <c r="I1329">
        <v>104</v>
      </c>
      <c r="J1329">
        <v>21</v>
      </c>
      <c r="K1329">
        <v>276</v>
      </c>
      <c r="L1329">
        <v>76</v>
      </c>
      <c r="M1329" s="2">
        <v>658.66</v>
      </c>
      <c r="N1329">
        <v>3</v>
      </c>
      <c r="O1329">
        <v>0</v>
      </c>
      <c r="P1329" t="s">
        <v>33</v>
      </c>
      <c r="Q1329" t="s">
        <v>47</v>
      </c>
      <c r="R1329" t="s">
        <v>26</v>
      </c>
      <c r="S1329" s="2">
        <f t="shared" si="20"/>
        <v>181790.16</v>
      </c>
    </row>
    <row r="1330" spans="1:19" x14ac:dyDescent="0.3">
      <c r="A1330" t="s">
        <v>1391</v>
      </c>
      <c r="B1330" s="1">
        <v>46268</v>
      </c>
      <c r="C1330" t="s">
        <v>36</v>
      </c>
      <c r="D1330" t="s">
        <v>29</v>
      </c>
      <c r="E1330" t="s">
        <v>30</v>
      </c>
      <c r="F1330" t="s">
        <v>37</v>
      </c>
      <c r="G1330" t="s">
        <v>38</v>
      </c>
      <c r="H1330">
        <v>85</v>
      </c>
      <c r="I1330">
        <v>89</v>
      </c>
      <c r="J1330">
        <v>98</v>
      </c>
      <c r="K1330">
        <v>76</v>
      </c>
      <c r="L1330">
        <v>57</v>
      </c>
      <c r="M1330" s="2">
        <v>2166.8200000000002</v>
      </c>
      <c r="N1330">
        <v>5</v>
      </c>
      <c r="O1330">
        <v>0</v>
      </c>
      <c r="P1330" t="s">
        <v>24</v>
      </c>
      <c r="Q1330" t="s">
        <v>34</v>
      </c>
      <c r="R1330" t="s">
        <v>26</v>
      </c>
      <c r="S1330" s="2">
        <f t="shared" si="20"/>
        <v>164678.32</v>
      </c>
    </row>
    <row r="1331" spans="1:19" x14ac:dyDescent="0.3">
      <c r="A1331" t="s">
        <v>1392</v>
      </c>
      <c r="B1331" s="1">
        <v>46106</v>
      </c>
      <c r="C1331" t="s">
        <v>19</v>
      </c>
      <c r="D1331" t="s">
        <v>20</v>
      </c>
      <c r="E1331" t="s">
        <v>42</v>
      </c>
      <c r="F1331" t="s">
        <v>37</v>
      </c>
      <c r="G1331" t="s">
        <v>38</v>
      </c>
      <c r="H1331">
        <v>83</v>
      </c>
      <c r="I1331">
        <v>104</v>
      </c>
      <c r="J1331">
        <v>52</v>
      </c>
      <c r="K1331">
        <v>135</v>
      </c>
      <c r="L1331">
        <v>87</v>
      </c>
      <c r="M1331" s="2">
        <v>1712.55</v>
      </c>
      <c r="N1331">
        <v>3</v>
      </c>
      <c r="O1331">
        <v>0</v>
      </c>
      <c r="P1331" t="s">
        <v>33</v>
      </c>
      <c r="Q1331" t="s">
        <v>34</v>
      </c>
      <c r="R1331" t="s">
        <v>26</v>
      </c>
      <c r="S1331" s="2">
        <f t="shared" si="20"/>
        <v>231194.25</v>
      </c>
    </row>
    <row r="1332" spans="1:19" x14ac:dyDescent="0.3">
      <c r="A1332" t="s">
        <v>1393</v>
      </c>
      <c r="B1332" s="1">
        <v>46024</v>
      </c>
      <c r="C1332" t="s">
        <v>109</v>
      </c>
      <c r="D1332" t="s">
        <v>46</v>
      </c>
      <c r="E1332" t="s">
        <v>21</v>
      </c>
      <c r="F1332" t="s">
        <v>37</v>
      </c>
      <c r="G1332" t="s">
        <v>38</v>
      </c>
      <c r="H1332">
        <v>178</v>
      </c>
      <c r="I1332">
        <v>108</v>
      </c>
      <c r="J1332">
        <v>85</v>
      </c>
      <c r="K1332">
        <v>201</v>
      </c>
      <c r="L1332">
        <v>85</v>
      </c>
      <c r="M1332" s="2">
        <v>2923.9</v>
      </c>
      <c r="N1332">
        <v>3</v>
      </c>
      <c r="O1332">
        <v>0</v>
      </c>
      <c r="P1332" t="s">
        <v>33</v>
      </c>
      <c r="Q1332" t="s">
        <v>47</v>
      </c>
      <c r="R1332" t="s">
        <v>43</v>
      </c>
      <c r="S1332" s="2">
        <f t="shared" si="20"/>
        <v>587703.9</v>
      </c>
    </row>
    <row r="1333" spans="1:19" x14ac:dyDescent="0.3">
      <c r="A1333" t="s">
        <v>1394</v>
      </c>
      <c r="B1333" s="1">
        <v>46284</v>
      </c>
      <c r="C1333" t="s">
        <v>62</v>
      </c>
      <c r="D1333" t="s">
        <v>29</v>
      </c>
      <c r="E1333" t="s">
        <v>21</v>
      </c>
      <c r="F1333" t="s">
        <v>22</v>
      </c>
      <c r="G1333" t="s">
        <v>23</v>
      </c>
      <c r="H1333">
        <v>69</v>
      </c>
      <c r="I1333">
        <v>117</v>
      </c>
      <c r="J1333">
        <v>72</v>
      </c>
      <c r="K1333">
        <v>114</v>
      </c>
      <c r="L1333">
        <v>66</v>
      </c>
      <c r="M1333" s="2">
        <v>647</v>
      </c>
      <c r="N1333">
        <v>8</v>
      </c>
      <c r="O1333">
        <v>0</v>
      </c>
      <c r="P1333" t="s">
        <v>33</v>
      </c>
      <c r="Q1333" t="s">
        <v>34</v>
      </c>
      <c r="R1333" t="s">
        <v>26</v>
      </c>
      <c r="S1333" s="2">
        <f t="shared" si="20"/>
        <v>73758</v>
      </c>
    </row>
    <row r="1334" spans="1:19" x14ac:dyDescent="0.3">
      <c r="A1334" t="s">
        <v>1395</v>
      </c>
      <c r="B1334" s="1">
        <v>46032</v>
      </c>
      <c r="C1334" t="s">
        <v>40</v>
      </c>
      <c r="D1334" t="s">
        <v>20</v>
      </c>
      <c r="E1334" t="s">
        <v>30</v>
      </c>
      <c r="F1334" t="s">
        <v>37</v>
      </c>
      <c r="G1334" t="s">
        <v>38</v>
      </c>
      <c r="H1334">
        <v>61</v>
      </c>
      <c r="I1334">
        <v>65</v>
      </c>
      <c r="J1334">
        <v>26</v>
      </c>
      <c r="K1334">
        <v>100</v>
      </c>
      <c r="L1334">
        <v>67</v>
      </c>
      <c r="M1334" s="2">
        <v>841.75</v>
      </c>
      <c r="N1334">
        <v>8</v>
      </c>
      <c r="O1334">
        <v>0</v>
      </c>
      <c r="P1334" t="s">
        <v>33</v>
      </c>
      <c r="Q1334" t="s">
        <v>34</v>
      </c>
      <c r="R1334" t="s">
        <v>81</v>
      </c>
      <c r="S1334" s="2">
        <f t="shared" si="20"/>
        <v>84175</v>
      </c>
    </row>
    <row r="1335" spans="1:19" x14ac:dyDescent="0.3">
      <c r="A1335" t="s">
        <v>1396</v>
      </c>
      <c r="B1335" s="1">
        <v>46346</v>
      </c>
      <c r="C1335" t="s">
        <v>77</v>
      </c>
      <c r="D1335" t="s">
        <v>53</v>
      </c>
      <c r="E1335" t="s">
        <v>75</v>
      </c>
      <c r="F1335" t="s">
        <v>22</v>
      </c>
      <c r="G1335" t="s">
        <v>23</v>
      </c>
      <c r="H1335">
        <v>77</v>
      </c>
      <c r="I1335">
        <v>63</v>
      </c>
      <c r="J1335">
        <v>35</v>
      </c>
      <c r="K1335">
        <v>105</v>
      </c>
      <c r="L1335">
        <v>78</v>
      </c>
      <c r="M1335" s="2">
        <v>531.52</v>
      </c>
      <c r="N1335">
        <v>6</v>
      </c>
      <c r="O1335">
        <v>0</v>
      </c>
      <c r="P1335" t="s">
        <v>33</v>
      </c>
      <c r="Q1335" t="s">
        <v>34</v>
      </c>
      <c r="R1335" t="s">
        <v>81</v>
      </c>
      <c r="S1335" s="2">
        <f t="shared" si="20"/>
        <v>55809.599999999999</v>
      </c>
    </row>
    <row r="1336" spans="1:19" x14ac:dyDescent="0.3">
      <c r="A1336" t="s">
        <v>1397</v>
      </c>
      <c r="B1336" s="1">
        <v>46270</v>
      </c>
      <c r="C1336" t="s">
        <v>109</v>
      </c>
      <c r="D1336" t="s">
        <v>46</v>
      </c>
      <c r="E1336" t="s">
        <v>21</v>
      </c>
      <c r="F1336" t="s">
        <v>1582</v>
      </c>
      <c r="G1336" t="s">
        <v>1583</v>
      </c>
      <c r="H1336">
        <v>150</v>
      </c>
      <c r="I1336">
        <v>33</v>
      </c>
      <c r="J1336">
        <v>80</v>
      </c>
      <c r="K1336">
        <v>103</v>
      </c>
      <c r="L1336">
        <v>94</v>
      </c>
      <c r="M1336" s="2">
        <v>3399.56</v>
      </c>
      <c r="N1336">
        <v>3</v>
      </c>
      <c r="O1336">
        <v>0</v>
      </c>
      <c r="P1336" t="s">
        <v>24</v>
      </c>
      <c r="Q1336" t="s">
        <v>34</v>
      </c>
      <c r="R1336" t="s">
        <v>26</v>
      </c>
      <c r="S1336" s="2">
        <f t="shared" si="20"/>
        <v>350154.68</v>
      </c>
    </row>
    <row r="1337" spans="1:19" x14ac:dyDescent="0.3">
      <c r="A1337" t="s">
        <v>1398</v>
      </c>
      <c r="B1337" s="1">
        <v>46254</v>
      </c>
      <c r="C1337" t="s">
        <v>77</v>
      </c>
      <c r="D1337" t="s">
        <v>53</v>
      </c>
      <c r="E1337" t="s">
        <v>42</v>
      </c>
      <c r="F1337" t="s">
        <v>1582</v>
      </c>
      <c r="G1337" t="s">
        <v>1583</v>
      </c>
      <c r="H1337">
        <v>182</v>
      </c>
      <c r="I1337">
        <v>118</v>
      </c>
      <c r="J1337">
        <v>73</v>
      </c>
      <c r="K1337">
        <v>227</v>
      </c>
      <c r="L1337">
        <v>69</v>
      </c>
      <c r="M1337" s="2">
        <v>482.22</v>
      </c>
      <c r="N1337">
        <v>4</v>
      </c>
      <c r="O1337">
        <v>0</v>
      </c>
      <c r="P1337" t="s">
        <v>33</v>
      </c>
      <c r="Q1337" t="s">
        <v>47</v>
      </c>
      <c r="R1337" t="s">
        <v>26</v>
      </c>
      <c r="S1337" s="2">
        <f t="shared" si="20"/>
        <v>109463.94</v>
      </c>
    </row>
    <row r="1338" spans="1:19" x14ac:dyDescent="0.3">
      <c r="A1338" t="s">
        <v>1399</v>
      </c>
      <c r="B1338" s="1">
        <v>46260</v>
      </c>
      <c r="C1338" t="s">
        <v>62</v>
      </c>
      <c r="D1338" t="s">
        <v>29</v>
      </c>
      <c r="E1338" t="s">
        <v>30</v>
      </c>
      <c r="F1338" t="s">
        <v>37</v>
      </c>
      <c r="G1338" t="s">
        <v>38</v>
      </c>
      <c r="H1338">
        <v>44</v>
      </c>
      <c r="I1338">
        <v>105</v>
      </c>
      <c r="J1338">
        <v>62</v>
      </c>
      <c r="K1338">
        <v>87</v>
      </c>
      <c r="L1338">
        <v>86</v>
      </c>
      <c r="M1338" s="2">
        <v>677.42</v>
      </c>
      <c r="N1338">
        <v>7</v>
      </c>
      <c r="O1338">
        <v>0</v>
      </c>
      <c r="P1338" t="s">
        <v>33</v>
      </c>
      <c r="Q1338" t="s">
        <v>34</v>
      </c>
      <c r="R1338" t="s">
        <v>81</v>
      </c>
      <c r="S1338" s="2">
        <f t="shared" si="20"/>
        <v>58935.539999999994</v>
      </c>
    </row>
    <row r="1339" spans="1:19" x14ac:dyDescent="0.3">
      <c r="A1339" t="s">
        <v>1400</v>
      </c>
      <c r="B1339" s="1">
        <v>46342</v>
      </c>
      <c r="C1339" t="s">
        <v>98</v>
      </c>
      <c r="D1339" t="s">
        <v>20</v>
      </c>
      <c r="E1339" t="s">
        <v>75</v>
      </c>
      <c r="F1339" t="s">
        <v>31</v>
      </c>
      <c r="G1339" t="s">
        <v>32</v>
      </c>
      <c r="H1339">
        <v>191</v>
      </c>
      <c r="I1339">
        <v>37</v>
      </c>
      <c r="J1339">
        <v>75</v>
      </c>
      <c r="K1339">
        <v>153</v>
      </c>
      <c r="L1339">
        <v>76</v>
      </c>
      <c r="M1339" s="2">
        <v>1415</v>
      </c>
      <c r="N1339">
        <v>6</v>
      </c>
      <c r="O1339">
        <v>0</v>
      </c>
      <c r="P1339" t="s">
        <v>33</v>
      </c>
      <c r="Q1339" t="s">
        <v>34</v>
      </c>
      <c r="R1339" t="s">
        <v>26</v>
      </c>
      <c r="S1339" s="2">
        <f t="shared" si="20"/>
        <v>216495</v>
      </c>
    </row>
    <row r="1340" spans="1:19" x14ac:dyDescent="0.3">
      <c r="A1340" t="s">
        <v>1401</v>
      </c>
      <c r="B1340" s="1">
        <v>46093</v>
      </c>
      <c r="C1340" t="s">
        <v>89</v>
      </c>
      <c r="D1340" t="s">
        <v>20</v>
      </c>
      <c r="E1340" t="s">
        <v>42</v>
      </c>
      <c r="F1340" t="s">
        <v>37</v>
      </c>
      <c r="G1340" t="s">
        <v>38</v>
      </c>
      <c r="H1340">
        <v>177</v>
      </c>
      <c r="I1340">
        <v>125</v>
      </c>
      <c r="J1340">
        <v>69</v>
      </c>
      <c r="K1340">
        <v>233</v>
      </c>
      <c r="L1340">
        <v>63</v>
      </c>
      <c r="M1340" s="2">
        <v>1089.3499999999999</v>
      </c>
      <c r="N1340">
        <v>2</v>
      </c>
      <c r="O1340">
        <v>0</v>
      </c>
      <c r="P1340" t="s">
        <v>24</v>
      </c>
      <c r="Q1340" t="s">
        <v>47</v>
      </c>
      <c r="R1340" t="s">
        <v>26</v>
      </c>
      <c r="S1340" s="2">
        <f t="shared" si="20"/>
        <v>253818.55</v>
      </c>
    </row>
    <row r="1341" spans="1:19" x14ac:dyDescent="0.3">
      <c r="A1341" t="s">
        <v>1402</v>
      </c>
      <c r="B1341" s="1">
        <v>46176</v>
      </c>
      <c r="C1341" t="s">
        <v>146</v>
      </c>
      <c r="D1341" t="s">
        <v>46</v>
      </c>
      <c r="E1341" t="s">
        <v>42</v>
      </c>
      <c r="F1341" t="s">
        <v>37</v>
      </c>
      <c r="G1341" t="s">
        <v>38</v>
      </c>
      <c r="H1341">
        <v>127</v>
      </c>
      <c r="I1341">
        <v>128</v>
      </c>
      <c r="J1341">
        <v>67</v>
      </c>
      <c r="K1341">
        <v>188</v>
      </c>
      <c r="L1341">
        <v>49</v>
      </c>
      <c r="M1341" s="2">
        <v>1642.54</v>
      </c>
      <c r="N1341">
        <v>4</v>
      </c>
      <c r="O1341">
        <v>0</v>
      </c>
      <c r="P1341" t="s">
        <v>24</v>
      </c>
      <c r="Q1341" t="s">
        <v>47</v>
      </c>
      <c r="R1341" t="s">
        <v>26</v>
      </c>
      <c r="S1341" s="2">
        <f t="shared" si="20"/>
        <v>308797.52</v>
      </c>
    </row>
    <row r="1342" spans="1:19" x14ac:dyDescent="0.3">
      <c r="A1342" t="s">
        <v>1403</v>
      </c>
      <c r="B1342" s="1">
        <v>46208</v>
      </c>
      <c r="C1342" t="s">
        <v>57</v>
      </c>
      <c r="D1342" t="s">
        <v>50</v>
      </c>
      <c r="E1342" t="s">
        <v>75</v>
      </c>
      <c r="F1342" t="s">
        <v>37</v>
      </c>
      <c r="G1342" t="s">
        <v>38</v>
      </c>
      <c r="H1342">
        <v>123</v>
      </c>
      <c r="I1342">
        <v>43</v>
      </c>
      <c r="J1342">
        <v>106</v>
      </c>
      <c r="K1342">
        <v>60</v>
      </c>
      <c r="L1342">
        <v>50</v>
      </c>
      <c r="M1342" s="2">
        <v>3006.92</v>
      </c>
      <c r="N1342">
        <v>6</v>
      </c>
      <c r="O1342">
        <v>0</v>
      </c>
      <c r="P1342" t="s">
        <v>33</v>
      </c>
      <c r="Q1342" t="s">
        <v>34</v>
      </c>
      <c r="R1342" t="s">
        <v>43</v>
      </c>
      <c r="S1342" s="2">
        <f t="shared" si="20"/>
        <v>180415.2</v>
      </c>
    </row>
    <row r="1343" spans="1:19" x14ac:dyDescent="0.3">
      <c r="A1343" t="s">
        <v>1404</v>
      </c>
      <c r="B1343" s="1">
        <v>46182</v>
      </c>
      <c r="C1343" t="s">
        <v>19</v>
      </c>
      <c r="D1343" t="s">
        <v>20</v>
      </c>
      <c r="E1343" t="s">
        <v>21</v>
      </c>
      <c r="F1343" t="s">
        <v>37</v>
      </c>
      <c r="G1343" t="s">
        <v>38</v>
      </c>
      <c r="H1343">
        <v>121</v>
      </c>
      <c r="I1343">
        <v>35</v>
      </c>
      <c r="J1343">
        <v>38</v>
      </c>
      <c r="K1343">
        <v>118</v>
      </c>
      <c r="L1343">
        <v>81</v>
      </c>
      <c r="M1343" s="2">
        <v>1696.43</v>
      </c>
      <c r="N1343">
        <v>8</v>
      </c>
      <c r="O1343">
        <v>0</v>
      </c>
      <c r="P1343" t="s">
        <v>24</v>
      </c>
      <c r="Q1343" t="s">
        <v>34</v>
      </c>
      <c r="R1343" t="s">
        <v>26</v>
      </c>
      <c r="S1343" s="2">
        <f t="shared" si="20"/>
        <v>200178.74000000002</v>
      </c>
    </row>
    <row r="1344" spans="1:19" x14ac:dyDescent="0.3">
      <c r="A1344" t="s">
        <v>1405</v>
      </c>
      <c r="B1344" s="1">
        <v>46238</v>
      </c>
      <c r="C1344" t="s">
        <v>77</v>
      </c>
      <c r="D1344" t="s">
        <v>53</v>
      </c>
      <c r="E1344" t="s">
        <v>30</v>
      </c>
      <c r="F1344" t="s">
        <v>37</v>
      </c>
      <c r="G1344" t="s">
        <v>38</v>
      </c>
      <c r="H1344">
        <v>181</v>
      </c>
      <c r="I1344">
        <v>104</v>
      </c>
      <c r="J1344">
        <v>53</v>
      </c>
      <c r="K1344">
        <v>232</v>
      </c>
      <c r="L1344">
        <v>51</v>
      </c>
      <c r="M1344" s="2">
        <v>539.53</v>
      </c>
      <c r="N1344">
        <v>8</v>
      </c>
      <c r="O1344">
        <v>0</v>
      </c>
      <c r="P1344" t="s">
        <v>33</v>
      </c>
      <c r="Q1344" t="s">
        <v>47</v>
      </c>
      <c r="R1344" t="s">
        <v>26</v>
      </c>
      <c r="S1344" s="2">
        <f t="shared" si="20"/>
        <v>125170.95999999999</v>
      </c>
    </row>
    <row r="1345" spans="1:19" x14ac:dyDescent="0.3">
      <c r="A1345" t="s">
        <v>1406</v>
      </c>
      <c r="B1345" s="1">
        <v>46077</v>
      </c>
      <c r="C1345" t="s">
        <v>89</v>
      </c>
      <c r="D1345" t="s">
        <v>20</v>
      </c>
      <c r="E1345" t="s">
        <v>21</v>
      </c>
      <c r="F1345" t="s">
        <v>31</v>
      </c>
      <c r="G1345" t="s">
        <v>32</v>
      </c>
      <c r="H1345">
        <v>75</v>
      </c>
      <c r="I1345">
        <v>28</v>
      </c>
      <c r="J1345">
        <v>27</v>
      </c>
      <c r="K1345">
        <v>76</v>
      </c>
      <c r="L1345">
        <v>82</v>
      </c>
      <c r="M1345" s="2">
        <v>1080.96</v>
      </c>
      <c r="N1345">
        <v>5</v>
      </c>
      <c r="O1345">
        <v>6</v>
      </c>
      <c r="P1345" t="s">
        <v>24</v>
      </c>
      <c r="Q1345" t="s">
        <v>34</v>
      </c>
      <c r="R1345" t="s">
        <v>26</v>
      </c>
      <c r="S1345" s="2">
        <f t="shared" si="20"/>
        <v>82152.960000000006</v>
      </c>
    </row>
    <row r="1346" spans="1:19" x14ac:dyDescent="0.3">
      <c r="A1346" t="s">
        <v>1407</v>
      </c>
      <c r="B1346" s="1">
        <v>46031</v>
      </c>
      <c r="C1346" t="s">
        <v>80</v>
      </c>
      <c r="D1346" t="s">
        <v>46</v>
      </c>
      <c r="E1346" t="s">
        <v>30</v>
      </c>
      <c r="F1346" t="s">
        <v>22</v>
      </c>
      <c r="G1346" t="s">
        <v>23</v>
      </c>
      <c r="H1346">
        <v>60</v>
      </c>
      <c r="I1346">
        <v>62</v>
      </c>
      <c r="J1346">
        <v>36</v>
      </c>
      <c r="K1346">
        <v>86</v>
      </c>
      <c r="L1346">
        <v>56</v>
      </c>
      <c r="M1346" s="2">
        <v>1132.67</v>
      </c>
      <c r="N1346">
        <v>6</v>
      </c>
      <c r="O1346">
        <v>0</v>
      </c>
      <c r="P1346" t="s">
        <v>33</v>
      </c>
      <c r="Q1346" t="s">
        <v>34</v>
      </c>
      <c r="R1346" t="s">
        <v>26</v>
      </c>
      <c r="S1346" s="2">
        <f t="shared" ref="S1346:S1409" si="21">K1346*M1346</f>
        <v>97409.62000000001</v>
      </c>
    </row>
    <row r="1347" spans="1:19" x14ac:dyDescent="0.3">
      <c r="A1347" t="s">
        <v>1408</v>
      </c>
      <c r="B1347" s="1">
        <v>46275</v>
      </c>
      <c r="C1347" t="s">
        <v>72</v>
      </c>
      <c r="D1347" t="s">
        <v>50</v>
      </c>
      <c r="E1347" t="s">
        <v>42</v>
      </c>
      <c r="F1347" t="s">
        <v>22</v>
      </c>
      <c r="G1347" t="s">
        <v>23</v>
      </c>
      <c r="H1347">
        <v>214</v>
      </c>
      <c r="I1347">
        <v>85</v>
      </c>
      <c r="J1347">
        <v>45</v>
      </c>
      <c r="K1347">
        <v>254</v>
      </c>
      <c r="L1347">
        <v>71</v>
      </c>
      <c r="M1347" s="2">
        <v>1982.33</v>
      </c>
      <c r="N1347">
        <v>9</v>
      </c>
      <c r="O1347">
        <v>0</v>
      </c>
      <c r="P1347" t="s">
        <v>24</v>
      </c>
      <c r="Q1347" t="s">
        <v>47</v>
      </c>
      <c r="R1347" t="s">
        <v>43</v>
      </c>
      <c r="S1347" s="2">
        <f t="shared" si="21"/>
        <v>503511.82</v>
      </c>
    </row>
    <row r="1348" spans="1:19" x14ac:dyDescent="0.3">
      <c r="A1348" t="s">
        <v>1409</v>
      </c>
      <c r="B1348" s="1">
        <v>46325</v>
      </c>
      <c r="C1348" t="s">
        <v>87</v>
      </c>
      <c r="D1348" t="s">
        <v>53</v>
      </c>
      <c r="E1348" t="s">
        <v>75</v>
      </c>
      <c r="F1348" t="s">
        <v>1582</v>
      </c>
      <c r="G1348" t="s">
        <v>1583</v>
      </c>
      <c r="H1348">
        <v>94</v>
      </c>
      <c r="I1348">
        <v>98</v>
      </c>
      <c r="J1348">
        <v>100</v>
      </c>
      <c r="K1348">
        <v>92</v>
      </c>
      <c r="L1348">
        <v>69</v>
      </c>
      <c r="M1348" s="2">
        <v>422.32</v>
      </c>
      <c r="N1348">
        <v>6</v>
      </c>
      <c r="O1348">
        <v>0</v>
      </c>
      <c r="P1348" t="s">
        <v>33</v>
      </c>
      <c r="Q1348" t="s">
        <v>34</v>
      </c>
      <c r="R1348" t="s">
        <v>26</v>
      </c>
      <c r="S1348" s="2">
        <f t="shared" si="21"/>
        <v>38853.440000000002</v>
      </c>
    </row>
    <row r="1349" spans="1:19" x14ac:dyDescent="0.3">
      <c r="A1349" t="s">
        <v>1410</v>
      </c>
      <c r="B1349" s="1">
        <v>46081</v>
      </c>
      <c r="C1349" t="s">
        <v>49</v>
      </c>
      <c r="D1349" t="s">
        <v>50</v>
      </c>
      <c r="E1349" t="s">
        <v>21</v>
      </c>
      <c r="F1349" t="s">
        <v>22</v>
      </c>
      <c r="G1349" t="s">
        <v>23</v>
      </c>
      <c r="H1349">
        <v>197</v>
      </c>
      <c r="I1349">
        <v>129</v>
      </c>
      <c r="J1349">
        <v>30</v>
      </c>
      <c r="K1349">
        <v>296</v>
      </c>
      <c r="L1349">
        <v>90</v>
      </c>
      <c r="M1349" s="2">
        <v>1279.26</v>
      </c>
      <c r="N1349">
        <v>7</v>
      </c>
      <c r="O1349">
        <v>0</v>
      </c>
      <c r="P1349" t="s">
        <v>33</v>
      </c>
      <c r="Q1349" t="s">
        <v>47</v>
      </c>
      <c r="R1349" t="s">
        <v>26</v>
      </c>
      <c r="S1349" s="2">
        <f t="shared" si="21"/>
        <v>378660.96</v>
      </c>
    </row>
    <row r="1350" spans="1:19" x14ac:dyDescent="0.3">
      <c r="A1350" t="s">
        <v>1411</v>
      </c>
      <c r="B1350" s="1">
        <v>46141</v>
      </c>
      <c r="C1350" t="s">
        <v>72</v>
      </c>
      <c r="D1350" t="s">
        <v>50</v>
      </c>
      <c r="E1350" t="s">
        <v>21</v>
      </c>
      <c r="F1350" t="s">
        <v>22</v>
      </c>
      <c r="G1350" t="s">
        <v>23</v>
      </c>
      <c r="H1350">
        <v>187</v>
      </c>
      <c r="I1350">
        <v>43</v>
      </c>
      <c r="J1350">
        <v>97</v>
      </c>
      <c r="K1350">
        <v>133</v>
      </c>
      <c r="L1350">
        <v>82</v>
      </c>
      <c r="M1350" s="2">
        <v>2032.79</v>
      </c>
      <c r="N1350">
        <v>7</v>
      </c>
      <c r="O1350">
        <v>0</v>
      </c>
      <c r="P1350" t="s">
        <v>33</v>
      </c>
      <c r="Q1350" t="s">
        <v>34</v>
      </c>
      <c r="R1350" t="s">
        <v>59</v>
      </c>
      <c r="S1350" s="2">
        <f t="shared" si="21"/>
        <v>270361.07</v>
      </c>
    </row>
    <row r="1351" spans="1:19" x14ac:dyDescent="0.3">
      <c r="A1351" t="s">
        <v>1412</v>
      </c>
      <c r="B1351" s="1">
        <v>46379</v>
      </c>
      <c r="C1351" t="s">
        <v>62</v>
      </c>
      <c r="D1351" t="s">
        <v>29</v>
      </c>
      <c r="E1351" t="s">
        <v>75</v>
      </c>
      <c r="F1351" t="s">
        <v>1582</v>
      </c>
      <c r="G1351" t="s">
        <v>1583</v>
      </c>
      <c r="H1351">
        <v>74</v>
      </c>
      <c r="I1351">
        <v>47</v>
      </c>
      <c r="J1351">
        <v>50</v>
      </c>
      <c r="K1351">
        <v>71</v>
      </c>
      <c r="L1351">
        <v>52</v>
      </c>
      <c r="M1351" s="2">
        <v>710.44</v>
      </c>
      <c r="N1351">
        <v>7</v>
      </c>
      <c r="O1351">
        <v>0</v>
      </c>
      <c r="P1351" t="s">
        <v>33</v>
      </c>
      <c r="Q1351" t="s">
        <v>34</v>
      </c>
      <c r="R1351" t="s">
        <v>26</v>
      </c>
      <c r="S1351" s="2">
        <f t="shared" si="21"/>
        <v>50441.240000000005</v>
      </c>
    </row>
    <row r="1352" spans="1:19" x14ac:dyDescent="0.3">
      <c r="A1352" t="s">
        <v>1413</v>
      </c>
      <c r="B1352" s="1">
        <v>46233</v>
      </c>
      <c r="C1352" t="s">
        <v>40</v>
      </c>
      <c r="D1352" t="s">
        <v>20</v>
      </c>
      <c r="E1352" t="s">
        <v>75</v>
      </c>
      <c r="F1352" t="s">
        <v>37</v>
      </c>
      <c r="G1352" t="s">
        <v>38</v>
      </c>
      <c r="H1352">
        <v>92</v>
      </c>
      <c r="I1352">
        <v>77</v>
      </c>
      <c r="J1352">
        <v>33</v>
      </c>
      <c r="K1352">
        <v>136</v>
      </c>
      <c r="L1352">
        <v>54</v>
      </c>
      <c r="M1352" s="2">
        <v>940.38</v>
      </c>
      <c r="N1352">
        <v>8</v>
      </c>
      <c r="O1352">
        <v>0</v>
      </c>
      <c r="P1352" t="s">
        <v>24</v>
      </c>
      <c r="Q1352" t="s">
        <v>47</v>
      </c>
      <c r="R1352" t="s">
        <v>26</v>
      </c>
      <c r="S1352" s="2">
        <f t="shared" si="21"/>
        <v>127891.68</v>
      </c>
    </row>
    <row r="1353" spans="1:19" x14ac:dyDescent="0.3">
      <c r="A1353" t="s">
        <v>1414</v>
      </c>
      <c r="B1353" s="1">
        <v>46147</v>
      </c>
      <c r="C1353" t="s">
        <v>49</v>
      </c>
      <c r="D1353" t="s">
        <v>50</v>
      </c>
      <c r="E1353" t="s">
        <v>58</v>
      </c>
      <c r="F1353" t="s">
        <v>22</v>
      </c>
      <c r="G1353" t="s">
        <v>23</v>
      </c>
      <c r="H1353">
        <v>202</v>
      </c>
      <c r="I1353">
        <v>38</v>
      </c>
      <c r="J1353">
        <v>41</v>
      </c>
      <c r="K1353">
        <v>199</v>
      </c>
      <c r="L1353">
        <v>69</v>
      </c>
      <c r="M1353" s="2">
        <v>1261.83</v>
      </c>
      <c r="N1353">
        <v>8</v>
      </c>
      <c r="O1353">
        <v>0</v>
      </c>
      <c r="P1353" t="s">
        <v>33</v>
      </c>
      <c r="Q1353" t="s">
        <v>47</v>
      </c>
      <c r="R1353" t="s">
        <v>81</v>
      </c>
      <c r="S1353" s="2">
        <f t="shared" si="21"/>
        <v>251104.16999999998</v>
      </c>
    </row>
    <row r="1354" spans="1:19" x14ac:dyDescent="0.3">
      <c r="A1354" t="s">
        <v>1415</v>
      </c>
      <c r="B1354" s="1">
        <v>46257</v>
      </c>
      <c r="C1354" t="s">
        <v>55</v>
      </c>
      <c r="D1354" t="s">
        <v>50</v>
      </c>
      <c r="E1354" t="s">
        <v>21</v>
      </c>
      <c r="F1354" t="s">
        <v>1582</v>
      </c>
      <c r="G1354" t="s">
        <v>1583</v>
      </c>
      <c r="H1354">
        <v>52</v>
      </c>
      <c r="I1354">
        <v>52</v>
      </c>
      <c r="J1354">
        <v>15</v>
      </c>
      <c r="K1354">
        <v>89</v>
      </c>
      <c r="L1354">
        <v>72</v>
      </c>
      <c r="M1354" s="2">
        <v>992.72</v>
      </c>
      <c r="N1354">
        <v>2</v>
      </c>
      <c r="O1354">
        <v>0</v>
      </c>
      <c r="P1354" t="s">
        <v>33</v>
      </c>
      <c r="Q1354" t="s">
        <v>34</v>
      </c>
      <c r="R1354" t="s">
        <v>43</v>
      </c>
      <c r="S1354" s="2">
        <f t="shared" si="21"/>
        <v>88352.08</v>
      </c>
    </row>
    <row r="1355" spans="1:19" x14ac:dyDescent="0.3">
      <c r="A1355" t="s">
        <v>1416</v>
      </c>
      <c r="B1355" s="1">
        <v>46294</v>
      </c>
      <c r="C1355" t="s">
        <v>52</v>
      </c>
      <c r="D1355" t="s">
        <v>53</v>
      </c>
      <c r="E1355" t="s">
        <v>42</v>
      </c>
      <c r="F1355" t="s">
        <v>1582</v>
      </c>
      <c r="G1355" t="s">
        <v>1583</v>
      </c>
      <c r="H1355">
        <v>68</v>
      </c>
      <c r="I1355">
        <v>56</v>
      </c>
      <c r="J1355">
        <v>33</v>
      </c>
      <c r="K1355">
        <v>91</v>
      </c>
      <c r="L1355">
        <v>63</v>
      </c>
      <c r="M1355" s="2">
        <v>621.30999999999995</v>
      </c>
      <c r="N1355">
        <v>5</v>
      </c>
      <c r="O1355">
        <v>0</v>
      </c>
      <c r="P1355" t="s">
        <v>33</v>
      </c>
      <c r="Q1355" t="s">
        <v>34</v>
      </c>
      <c r="R1355" t="s">
        <v>26</v>
      </c>
      <c r="S1355" s="2">
        <f t="shared" si="21"/>
        <v>56539.209999999992</v>
      </c>
    </row>
    <row r="1356" spans="1:19" x14ac:dyDescent="0.3">
      <c r="A1356" t="s">
        <v>1417</v>
      </c>
      <c r="B1356" s="1">
        <v>46161</v>
      </c>
      <c r="C1356" t="s">
        <v>40</v>
      </c>
      <c r="D1356" t="s">
        <v>20</v>
      </c>
      <c r="E1356" t="s">
        <v>21</v>
      </c>
      <c r="F1356" t="s">
        <v>37</v>
      </c>
      <c r="G1356" t="s">
        <v>38</v>
      </c>
      <c r="H1356">
        <v>204</v>
      </c>
      <c r="I1356">
        <v>48</v>
      </c>
      <c r="J1356">
        <v>72</v>
      </c>
      <c r="K1356">
        <v>180</v>
      </c>
      <c r="L1356">
        <v>57</v>
      </c>
      <c r="M1356" s="2">
        <v>933.92</v>
      </c>
      <c r="N1356">
        <v>4</v>
      </c>
      <c r="O1356">
        <v>0</v>
      </c>
      <c r="P1356" t="s">
        <v>33</v>
      </c>
      <c r="Q1356" t="s">
        <v>47</v>
      </c>
      <c r="R1356" t="s">
        <v>81</v>
      </c>
      <c r="S1356" s="2">
        <f t="shared" si="21"/>
        <v>168105.60000000001</v>
      </c>
    </row>
    <row r="1357" spans="1:19" x14ac:dyDescent="0.3">
      <c r="A1357" t="s">
        <v>1418</v>
      </c>
      <c r="B1357" s="1">
        <v>46212</v>
      </c>
      <c r="C1357" t="s">
        <v>36</v>
      </c>
      <c r="D1357" t="s">
        <v>29</v>
      </c>
      <c r="E1357" t="s">
        <v>42</v>
      </c>
      <c r="F1357" t="s">
        <v>1582</v>
      </c>
      <c r="G1357" t="s">
        <v>1583</v>
      </c>
      <c r="H1357">
        <v>74</v>
      </c>
      <c r="I1357">
        <v>22</v>
      </c>
      <c r="J1357">
        <v>45</v>
      </c>
      <c r="K1357">
        <v>51</v>
      </c>
      <c r="L1357">
        <v>86</v>
      </c>
      <c r="M1357" s="2">
        <v>2393.23</v>
      </c>
      <c r="N1357">
        <v>3</v>
      </c>
      <c r="O1357">
        <v>3</v>
      </c>
      <c r="P1357" t="s">
        <v>33</v>
      </c>
      <c r="Q1357" t="s">
        <v>25</v>
      </c>
      <c r="R1357" t="s">
        <v>26</v>
      </c>
      <c r="S1357" s="2">
        <f t="shared" si="21"/>
        <v>122054.73</v>
      </c>
    </row>
    <row r="1358" spans="1:19" x14ac:dyDescent="0.3">
      <c r="A1358" t="s">
        <v>1419</v>
      </c>
      <c r="B1358" s="1">
        <v>46146</v>
      </c>
      <c r="C1358" t="s">
        <v>52</v>
      </c>
      <c r="D1358" t="s">
        <v>53</v>
      </c>
      <c r="E1358" t="s">
        <v>75</v>
      </c>
      <c r="F1358" t="s">
        <v>37</v>
      </c>
      <c r="G1358" t="s">
        <v>38</v>
      </c>
      <c r="H1358">
        <v>208</v>
      </c>
      <c r="I1358">
        <v>86</v>
      </c>
      <c r="J1358">
        <v>54</v>
      </c>
      <c r="K1358">
        <v>240</v>
      </c>
      <c r="L1358">
        <v>92</v>
      </c>
      <c r="M1358" s="2">
        <v>637.48</v>
      </c>
      <c r="N1358">
        <v>2</v>
      </c>
      <c r="O1358">
        <v>0</v>
      </c>
      <c r="P1358" t="s">
        <v>33</v>
      </c>
      <c r="Q1358" t="s">
        <v>47</v>
      </c>
      <c r="R1358" t="s">
        <v>43</v>
      </c>
      <c r="S1358" s="2">
        <f t="shared" si="21"/>
        <v>152995.20000000001</v>
      </c>
    </row>
    <row r="1359" spans="1:19" x14ac:dyDescent="0.3">
      <c r="A1359" t="s">
        <v>1420</v>
      </c>
      <c r="B1359" s="1">
        <v>46306</v>
      </c>
      <c r="C1359" t="s">
        <v>45</v>
      </c>
      <c r="D1359" t="s">
        <v>46</v>
      </c>
      <c r="E1359" t="s">
        <v>42</v>
      </c>
      <c r="F1359" t="s">
        <v>22</v>
      </c>
      <c r="G1359" t="s">
        <v>23</v>
      </c>
      <c r="H1359">
        <v>200</v>
      </c>
      <c r="I1359">
        <v>83</v>
      </c>
      <c r="J1359">
        <v>82</v>
      </c>
      <c r="K1359">
        <v>201</v>
      </c>
      <c r="L1359">
        <v>45</v>
      </c>
      <c r="M1359" s="2">
        <v>743.86</v>
      </c>
      <c r="N1359">
        <v>2</v>
      </c>
      <c r="O1359">
        <v>0</v>
      </c>
      <c r="P1359" t="s">
        <v>33</v>
      </c>
      <c r="Q1359" t="s">
        <v>47</v>
      </c>
      <c r="R1359" t="s">
        <v>59</v>
      </c>
      <c r="S1359" s="2">
        <f t="shared" si="21"/>
        <v>149515.86000000002</v>
      </c>
    </row>
    <row r="1360" spans="1:19" x14ac:dyDescent="0.3">
      <c r="A1360" t="s">
        <v>1421</v>
      </c>
      <c r="B1360" s="1">
        <v>46162</v>
      </c>
      <c r="C1360" t="s">
        <v>49</v>
      </c>
      <c r="D1360" t="s">
        <v>50</v>
      </c>
      <c r="E1360" t="s">
        <v>75</v>
      </c>
      <c r="F1360" t="s">
        <v>1582</v>
      </c>
      <c r="G1360" t="s">
        <v>1583</v>
      </c>
      <c r="H1360">
        <v>89</v>
      </c>
      <c r="I1360">
        <v>43</v>
      </c>
      <c r="J1360">
        <v>28</v>
      </c>
      <c r="K1360">
        <v>104</v>
      </c>
      <c r="L1360">
        <v>91</v>
      </c>
      <c r="M1360" s="2">
        <v>1249.6500000000001</v>
      </c>
      <c r="N1360">
        <v>8</v>
      </c>
      <c r="O1360">
        <v>0</v>
      </c>
      <c r="P1360" t="s">
        <v>33</v>
      </c>
      <c r="Q1360" t="s">
        <v>34</v>
      </c>
      <c r="R1360" t="s">
        <v>59</v>
      </c>
      <c r="S1360" s="2">
        <f t="shared" si="21"/>
        <v>129963.6</v>
      </c>
    </row>
    <row r="1361" spans="1:19" x14ac:dyDescent="0.3">
      <c r="A1361" t="s">
        <v>1422</v>
      </c>
      <c r="B1361" s="1">
        <v>46146</v>
      </c>
      <c r="C1361" t="s">
        <v>87</v>
      </c>
      <c r="D1361" t="s">
        <v>53</v>
      </c>
      <c r="E1361" t="s">
        <v>58</v>
      </c>
      <c r="F1361" t="s">
        <v>37</v>
      </c>
      <c r="G1361" t="s">
        <v>38</v>
      </c>
      <c r="H1361">
        <v>64</v>
      </c>
      <c r="I1361">
        <v>68</v>
      </c>
      <c r="J1361">
        <v>75</v>
      </c>
      <c r="K1361">
        <v>57</v>
      </c>
      <c r="L1361">
        <v>84</v>
      </c>
      <c r="M1361" s="2">
        <v>422.66</v>
      </c>
      <c r="N1361">
        <v>3</v>
      </c>
      <c r="O1361">
        <v>6</v>
      </c>
      <c r="P1361" t="s">
        <v>33</v>
      </c>
      <c r="Q1361" t="s">
        <v>34</v>
      </c>
      <c r="R1361" t="s">
        <v>26</v>
      </c>
      <c r="S1361" s="2">
        <f t="shared" si="21"/>
        <v>24091.620000000003</v>
      </c>
    </row>
    <row r="1362" spans="1:19" x14ac:dyDescent="0.3">
      <c r="A1362" t="s">
        <v>1423</v>
      </c>
      <c r="B1362" s="1">
        <v>46045</v>
      </c>
      <c r="C1362" t="s">
        <v>52</v>
      </c>
      <c r="D1362" t="s">
        <v>53</v>
      </c>
      <c r="E1362" t="s">
        <v>58</v>
      </c>
      <c r="F1362" t="s">
        <v>22</v>
      </c>
      <c r="G1362" t="s">
        <v>23</v>
      </c>
      <c r="H1362">
        <v>150</v>
      </c>
      <c r="I1362">
        <v>91</v>
      </c>
      <c r="J1362">
        <v>17</v>
      </c>
      <c r="K1362">
        <v>224</v>
      </c>
      <c r="L1362">
        <v>89</v>
      </c>
      <c r="M1362" s="2">
        <v>594.91</v>
      </c>
      <c r="N1362">
        <v>6</v>
      </c>
      <c r="O1362">
        <v>0</v>
      </c>
      <c r="P1362" t="s">
        <v>33</v>
      </c>
      <c r="Q1362" t="s">
        <v>47</v>
      </c>
      <c r="R1362" t="s">
        <v>26</v>
      </c>
      <c r="S1362" s="2">
        <f t="shared" si="21"/>
        <v>133259.84</v>
      </c>
    </row>
    <row r="1363" spans="1:19" x14ac:dyDescent="0.3">
      <c r="A1363" t="s">
        <v>1424</v>
      </c>
      <c r="B1363" s="1">
        <v>46028</v>
      </c>
      <c r="C1363" t="s">
        <v>36</v>
      </c>
      <c r="D1363" t="s">
        <v>29</v>
      </c>
      <c r="E1363" t="s">
        <v>58</v>
      </c>
      <c r="F1363" t="s">
        <v>31</v>
      </c>
      <c r="G1363" t="s">
        <v>32</v>
      </c>
      <c r="H1363">
        <v>66</v>
      </c>
      <c r="I1363">
        <v>107</v>
      </c>
      <c r="J1363">
        <v>85</v>
      </c>
      <c r="K1363">
        <v>88</v>
      </c>
      <c r="L1363">
        <v>73</v>
      </c>
      <c r="M1363" s="2">
        <v>2504.85</v>
      </c>
      <c r="N1363">
        <v>7</v>
      </c>
      <c r="O1363">
        <v>0</v>
      </c>
      <c r="P1363" t="s">
        <v>24</v>
      </c>
      <c r="Q1363" t="s">
        <v>34</v>
      </c>
      <c r="R1363" t="s">
        <v>26</v>
      </c>
      <c r="S1363" s="2">
        <f t="shared" si="21"/>
        <v>220426.8</v>
      </c>
    </row>
    <row r="1364" spans="1:19" x14ac:dyDescent="0.3">
      <c r="A1364" t="s">
        <v>1425</v>
      </c>
      <c r="B1364" s="1">
        <v>46151</v>
      </c>
      <c r="C1364" t="s">
        <v>68</v>
      </c>
      <c r="D1364" t="s">
        <v>53</v>
      </c>
      <c r="E1364" t="s">
        <v>75</v>
      </c>
      <c r="F1364" t="s">
        <v>37</v>
      </c>
      <c r="G1364" t="s">
        <v>38</v>
      </c>
      <c r="H1364">
        <v>204</v>
      </c>
      <c r="I1364">
        <v>95</v>
      </c>
      <c r="J1364">
        <v>72</v>
      </c>
      <c r="K1364">
        <v>227</v>
      </c>
      <c r="L1364">
        <v>58</v>
      </c>
      <c r="M1364" s="2">
        <v>551.22</v>
      </c>
      <c r="N1364">
        <v>3</v>
      </c>
      <c r="O1364">
        <v>0</v>
      </c>
      <c r="P1364" t="s">
        <v>33</v>
      </c>
      <c r="Q1364" t="s">
        <v>47</v>
      </c>
      <c r="R1364" t="s">
        <v>26</v>
      </c>
      <c r="S1364" s="2">
        <f t="shared" si="21"/>
        <v>125126.94</v>
      </c>
    </row>
    <row r="1365" spans="1:19" x14ac:dyDescent="0.3">
      <c r="A1365" t="s">
        <v>1426</v>
      </c>
      <c r="B1365" s="1">
        <v>46273</v>
      </c>
      <c r="C1365" t="s">
        <v>87</v>
      </c>
      <c r="D1365" t="s">
        <v>53</v>
      </c>
      <c r="E1365" t="s">
        <v>75</v>
      </c>
      <c r="F1365" t="s">
        <v>1582</v>
      </c>
      <c r="G1365" t="s">
        <v>1583</v>
      </c>
      <c r="H1365">
        <v>216</v>
      </c>
      <c r="I1365">
        <v>55</v>
      </c>
      <c r="J1365">
        <v>84</v>
      </c>
      <c r="K1365">
        <v>187</v>
      </c>
      <c r="L1365">
        <v>55</v>
      </c>
      <c r="M1365" s="2">
        <v>464.16</v>
      </c>
      <c r="N1365">
        <v>7</v>
      </c>
      <c r="O1365">
        <v>0</v>
      </c>
      <c r="P1365" t="s">
        <v>33</v>
      </c>
      <c r="Q1365" t="s">
        <v>47</v>
      </c>
      <c r="R1365" t="s">
        <v>81</v>
      </c>
      <c r="S1365" s="2">
        <f t="shared" si="21"/>
        <v>86797.92</v>
      </c>
    </row>
    <row r="1366" spans="1:19" x14ac:dyDescent="0.3">
      <c r="A1366" t="s">
        <v>1427</v>
      </c>
      <c r="B1366" s="1">
        <v>46254</v>
      </c>
      <c r="C1366" t="s">
        <v>36</v>
      </c>
      <c r="D1366" t="s">
        <v>29</v>
      </c>
      <c r="E1366" t="s">
        <v>21</v>
      </c>
      <c r="F1366" t="s">
        <v>31</v>
      </c>
      <c r="G1366" t="s">
        <v>32</v>
      </c>
      <c r="H1366">
        <v>62</v>
      </c>
      <c r="I1366">
        <v>84</v>
      </c>
      <c r="J1366">
        <v>89</v>
      </c>
      <c r="K1366">
        <v>57</v>
      </c>
      <c r="L1366">
        <v>59</v>
      </c>
      <c r="M1366" s="2">
        <v>2603.91</v>
      </c>
      <c r="N1366">
        <v>4</v>
      </c>
      <c r="O1366">
        <v>6</v>
      </c>
      <c r="P1366" t="s">
        <v>24</v>
      </c>
      <c r="Q1366" t="s">
        <v>34</v>
      </c>
      <c r="R1366" t="s">
        <v>81</v>
      </c>
      <c r="S1366" s="2">
        <f t="shared" si="21"/>
        <v>148422.87</v>
      </c>
    </row>
    <row r="1367" spans="1:19" x14ac:dyDescent="0.3">
      <c r="A1367" t="s">
        <v>1428</v>
      </c>
      <c r="B1367" s="1">
        <v>46046</v>
      </c>
      <c r="C1367" t="s">
        <v>87</v>
      </c>
      <c r="D1367" t="s">
        <v>53</v>
      </c>
      <c r="E1367" t="s">
        <v>75</v>
      </c>
      <c r="F1367" t="s">
        <v>31</v>
      </c>
      <c r="G1367" t="s">
        <v>32</v>
      </c>
      <c r="H1367">
        <v>200</v>
      </c>
      <c r="I1367">
        <v>93</v>
      </c>
      <c r="J1367">
        <v>17</v>
      </c>
      <c r="K1367">
        <v>276</v>
      </c>
      <c r="L1367">
        <v>87</v>
      </c>
      <c r="M1367" s="2">
        <v>429.77</v>
      </c>
      <c r="N1367">
        <v>3</v>
      </c>
      <c r="O1367">
        <v>0</v>
      </c>
      <c r="P1367" t="s">
        <v>33</v>
      </c>
      <c r="Q1367" t="s">
        <v>47</v>
      </c>
      <c r="R1367" t="s">
        <v>26</v>
      </c>
      <c r="S1367" s="2">
        <f t="shared" si="21"/>
        <v>118616.51999999999</v>
      </c>
    </row>
    <row r="1368" spans="1:19" x14ac:dyDescent="0.3">
      <c r="A1368" t="s">
        <v>1429</v>
      </c>
      <c r="B1368" s="1">
        <v>46127</v>
      </c>
      <c r="C1368" t="s">
        <v>28</v>
      </c>
      <c r="D1368" t="s">
        <v>29</v>
      </c>
      <c r="E1368" t="s">
        <v>42</v>
      </c>
      <c r="F1368" t="s">
        <v>22</v>
      </c>
      <c r="G1368" t="s">
        <v>23</v>
      </c>
      <c r="H1368">
        <v>73</v>
      </c>
      <c r="I1368">
        <v>57</v>
      </c>
      <c r="J1368">
        <v>73</v>
      </c>
      <c r="K1368">
        <v>57</v>
      </c>
      <c r="L1368">
        <v>48</v>
      </c>
      <c r="M1368" s="2">
        <v>1342.03</v>
      </c>
      <c r="N1368">
        <v>3</v>
      </c>
      <c r="O1368">
        <v>0</v>
      </c>
      <c r="P1368" t="s">
        <v>33</v>
      </c>
      <c r="Q1368" t="s">
        <v>34</v>
      </c>
      <c r="R1368" t="s">
        <v>26</v>
      </c>
      <c r="S1368" s="2">
        <f t="shared" si="21"/>
        <v>76495.709999999992</v>
      </c>
    </row>
    <row r="1369" spans="1:19" x14ac:dyDescent="0.3">
      <c r="A1369" t="s">
        <v>1430</v>
      </c>
      <c r="B1369" s="1">
        <v>46373</v>
      </c>
      <c r="C1369" t="s">
        <v>45</v>
      </c>
      <c r="D1369" t="s">
        <v>46</v>
      </c>
      <c r="E1369" t="s">
        <v>58</v>
      </c>
      <c r="F1369" t="s">
        <v>22</v>
      </c>
      <c r="G1369" t="s">
        <v>23</v>
      </c>
      <c r="H1369">
        <v>216</v>
      </c>
      <c r="I1369">
        <v>28</v>
      </c>
      <c r="J1369">
        <v>35</v>
      </c>
      <c r="K1369">
        <v>209</v>
      </c>
      <c r="L1369">
        <v>75</v>
      </c>
      <c r="M1369" s="2">
        <v>780.49</v>
      </c>
      <c r="N1369">
        <v>3</v>
      </c>
      <c r="O1369">
        <v>0</v>
      </c>
      <c r="P1369" t="s">
        <v>33</v>
      </c>
      <c r="Q1369" t="s">
        <v>47</v>
      </c>
      <c r="R1369" t="s">
        <v>26</v>
      </c>
      <c r="S1369" s="2">
        <f t="shared" si="21"/>
        <v>163122.41</v>
      </c>
    </row>
    <row r="1370" spans="1:19" x14ac:dyDescent="0.3">
      <c r="A1370" t="s">
        <v>1431</v>
      </c>
      <c r="B1370" s="1">
        <v>46289</v>
      </c>
      <c r="C1370" t="s">
        <v>57</v>
      </c>
      <c r="D1370" t="s">
        <v>50</v>
      </c>
      <c r="E1370" t="s">
        <v>75</v>
      </c>
      <c r="F1370" t="s">
        <v>22</v>
      </c>
      <c r="G1370" t="s">
        <v>23</v>
      </c>
      <c r="H1370">
        <v>94</v>
      </c>
      <c r="I1370">
        <v>29</v>
      </c>
      <c r="J1370">
        <v>34</v>
      </c>
      <c r="K1370">
        <v>89</v>
      </c>
      <c r="L1370">
        <v>71</v>
      </c>
      <c r="M1370" s="2">
        <v>2580.73</v>
      </c>
      <c r="N1370">
        <v>3</v>
      </c>
      <c r="O1370">
        <v>0</v>
      </c>
      <c r="P1370" t="s">
        <v>33</v>
      </c>
      <c r="Q1370" t="s">
        <v>34</v>
      </c>
      <c r="R1370" t="s">
        <v>26</v>
      </c>
      <c r="S1370" s="2">
        <f t="shared" si="21"/>
        <v>229684.97</v>
      </c>
    </row>
    <row r="1371" spans="1:19" x14ac:dyDescent="0.3">
      <c r="A1371" t="s">
        <v>1432</v>
      </c>
      <c r="B1371" s="1">
        <v>46250</v>
      </c>
      <c r="C1371" t="s">
        <v>52</v>
      </c>
      <c r="D1371" t="s">
        <v>53</v>
      </c>
      <c r="E1371" t="s">
        <v>58</v>
      </c>
      <c r="F1371" t="s">
        <v>22</v>
      </c>
      <c r="G1371" t="s">
        <v>23</v>
      </c>
      <c r="H1371">
        <v>192</v>
      </c>
      <c r="I1371">
        <v>88</v>
      </c>
      <c r="J1371">
        <v>99</v>
      </c>
      <c r="K1371">
        <v>181</v>
      </c>
      <c r="L1371">
        <v>81</v>
      </c>
      <c r="M1371" s="2">
        <v>613.03</v>
      </c>
      <c r="N1371">
        <v>5</v>
      </c>
      <c r="O1371">
        <v>0</v>
      </c>
      <c r="P1371" t="s">
        <v>33</v>
      </c>
      <c r="Q1371" t="s">
        <v>47</v>
      </c>
      <c r="R1371" t="s">
        <v>26</v>
      </c>
      <c r="S1371" s="2">
        <f t="shared" si="21"/>
        <v>110958.43</v>
      </c>
    </row>
    <row r="1372" spans="1:19" x14ac:dyDescent="0.3">
      <c r="A1372" t="s">
        <v>1433</v>
      </c>
      <c r="B1372" s="1">
        <v>46082</v>
      </c>
      <c r="C1372" t="s">
        <v>45</v>
      </c>
      <c r="D1372" t="s">
        <v>46</v>
      </c>
      <c r="E1372" t="s">
        <v>21</v>
      </c>
      <c r="F1372" t="s">
        <v>22</v>
      </c>
      <c r="G1372" t="s">
        <v>23</v>
      </c>
      <c r="H1372">
        <v>45</v>
      </c>
      <c r="I1372">
        <v>45</v>
      </c>
      <c r="J1372">
        <v>66</v>
      </c>
      <c r="K1372">
        <v>24</v>
      </c>
      <c r="L1372">
        <v>63</v>
      </c>
      <c r="M1372" s="2">
        <v>780.08</v>
      </c>
      <c r="N1372">
        <v>6</v>
      </c>
      <c r="O1372">
        <v>2</v>
      </c>
      <c r="P1372" t="s">
        <v>33</v>
      </c>
      <c r="Q1372" t="s">
        <v>25</v>
      </c>
      <c r="R1372" t="s">
        <v>43</v>
      </c>
      <c r="S1372" s="2">
        <f t="shared" si="21"/>
        <v>18721.920000000002</v>
      </c>
    </row>
    <row r="1373" spans="1:19" x14ac:dyDescent="0.3">
      <c r="A1373" t="s">
        <v>1434</v>
      </c>
      <c r="B1373" s="1">
        <v>46115</v>
      </c>
      <c r="C1373" t="s">
        <v>62</v>
      </c>
      <c r="D1373" t="s">
        <v>29</v>
      </c>
      <c r="E1373" t="s">
        <v>42</v>
      </c>
      <c r="F1373" t="s">
        <v>31</v>
      </c>
      <c r="G1373" t="s">
        <v>32</v>
      </c>
      <c r="H1373">
        <v>183</v>
      </c>
      <c r="I1373">
        <v>81</v>
      </c>
      <c r="J1373">
        <v>65</v>
      </c>
      <c r="K1373">
        <v>199</v>
      </c>
      <c r="L1373">
        <v>86</v>
      </c>
      <c r="M1373" s="2">
        <v>711.29</v>
      </c>
      <c r="N1373">
        <v>7</v>
      </c>
      <c r="O1373">
        <v>0</v>
      </c>
      <c r="P1373" t="s">
        <v>33</v>
      </c>
      <c r="Q1373" t="s">
        <v>47</v>
      </c>
      <c r="R1373" t="s">
        <v>26</v>
      </c>
      <c r="S1373" s="2">
        <f t="shared" si="21"/>
        <v>141546.71</v>
      </c>
    </row>
    <row r="1374" spans="1:19" x14ac:dyDescent="0.3">
      <c r="A1374" t="s">
        <v>1435</v>
      </c>
      <c r="B1374" s="1">
        <v>46298</v>
      </c>
      <c r="C1374" t="s">
        <v>87</v>
      </c>
      <c r="D1374" t="s">
        <v>53</v>
      </c>
      <c r="E1374" t="s">
        <v>42</v>
      </c>
      <c r="F1374" t="s">
        <v>22</v>
      </c>
      <c r="G1374" t="s">
        <v>23</v>
      </c>
      <c r="H1374">
        <v>52</v>
      </c>
      <c r="I1374">
        <v>85</v>
      </c>
      <c r="J1374">
        <v>92</v>
      </c>
      <c r="K1374">
        <v>45</v>
      </c>
      <c r="L1374">
        <v>79</v>
      </c>
      <c r="M1374" s="2">
        <v>484.6</v>
      </c>
      <c r="N1374">
        <v>3</v>
      </c>
      <c r="O1374">
        <v>2</v>
      </c>
      <c r="P1374" t="s">
        <v>33</v>
      </c>
      <c r="Q1374" t="s">
        <v>25</v>
      </c>
      <c r="R1374" t="s">
        <v>26</v>
      </c>
      <c r="S1374" s="2">
        <f t="shared" si="21"/>
        <v>21807</v>
      </c>
    </row>
    <row r="1375" spans="1:19" x14ac:dyDescent="0.3">
      <c r="A1375" t="s">
        <v>1436</v>
      </c>
      <c r="B1375" s="1">
        <v>46135</v>
      </c>
      <c r="C1375" t="s">
        <v>89</v>
      </c>
      <c r="D1375" t="s">
        <v>20</v>
      </c>
      <c r="E1375" t="s">
        <v>21</v>
      </c>
      <c r="F1375" t="s">
        <v>37</v>
      </c>
      <c r="G1375" t="s">
        <v>38</v>
      </c>
      <c r="H1375">
        <v>180</v>
      </c>
      <c r="I1375">
        <v>37</v>
      </c>
      <c r="J1375">
        <v>37</v>
      </c>
      <c r="K1375">
        <v>180</v>
      </c>
      <c r="L1375">
        <v>47</v>
      </c>
      <c r="M1375" s="2">
        <v>1182.6500000000001</v>
      </c>
      <c r="N1375">
        <v>8</v>
      </c>
      <c r="O1375">
        <v>0</v>
      </c>
      <c r="P1375" t="s">
        <v>33</v>
      </c>
      <c r="Q1375" t="s">
        <v>47</v>
      </c>
      <c r="R1375" t="s">
        <v>26</v>
      </c>
      <c r="S1375" s="2">
        <f t="shared" si="21"/>
        <v>212877.00000000003</v>
      </c>
    </row>
    <row r="1376" spans="1:19" x14ac:dyDescent="0.3">
      <c r="A1376" t="s">
        <v>1437</v>
      </c>
      <c r="B1376" s="1">
        <v>46164</v>
      </c>
      <c r="C1376" t="s">
        <v>98</v>
      </c>
      <c r="D1376" t="s">
        <v>20</v>
      </c>
      <c r="E1376" t="s">
        <v>30</v>
      </c>
      <c r="F1376" t="s">
        <v>1582</v>
      </c>
      <c r="G1376" t="s">
        <v>1583</v>
      </c>
      <c r="H1376">
        <v>58</v>
      </c>
      <c r="I1376">
        <v>74</v>
      </c>
      <c r="J1376">
        <v>107</v>
      </c>
      <c r="K1376">
        <v>25</v>
      </c>
      <c r="L1376">
        <v>85</v>
      </c>
      <c r="M1376" s="2">
        <v>1413.08</v>
      </c>
      <c r="N1376">
        <v>7</v>
      </c>
      <c r="O1376">
        <v>8</v>
      </c>
      <c r="P1376" t="s">
        <v>33</v>
      </c>
      <c r="Q1376" t="s">
        <v>25</v>
      </c>
      <c r="R1376" t="s">
        <v>26</v>
      </c>
      <c r="S1376" s="2">
        <f t="shared" si="21"/>
        <v>35327</v>
      </c>
    </row>
    <row r="1377" spans="1:19" x14ac:dyDescent="0.3">
      <c r="A1377" t="s">
        <v>1438</v>
      </c>
      <c r="B1377" s="1">
        <v>46349</v>
      </c>
      <c r="C1377" t="s">
        <v>109</v>
      </c>
      <c r="D1377" t="s">
        <v>46</v>
      </c>
      <c r="E1377" t="s">
        <v>75</v>
      </c>
      <c r="F1377" t="s">
        <v>31</v>
      </c>
      <c r="G1377" t="s">
        <v>32</v>
      </c>
      <c r="H1377">
        <v>46</v>
      </c>
      <c r="I1377">
        <v>119</v>
      </c>
      <c r="J1377">
        <v>100</v>
      </c>
      <c r="K1377">
        <v>65</v>
      </c>
      <c r="L1377">
        <v>89</v>
      </c>
      <c r="M1377" s="2">
        <v>2895.49</v>
      </c>
      <c r="N1377">
        <v>8</v>
      </c>
      <c r="O1377">
        <v>2</v>
      </c>
      <c r="P1377" t="s">
        <v>33</v>
      </c>
      <c r="Q1377" t="s">
        <v>34</v>
      </c>
      <c r="R1377" t="s">
        <v>26</v>
      </c>
      <c r="S1377" s="2">
        <f t="shared" si="21"/>
        <v>188206.84999999998</v>
      </c>
    </row>
    <row r="1378" spans="1:19" x14ac:dyDescent="0.3">
      <c r="A1378" t="s">
        <v>1439</v>
      </c>
      <c r="B1378" s="1">
        <v>46345</v>
      </c>
      <c r="C1378" t="s">
        <v>77</v>
      </c>
      <c r="D1378" t="s">
        <v>53</v>
      </c>
      <c r="E1378" t="s">
        <v>75</v>
      </c>
      <c r="F1378" t="s">
        <v>22</v>
      </c>
      <c r="G1378" t="s">
        <v>23</v>
      </c>
      <c r="H1378">
        <v>163</v>
      </c>
      <c r="I1378">
        <v>123</v>
      </c>
      <c r="J1378">
        <v>27</v>
      </c>
      <c r="K1378">
        <v>259</v>
      </c>
      <c r="L1378">
        <v>73</v>
      </c>
      <c r="M1378" s="2">
        <v>528.36</v>
      </c>
      <c r="N1378">
        <v>6</v>
      </c>
      <c r="O1378">
        <v>0</v>
      </c>
      <c r="P1378" t="s">
        <v>33</v>
      </c>
      <c r="Q1378" t="s">
        <v>47</v>
      </c>
      <c r="R1378" t="s">
        <v>26</v>
      </c>
      <c r="S1378" s="2">
        <f t="shared" si="21"/>
        <v>136845.24</v>
      </c>
    </row>
    <row r="1379" spans="1:19" x14ac:dyDescent="0.3">
      <c r="A1379" t="s">
        <v>1440</v>
      </c>
      <c r="B1379" s="1">
        <v>46156</v>
      </c>
      <c r="C1379" t="s">
        <v>77</v>
      </c>
      <c r="D1379" t="s">
        <v>53</v>
      </c>
      <c r="E1379" t="s">
        <v>42</v>
      </c>
      <c r="F1379" t="s">
        <v>37</v>
      </c>
      <c r="G1379" t="s">
        <v>38</v>
      </c>
      <c r="H1379">
        <v>120</v>
      </c>
      <c r="I1379">
        <v>68</v>
      </c>
      <c r="J1379">
        <v>101</v>
      </c>
      <c r="K1379">
        <v>87</v>
      </c>
      <c r="L1379">
        <v>52</v>
      </c>
      <c r="M1379" s="2">
        <v>529.47</v>
      </c>
      <c r="N1379">
        <v>6</v>
      </c>
      <c r="O1379">
        <v>0</v>
      </c>
      <c r="P1379" t="s">
        <v>33</v>
      </c>
      <c r="Q1379" t="s">
        <v>34</v>
      </c>
      <c r="R1379" t="s">
        <v>59</v>
      </c>
      <c r="S1379" s="2">
        <f t="shared" si="21"/>
        <v>46063.89</v>
      </c>
    </row>
    <row r="1380" spans="1:19" x14ac:dyDescent="0.3">
      <c r="A1380" t="s">
        <v>1441</v>
      </c>
      <c r="B1380" s="1">
        <v>46100</v>
      </c>
      <c r="C1380" t="s">
        <v>62</v>
      </c>
      <c r="D1380" t="s">
        <v>29</v>
      </c>
      <c r="E1380" t="s">
        <v>30</v>
      </c>
      <c r="F1380" t="s">
        <v>22</v>
      </c>
      <c r="G1380" t="s">
        <v>23</v>
      </c>
      <c r="H1380">
        <v>193</v>
      </c>
      <c r="I1380">
        <v>105</v>
      </c>
      <c r="J1380">
        <v>88</v>
      </c>
      <c r="K1380">
        <v>210</v>
      </c>
      <c r="L1380">
        <v>79</v>
      </c>
      <c r="M1380" s="2">
        <v>696.75</v>
      </c>
      <c r="N1380">
        <v>5</v>
      </c>
      <c r="O1380">
        <v>0</v>
      </c>
      <c r="P1380" t="s">
        <v>33</v>
      </c>
      <c r="Q1380" t="s">
        <v>47</v>
      </c>
      <c r="R1380" t="s">
        <v>59</v>
      </c>
      <c r="S1380" s="2">
        <f t="shared" si="21"/>
        <v>146317.5</v>
      </c>
    </row>
    <row r="1381" spans="1:19" x14ac:dyDescent="0.3">
      <c r="A1381" t="s">
        <v>1442</v>
      </c>
      <c r="B1381" s="1">
        <v>46024</v>
      </c>
      <c r="C1381" t="s">
        <v>83</v>
      </c>
      <c r="D1381" t="s">
        <v>29</v>
      </c>
      <c r="E1381" t="s">
        <v>30</v>
      </c>
      <c r="F1381" t="s">
        <v>31</v>
      </c>
      <c r="G1381" t="s">
        <v>32</v>
      </c>
      <c r="H1381">
        <v>120</v>
      </c>
      <c r="I1381">
        <v>68</v>
      </c>
      <c r="J1381">
        <v>75</v>
      </c>
      <c r="K1381">
        <v>113</v>
      </c>
      <c r="L1381">
        <v>47</v>
      </c>
      <c r="M1381" s="2">
        <v>1602.29</v>
      </c>
      <c r="N1381">
        <v>5</v>
      </c>
      <c r="O1381">
        <v>0</v>
      </c>
      <c r="P1381" t="s">
        <v>24</v>
      </c>
      <c r="Q1381" t="s">
        <v>47</v>
      </c>
      <c r="R1381" t="s">
        <v>26</v>
      </c>
      <c r="S1381" s="2">
        <f t="shared" si="21"/>
        <v>181058.77</v>
      </c>
    </row>
    <row r="1382" spans="1:19" x14ac:dyDescent="0.3">
      <c r="A1382" t="s">
        <v>1443</v>
      </c>
      <c r="B1382" s="1">
        <v>46311</v>
      </c>
      <c r="C1382" t="s">
        <v>80</v>
      </c>
      <c r="D1382" t="s">
        <v>46</v>
      </c>
      <c r="E1382" t="s">
        <v>58</v>
      </c>
      <c r="F1382" t="s">
        <v>37</v>
      </c>
      <c r="G1382" t="s">
        <v>38</v>
      </c>
      <c r="H1382">
        <v>202</v>
      </c>
      <c r="I1382">
        <v>63</v>
      </c>
      <c r="J1382">
        <v>26</v>
      </c>
      <c r="K1382">
        <v>239</v>
      </c>
      <c r="L1382">
        <v>68</v>
      </c>
      <c r="M1382" s="2">
        <v>1149.26</v>
      </c>
      <c r="N1382">
        <v>4</v>
      </c>
      <c r="O1382">
        <v>0</v>
      </c>
      <c r="P1382" t="s">
        <v>33</v>
      </c>
      <c r="Q1382" t="s">
        <v>47</v>
      </c>
      <c r="R1382" t="s">
        <v>26</v>
      </c>
      <c r="S1382" s="2">
        <f t="shared" si="21"/>
        <v>274673.14</v>
      </c>
    </row>
    <row r="1383" spans="1:19" x14ac:dyDescent="0.3">
      <c r="A1383" t="s">
        <v>1444</v>
      </c>
      <c r="B1383" s="1">
        <v>46318</v>
      </c>
      <c r="C1383" t="s">
        <v>98</v>
      </c>
      <c r="D1383" t="s">
        <v>20</v>
      </c>
      <c r="E1383" t="s">
        <v>58</v>
      </c>
      <c r="F1383" t="s">
        <v>22</v>
      </c>
      <c r="G1383" t="s">
        <v>23</v>
      </c>
      <c r="H1383">
        <v>108</v>
      </c>
      <c r="I1383">
        <v>85</v>
      </c>
      <c r="J1383">
        <v>44</v>
      </c>
      <c r="K1383">
        <v>149</v>
      </c>
      <c r="L1383">
        <v>65</v>
      </c>
      <c r="M1383" s="2">
        <v>1363.48</v>
      </c>
      <c r="N1383">
        <v>2</v>
      </c>
      <c r="O1383">
        <v>0</v>
      </c>
      <c r="P1383" t="s">
        <v>33</v>
      </c>
      <c r="Q1383" t="s">
        <v>47</v>
      </c>
      <c r="R1383" t="s">
        <v>43</v>
      </c>
      <c r="S1383" s="2">
        <f t="shared" si="21"/>
        <v>203158.52</v>
      </c>
    </row>
    <row r="1384" spans="1:19" x14ac:dyDescent="0.3">
      <c r="A1384" t="s">
        <v>1445</v>
      </c>
      <c r="B1384" s="1">
        <v>46258</v>
      </c>
      <c r="C1384" t="s">
        <v>57</v>
      </c>
      <c r="D1384" t="s">
        <v>50</v>
      </c>
      <c r="E1384" t="s">
        <v>30</v>
      </c>
      <c r="F1384" t="s">
        <v>31</v>
      </c>
      <c r="G1384" t="s">
        <v>32</v>
      </c>
      <c r="H1384">
        <v>200</v>
      </c>
      <c r="I1384">
        <v>80</v>
      </c>
      <c r="J1384">
        <v>21</v>
      </c>
      <c r="K1384">
        <v>259</v>
      </c>
      <c r="L1384">
        <v>71</v>
      </c>
      <c r="M1384" s="2">
        <v>2636.43</v>
      </c>
      <c r="N1384">
        <v>5</v>
      </c>
      <c r="O1384">
        <v>0</v>
      </c>
      <c r="P1384" t="s">
        <v>33</v>
      </c>
      <c r="Q1384" t="s">
        <v>47</v>
      </c>
      <c r="R1384" t="s">
        <v>26</v>
      </c>
      <c r="S1384" s="2">
        <f t="shared" si="21"/>
        <v>682835.37</v>
      </c>
    </row>
    <row r="1385" spans="1:19" x14ac:dyDescent="0.3">
      <c r="A1385" t="s">
        <v>1446</v>
      </c>
      <c r="B1385" s="1">
        <v>46293</v>
      </c>
      <c r="C1385" t="s">
        <v>52</v>
      </c>
      <c r="D1385" t="s">
        <v>53</v>
      </c>
      <c r="E1385" t="s">
        <v>75</v>
      </c>
      <c r="F1385" t="s">
        <v>22</v>
      </c>
      <c r="G1385" t="s">
        <v>23</v>
      </c>
      <c r="H1385">
        <v>72</v>
      </c>
      <c r="I1385">
        <v>28</v>
      </c>
      <c r="J1385">
        <v>22</v>
      </c>
      <c r="K1385">
        <v>78</v>
      </c>
      <c r="L1385">
        <v>62</v>
      </c>
      <c r="M1385" s="2">
        <v>689.26</v>
      </c>
      <c r="N1385">
        <v>2</v>
      </c>
      <c r="O1385">
        <v>0</v>
      </c>
      <c r="P1385" t="s">
        <v>33</v>
      </c>
      <c r="Q1385" t="s">
        <v>34</v>
      </c>
      <c r="R1385" t="s">
        <v>26</v>
      </c>
      <c r="S1385" s="2">
        <f t="shared" si="21"/>
        <v>53762.28</v>
      </c>
    </row>
    <row r="1386" spans="1:19" x14ac:dyDescent="0.3">
      <c r="A1386" t="s">
        <v>1447</v>
      </c>
      <c r="B1386" s="1">
        <v>46119</v>
      </c>
      <c r="C1386" t="s">
        <v>19</v>
      </c>
      <c r="D1386" t="s">
        <v>20</v>
      </c>
      <c r="E1386" t="s">
        <v>21</v>
      </c>
      <c r="F1386" t="s">
        <v>37</v>
      </c>
      <c r="G1386" t="s">
        <v>38</v>
      </c>
      <c r="H1386">
        <v>204</v>
      </c>
      <c r="I1386">
        <v>42</v>
      </c>
      <c r="J1386">
        <v>85</v>
      </c>
      <c r="K1386">
        <v>161</v>
      </c>
      <c r="L1386">
        <v>75</v>
      </c>
      <c r="M1386" s="2">
        <v>1799.44</v>
      </c>
      <c r="N1386">
        <v>3</v>
      </c>
      <c r="O1386">
        <v>0</v>
      </c>
      <c r="P1386" t="s">
        <v>33</v>
      </c>
      <c r="Q1386" t="s">
        <v>34</v>
      </c>
      <c r="R1386" t="s">
        <v>26</v>
      </c>
      <c r="S1386" s="2">
        <f t="shared" si="21"/>
        <v>289709.84000000003</v>
      </c>
    </row>
    <row r="1387" spans="1:19" x14ac:dyDescent="0.3">
      <c r="A1387" t="s">
        <v>1448</v>
      </c>
      <c r="B1387" s="1">
        <v>46290</v>
      </c>
      <c r="C1387" t="s">
        <v>77</v>
      </c>
      <c r="D1387" t="s">
        <v>53</v>
      </c>
      <c r="E1387" t="s">
        <v>58</v>
      </c>
      <c r="F1387" t="s">
        <v>37</v>
      </c>
      <c r="G1387" t="s">
        <v>38</v>
      </c>
      <c r="H1387">
        <v>102</v>
      </c>
      <c r="I1387">
        <v>39</v>
      </c>
      <c r="J1387">
        <v>101</v>
      </c>
      <c r="K1387">
        <v>40</v>
      </c>
      <c r="L1387">
        <v>49</v>
      </c>
      <c r="M1387" s="2">
        <v>464.15</v>
      </c>
      <c r="N1387">
        <v>5</v>
      </c>
      <c r="O1387">
        <v>5</v>
      </c>
      <c r="P1387" t="s">
        <v>33</v>
      </c>
      <c r="Q1387" t="s">
        <v>34</v>
      </c>
      <c r="R1387" t="s">
        <v>59</v>
      </c>
      <c r="S1387" s="2">
        <f t="shared" si="21"/>
        <v>18566</v>
      </c>
    </row>
    <row r="1388" spans="1:19" x14ac:dyDescent="0.3">
      <c r="A1388" t="s">
        <v>1449</v>
      </c>
      <c r="B1388" s="1">
        <v>46181</v>
      </c>
      <c r="C1388" t="s">
        <v>52</v>
      </c>
      <c r="D1388" t="s">
        <v>53</v>
      </c>
      <c r="E1388" t="s">
        <v>58</v>
      </c>
      <c r="F1388" t="s">
        <v>37</v>
      </c>
      <c r="G1388" t="s">
        <v>38</v>
      </c>
      <c r="H1388">
        <v>80</v>
      </c>
      <c r="I1388">
        <v>22</v>
      </c>
      <c r="J1388">
        <v>46</v>
      </c>
      <c r="K1388">
        <v>56</v>
      </c>
      <c r="L1388">
        <v>71</v>
      </c>
      <c r="M1388" s="2">
        <v>683.34</v>
      </c>
      <c r="N1388">
        <v>3</v>
      </c>
      <c r="O1388">
        <v>7</v>
      </c>
      <c r="P1388" t="s">
        <v>33</v>
      </c>
      <c r="Q1388" t="s">
        <v>34</v>
      </c>
      <c r="R1388" t="s">
        <v>26</v>
      </c>
      <c r="S1388" s="2">
        <f t="shared" si="21"/>
        <v>38267.040000000001</v>
      </c>
    </row>
    <row r="1389" spans="1:19" x14ac:dyDescent="0.3">
      <c r="A1389" t="s">
        <v>1450</v>
      </c>
      <c r="B1389" s="1">
        <v>46229</v>
      </c>
      <c r="C1389" t="s">
        <v>109</v>
      </c>
      <c r="D1389" t="s">
        <v>46</v>
      </c>
      <c r="E1389" t="s">
        <v>58</v>
      </c>
      <c r="F1389" t="s">
        <v>31</v>
      </c>
      <c r="G1389" t="s">
        <v>32</v>
      </c>
      <c r="H1389">
        <v>139</v>
      </c>
      <c r="I1389">
        <v>57</v>
      </c>
      <c r="J1389">
        <v>95</v>
      </c>
      <c r="K1389">
        <v>101</v>
      </c>
      <c r="L1389">
        <v>69</v>
      </c>
      <c r="M1389" s="2">
        <v>2980.27</v>
      </c>
      <c r="N1389">
        <v>11</v>
      </c>
      <c r="O1389">
        <v>0</v>
      </c>
      <c r="P1389" t="s">
        <v>33</v>
      </c>
      <c r="Q1389" t="s">
        <v>34</v>
      </c>
      <c r="R1389" t="s">
        <v>26</v>
      </c>
      <c r="S1389" s="2">
        <f t="shared" si="21"/>
        <v>301007.27</v>
      </c>
    </row>
    <row r="1390" spans="1:19" x14ac:dyDescent="0.3">
      <c r="A1390" t="s">
        <v>1451</v>
      </c>
      <c r="B1390" s="1">
        <v>46166</v>
      </c>
      <c r="C1390" t="s">
        <v>83</v>
      </c>
      <c r="D1390" t="s">
        <v>29</v>
      </c>
      <c r="E1390" t="s">
        <v>21</v>
      </c>
      <c r="F1390" t="s">
        <v>22</v>
      </c>
      <c r="G1390" t="s">
        <v>23</v>
      </c>
      <c r="H1390">
        <v>115</v>
      </c>
      <c r="I1390">
        <v>44</v>
      </c>
      <c r="J1390">
        <v>108</v>
      </c>
      <c r="K1390">
        <v>51</v>
      </c>
      <c r="L1390">
        <v>46</v>
      </c>
      <c r="M1390" s="2">
        <v>1653.97</v>
      </c>
      <c r="N1390">
        <v>5</v>
      </c>
      <c r="O1390">
        <v>0</v>
      </c>
      <c r="P1390" t="s">
        <v>33</v>
      </c>
      <c r="Q1390" t="s">
        <v>34</v>
      </c>
      <c r="R1390" t="s">
        <v>26</v>
      </c>
      <c r="S1390" s="2">
        <f t="shared" si="21"/>
        <v>84352.47</v>
      </c>
    </row>
    <row r="1391" spans="1:19" x14ac:dyDescent="0.3">
      <c r="A1391" t="s">
        <v>1452</v>
      </c>
      <c r="B1391" s="1">
        <v>46091</v>
      </c>
      <c r="C1391" t="s">
        <v>109</v>
      </c>
      <c r="D1391" t="s">
        <v>46</v>
      </c>
      <c r="E1391" t="s">
        <v>42</v>
      </c>
      <c r="F1391" t="s">
        <v>31</v>
      </c>
      <c r="G1391" t="s">
        <v>32</v>
      </c>
      <c r="H1391">
        <v>134</v>
      </c>
      <c r="I1391">
        <v>50</v>
      </c>
      <c r="J1391">
        <v>86</v>
      </c>
      <c r="K1391">
        <v>98</v>
      </c>
      <c r="L1391">
        <v>89</v>
      </c>
      <c r="M1391" s="2">
        <v>3200.62</v>
      </c>
      <c r="N1391">
        <v>3</v>
      </c>
      <c r="O1391">
        <v>0</v>
      </c>
      <c r="P1391" t="s">
        <v>33</v>
      </c>
      <c r="Q1391" t="s">
        <v>34</v>
      </c>
      <c r="R1391" t="s">
        <v>26</v>
      </c>
      <c r="S1391" s="2">
        <f t="shared" si="21"/>
        <v>313660.76</v>
      </c>
    </row>
    <row r="1392" spans="1:19" x14ac:dyDescent="0.3">
      <c r="A1392" t="s">
        <v>1453</v>
      </c>
      <c r="B1392" s="1">
        <v>46129</v>
      </c>
      <c r="C1392" t="s">
        <v>57</v>
      </c>
      <c r="D1392" t="s">
        <v>50</v>
      </c>
      <c r="E1392" t="s">
        <v>21</v>
      </c>
      <c r="F1392" t="s">
        <v>31</v>
      </c>
      <c r="G1392" t="s">
        <v>32</v>
      </c>
      <c r="H1392">
        <v>114</v>
      </c>
      <c r="I1392">
        <v>107</v>
      </c>
      <c r="J1392">
        <v>96</v>
      </c>
      <c r="K1392">
        <v>125</v>
      </c>
      <c r="L1392">
        <v>48</v>
      </c>
      <c r="M1392" s="2">
        <v>3076.15</v>
      </c>
      <c r="N1392">
        <v>4</v>
      </c>
      <c r="O1392">
        <v>0</v>
      </c>
      <c r="P1392" t="s">
        <v>33</v>
      </c>
      <c r="Q1392" t="s">
        <v>47</v>
      </c>
      <c r="R1392" t="s">
        <v>43</v>
      </c>
      <c r="S1392" s="2">
        <f t="shared" si="21"/>
        <v>384518.75</v>
      </c>
    </row>
    <row r="1393" spans="1:19" x14ac:dyDescent="0.3">
      <c r="A1393" t="s">
        <v>1454</v>
      </c>
      <c r="B1393" s="1">
        <v>46069</v>
      </c>
      <c r="C1393" t="s">
        <v>80</v>
      </c>
      <c r="D1393" t="s">
        <v>46</v>
      </c>
      <c r="E1393" t="s">
        <v>30</v>
      </c>
      <c r="F1393" t="s">
        <v>37</v>
      </c>
      <c r="G1393" t="s">
        <v>38</v>
      </c>
      <c r="H1393">
        <v>190</v>
      </c>
      <c r="I1393">
        <v>60</v>
      </c>
      <c r="J1393">
        <v>105</v>
      </c>
      <c r="K1393">
        <v>145</v>
      </c>
      <c r="L1393">
        <v>52</v>
      </c>
      <c r="M1393" s="2">
        <v>1076.8399999999999</v>
      </c>
      <c r="N1393">
        <v>3</v>
      </c>
      <c r="O1393">
        <v>0</v>
      </c>
      <c r="P1393" t="s">
        <v>33</v>
      </c>
      <c r="Q1393" t="s">
        <v>47</v>
      </c>
      <c r="R1393" t="s">
        <v>43</v>
      </c>
      <c r="S1393" s="2">
        <f t="shared" si="21"/>
        <v>156141.79999999999</v>
      </c>
    </row>
    <row r="1394" spans="1:19" x14ac:dyDescent="0.3">
      <c r="A1394" t="s">
        <v>1455</v>
      </c>
      <c r="B1394" s="1">
        <v>46124</v>
      </c>
      <c r="C1394" t="s">
        <v>40</v>
      </c>
      <c r="D1394" t="s">
        <v>20</v>
      </c>
      <c r="E1394" t="s">
        <v>30</v>
      </c>
      <c r="F1394" t="s">
        <v>1582</v>
      </c>
      <c r="G1394" t="s">
        <v>1583</v>
      </c>
      <c r="H1394">
        <v>71</v>
      </c>
      <c r="I1394">
        <v>89</v>
      </c>
      <c r="J1394">
        <v>21</v>
      </c>
      <c r="K1394">
        <v>139</v>
      </c>
      <c r="L1394">
        <v>83</v>
      </c>
      <c r="M1394" s="2">
        <v>985.61</v>
      </c>
      <c r="N1394">
        <v>3</v>
      </c>
      <c r="O1394">
        <v>0</v>
      </c>
      <c r="P1394" t="s">
        <v>33</v>
      </c>
      <c r="Q1394" t="s">
        <v>34</v>
      </c>
      <c r="R1394" t="s">
        <v>26</v>
      </c>
      <c r="S1394" s="2">
        <f t="shared" si="21"/>
        <v>136999.79</v>
      </c>
    </row>
    <row r="1395" spans="1:19" x14ac:dyDescent="0.3">
      <c r="A1395" t="s">
        <v>1456</v>
      </c>
      <c r="B1395" s="1">
        <v>46336</v>
      </c>
      <c r="C1395" t="s">
        <v>72</v>
      </c>
      <c r="D1395" t="s">
        <v>50</v>
      </c>
      <c r="E1395" t="s">
        <v>42</v>
      </c>
      <c r="F1395" t="s">
        <v>1582</v>
      </c>
      <c r="G1395" t="s">
        <v>1583</v>
      </c>
      <c r="H1395">
        <v>204</v>
      </c>
      <c r="I1395">
        <v>61</v>
      </c>
      <c r="J1395">
        <v>43</v>
      </c>
      <c r="K1395">
        <v>222</v>
      </c>
      <c r="L1395">
        <v>47</v>
      </c>
      <c r="M1395" s="2">
        <v>2368.25</v>
      </c>
      <c r="N1395">
        <v>10</v>
      </c>
      <c r="O1395">
        <v>0</v>
      </c>
      <c r="P1395" t="s">
        <v>33</v>
      </c>
      <c r="Q1395" t="s">
        <v>47</v>
      </c>
      <c r="R1395" t="s">
        <v>43</v>
      </c>
      <c r="S1395" s="2">
        <f t="shared" si="21"/>
        <v>525751.5</v>
      </c>
    </row>
    <row r="1396" spans="1:19" x14ac:dyDescent="0.3">
      <c r="A1396" t="s">
        <v>1457</v>
      </c>
      <c r="B1396" s="1">
        <v>46117</v>
      </c>
      <c r="C1396" t="s">
        <v>68</v>
      </c>
      <c r="D1396" t="s">
        <v>53</v>
      </c>
      <c r="E1396" t="s">
        <v>21</v>
      </c>
      <c r="F1396" t="s">
        <v>1582</v>
      </c>
      <c r="G1396" t="s">
        <v>1583</v>
      </c>
      <c r="H1396">
        <v>64</v>
      </c>
      <c r="I1396">
        <v>79</v>
      </c>
      <c r="J1396">
        <v>79</v>
      </c>
      <c r="K1396">
        <v>64</v>
      </c>
      <c r="L1396">
        <v>99</v>
      </c>
      <c r="M1396" s="2">
        <v>588.86</v>
      </c>
      <c r="N1396">
        <v>6</v>
      </c>
      <c r="O1396">
        <v>1</v>
      </c>
      <c r="P1396" t="s">
        <v>33</v>
      </c>
      <c r="Q1396" t="s">
        <v>25</v>
      </c>
      <c r="R1396" t="s">
        <v>26</v>
      </c>
      <c r="S1396" s="2">
        <f t="shared" si="21"/>
        <v>37687.040000000001</v>
      </c>
    </row>
    <row r="1397" spans="1:19" x14ac:dyDescent="0.3">
      <c r="A1397" t="s">
        <v>1458</v>
      </c>
      <c r="B1397" s="1">
        <v>46148</v>
      </c>
      <c r="C1397" t="s">
        <v>62</v>
      </c>
      <c r="D1397" t="s">
        <v>29</v>
      </c>
      <c r="E1397" t="s">
        <v>75</v>
      </c>
      <c r="F1397" t="s">
        <v>31</v>
      </c>
      <c r="G1397" t="s">
        <v>32</v>
      </c>
      <c r="H1397">
        <v>125</v>
      </c>
      <c r="I1397">
        <v>119</v>
      </c>
      <c r="J1397">
        <v>68</v>
      </c>
      <c r="K1397">
        <v>176</v>
      </c>
      <c r="L1397">
        <v>52</v>
      </c>
      <c r="M1397" s="2">
        <v>706.96</v>
      </c>
      <c r="N1397">
        <v>8</v>
      </c>
      <c r="O1397">
        <v>0</v>
      </c>
      <c r="P1397" t="s">
        <v>33</v>
      </c>
      <c r="Q1397" t="s">
        <v>47</v>
      </c>
      <c r="R1397" t="s">
        <v>81</v>
      </c>
      <c r="S1397" s="2">
        <f t="shared" si="21"/>
        <v>124424.96000000001</v>
      </c>
    </row>
    <row r="1398" spans="1:19" x14ac:dyDescent="0.3">
      <c r="A1398" t="s">
        <v>1459</v>
      </c>
      <c r="B1398" s="1">
        <v>46024</v>
      </c>
      <c r="C1398" t="s">
        <v>49</v>
      </c>
      <c r="D1398" t="s">
        <v>50</v>
      </c>
      <c r="E1398" t="s">
        <v>58</v>
      </c>
      <c r="F1398" t="s">
        <v>1582</v>
      </c>
      <c r="G1398" t="s">
        <v>1583</v>
      </c>
      <c r="H1398">
        <v>107</v>
      </c>
      <c r="I1398">
        <v>113</v>
      </c>
      <c r="J1398">
        <v>51</v>
      </c>
      <c r="K1398">
        <v>169</v>
      </c>
      <c r="L1398">
        <v>97</v>
      </c>
      <c r="M1398" s="2">
        <v>1424.54</v>
      </c>
      <c r="N1398">
        <v>2</v>
      </c>
      <c r="O1398">
        <v>0</v>
      </c>
      <c r="P1398" t="s">
        <v>33</v>
      </c>
      <c r="Q1398" t="s">
        <v>34</v>
      </c>
      <c r="R1398" t="s">
        <v>43</v>
      </c>
      <c r="S1398" s="2">
        <f t="shared" si="21"/>
        <v>240747.25999999998</v>
      </c>
    </row>
    <row r="1399" spans="1:19" x14ac:dyDescent="0.3">
      <c r="A1399" t="s">
        <v>1460</v>
      </c>
      <c r="B1399" s="1">
        <v>46086</v>
      </c>
      <c r="C1399" t="s">
        <v>87</v>
      </c>
      <c r="D1399" t="s">
        <v>53</v>
      </c>
      <c r="E1399" t="s">
        <v>58</v>
      </c>
      <c r="F1399" t="s">
        <v>37</v>
      </c>
      <c r="G1399" t="s">
        <v>38</v>
      </c>
      <c r="H1399">
        <v>196</v>
      </c>
      <c r="I1399">
        <v>121</v>
      </c>
      <c r="J1399">
        <v>59</v>
      </c>
      <c r="K1399">
        <v>258</v>
      </c>
      <c r="L1399">
        <v>53</v>
      </c>
      <c r="M1399" s="2">
        <v>484.73</v>
      </c>
      <c r="N1399">
        <v>2</v>
      </c>
      <c r="O1399">
        <v>0</v>
      </c>
      <c r="P1399" t="s">
        <v>33</v>
      </c>
      <c r="Q1399" t="s">
        <v>47</v>
      </c>
      <c r="R1399" t="s">
        <v>26</v>
      </c>
      <c r="S1399" s="2">
        <f t="shared" si="21"/>
        <v>125060.34000000001</v>
      </c>
    </row>
    <row r="1400" spans="1:19" x14ac:dyDescent="0.3">
      <c r="A1400" t="s">
        <v>1461</v>
      </c>
      <c r="B1400" s="1">
        <v>46231</v>
      </c>
      <c r="C1400" t="s">
        <v>52</v>
      </c>
      <c r="D1400" t="s">
        <v>53</v>
      </c>
      <c r="E1400" t="s">
        <v>75</v>
      </c>
      <c r="F1400" t="s">
        <v>37</v>
      </c>
      <c r="G1400" t="s">
        <v>38</v>
      </c>
      <c r="H1400">
        <v>97</v>
      </c>
      <c r="I1400">
        <v>49</v>
      </c>
      <c r="J1400">
        <v>65</v>
      </c>
      <c r="K1400">
        <v>81</v>
      </c>
      <c r="L1400">
        <v>78</v>
      </c>
      <c r="M1400" s="2">
        <v>647.05999999999995</v>
      </c>
      <c r="N1400">
        <v>8</v>
      </c>
      <c r="O1400">
        <v>0</v>
      </c>
      <c r="P1400" t="s">
        <v>24</v>
      </c>
      <c r="Q1400" t="s">
        <v>34</v>
      </c>
      <c r="R1400" t="s">
        <v>26</v>
      </c>
      <c r="S1400" s="2">
        <f t="shared" si="21"/>
        <v>52411.859999999993</v>
      </c>
    </row>
    <row r="1401" spans="1:19" x14ac:dyDescent="0.3">
      <c r="A1401" t="s">
        <v>1462</v>
      </c>
      <c r="B1401" s="1">
        <v>46062</v>
      </c>
      <c r="C1401" t="s">
        <v>28</v>
      </c>
      <c r="D1401" t="s">
        <v>29</v>
      </c>
      <c r="E1401" t="s">
        <v>42</v>
      </c>
      <c r="F1401" t="s">
        <v>22</v>
      </c>
      <c r="G1401" t="s">
        <v>23</v>
      </c>
      <c r="H1401">
        <v>195</v>
      </c>
      <c r="I1401">
        <v>97</v>
      </c>
      <c r="J1401">
        <v>79</v>
      </c>
      <c r="K1401">
        <v>213</v>
      </c>
      <c r="L1401">
        <v>54</v>
      </c>
      <c r="M1401" s="2">
        <v>1189.1099999999999</v>
      </c>
      <c r="N1401">
        <v>5</v>
      </c>
      <c r="O1401">
        <v>0</v>
      </c>
      <c r="P1401" t="s">
        <v>33</v>
      </c>
      <c r="Q1401" t="s">
        <v>47</v>
      </c>
      <c r="R1401" t="s">
        <v>26</v>
      </c>
      <c r="S1401" s="2">
        <f t="shared" si="21"/>
        <v>253280.43</v>
      </c>
    </row>
    <row r="1402" spans="1:19" x14ac:dyDescent="0.3">
      <c r="A1402" t="s">
        <v>1463</v>
      </c>
      <c r="B1402" s="1">
        <v>46195</v>
      </c>
      <c r="C1402" t="s">
        <v>89</v>
      </c>
      <c r="D1402" t="s">
        <v>20</v>
      </c>
      <c r="E1402" t="s">
        <v>75</v>
      </c>
      <c r="F1402" t="s">
        <v>37</v>
      </c>
      <c r="G1402" t="s">
        <v>38</v>
      </c>
      <c r="H1402">
        <v>73</v>
      </c>
      <c r="I1402">
        <v>86</v>
      </c>
      <c r="J1402">
        <v>83</v>
      </c>
      <c r="K1402">
        <v>76</v>
      </c>
      <c r="L1402">
        <v>71</v>
      </c>
      <c r="M1402" s="2">
        <v>1305.76</v>
      </c>
      <c r="N1402">
        <v>2</v>
      </c>
      <c r="O1402">
        <v>0</v>
      </c>
      <c r="P1402" t="s">
        <v>33</v>
      </c>
      <c r="Q1402" t="s">
        <v>34</v>
      </c>
      <c r="R1402" t="s">
        <v>26</v>
      </c>
      <c r="S1402" s="2">
        <f t="shared" si="21"/>
        <v>99237.759999999995</v>
      </c>
    </row>
    <row r="1403" spans="1:19" x14ac:dyDescent="0.3">
      <c r="A1403" t="s">
        <v>1464</v>
      </c>
      <c r="B1403" s="1">
        <v>46044</v>
      </c>
      <c r="C1403" t="s">
        <v>36</v>
      </c>
      <c r="D1403" t="s">
        <v>29</v>
      </c>
      <c r="E1403" t="s">
        <v>58</v>
      </c>
      <c r="F1403" t="s">
        <v>1582</v>
      </c>
      <c r="G1403" t="s">
        <v>1583</v>
      </c>
      <c r="H1403">
        <v>151</v>
      </c>
      <c r="I1403">
        <v>121</v>
      </c>
      <c r="J1403">
        <v>110</v>
      </c>
      <c r="K1403">
        <v>162</v>
      </c>
      <c r="L1403">
        <v>47</v>
      </c>
      <c r="M1403" s="2">
        <v>2409.2800000000002</v>
      </c>
      <c r="N1403">
        <v>4</v>
      </c>
      <c r="O1403">
        <v>0</v>
      </c>
      <c r="P1403" t="s">
        <v>33</v>
      </c>
      <c r="Q1403" t="s">
        <v>47</v>
      </c>
      <c r="R1403" t="s">
        <v>43</v>
      </c>
      <c r="S1403" s="2">
        <f t="shared" si="21"/>
        <v>390303.36000000004</v>
      </c>
    </row>
    <row r="1404" spans="1:19" x14ac:dyDescent="0.3">
      <c r="A1404" t="s">
        <v>1465</v>
      </c>
      <c r="B1404" s="1">
        <v>46373</v>
      </c>
      <c r="C1404" t="s">
        <v>62</v>
      </c>
      <c r="D1404" t="s">
        <v>29</v>
      </c>
      <c r="E1404" t="s">
        <v>30</v>
      </c>
      <c r="F1404" t="s">
        <v>22</v>
      </c>
      <c r="G1404" t="s">
        <v>23</v>
      </c>
      <c r="H1404">
        <v>132</v>
      </c>
      <c r="I1404">
        <v>69</v>
      </c>
      <c r="J1404">
        <v>65</v>
      </c>
      <c r="K1404">
        <v>136</v>
      </c>
      <c r="L1404">
        <v>83</v>
      </c>
      <c r="M1404" s="2">
        <v>642.37</v>
      </c>
      <c r="N1404">
        <v>8</v>
      </c>
      <c r="O1404">
        <v>0</v>
      </c>
      <c r="P1404" t="s">
        <v>33</v>
      </c>
      <c r="Q1404" t="s">
        <v>34</v>
      </c>
      <c r="R1404" t="s">
        <v>26</v>
      </c>
      <c r="S1404" s="2">
        <f t="shared" si="21"/>
        <v>87362.32</v>
      </c>
    </row>
    <row r="1405" spans="1:19" x14ac:dyDescent="0.3">
      <c r="A1405" t="s">
        <v>1466</v>
      </c>
      <c r="B1405" s="1">
        <v>46304</v>
      </c>
      <c r="C1405" t="s">
        <v>57</v>
      </c>
      <c r="D1405" t="s">
        <v>50</v>
      </c>
      <c r="E1405" t="s">
        <v>21</v>
      </c>
      <c r="F1405" t="s">
        <v>22</v>
      </c>
      <c r="G1405" t="s">
        <v>23</v>
      </c>
      <c r="H1405">
        <v>65</v>
      </c>
      <c r="I1405">
        <v>42</v>
      </c>
      <c r="J1405">
        <v>42</v>
      </c>
      <c r="K1405">
        <v>65</v>
      </c>
      <c r="L1405">
        <v>61</v>
      </c>
      <c r="M1405" s="2">
        <v>3022.6</v>
      </c>
      <c r="N1405">
        <v>4</v>
      </c>
      <c r="O1405">
        <v>0</v>
      </c>
      <c r="P1405" t="s">
        <v>24</v>
      </c>
      <c r="Q1405" t="s">
        <v>34</v>
      </c>
      <c r="R1405" t="s">
        <v>26</v>
      </c>
      <c r="S1405" s="2">
        <f t="shared" si="21"/>
        <v>196469</v>
      </c>
    </row>
    <row r="1406" spans="1:19" x14ac:dyDescent="0.3">
      <c r="A1406" t="s">
        <v>1467</v>
      </c>
      <c r="B1406" s="1">
        <v>46291</v>
      </c>
      <c r="C1406" t="s">
        <v>36</v>
      </c>
      <c r="D1406" t="s">
        <v>29</v>
      </c>
      <c r="E1406" t="s">
        <v>30</v>
      </c>
      <c r="F1406" t="s">
        <v>31</v>
      </c>
      <c r="G1406" t="s">
        <v>32</v>
      </c>
      <c r="H1406">
        <v>164</v>
      </c>
      <c r="I1406">
        <v>100</v>
      </c>
      <c r="J1406">
        <v>77</v>
      </c>
      <c r="K1406">
        <v>187</v>
      </c>
      <c r="L1406">
        <v>72</v>
      </c>
      <c r="M1406" s="2">
        <v>2526.2600000000002</v>
      </c>
      <c r="N1406">
        <v>7</v>
      </c>
      <c r="O1406">
        <v>0</v>
      </c>
      <c r="P1406" t="s">
        <v>33</v>
      </c>
      <c r="Q1406" t="s">
        <v>47</v>
      </c>
      <c r="R1406" t="s">
        <v>26</v>
      </c>
      <c r="S1406" s="2">
        <f t="shared" si="21"/>
        <v>472410.62000000005</v>
      </c>
    </row>
    <row r="1407" spans="1:19" x14ac:dyDescent="0.3">
      <c r="A1407" t="s">
        <v>1468</v>
      </c>
      <c r="B1407" s="1">
        <v>46144</v>
      </c>
      <c r="C1407" t="s">
        <v>45</v>
      </c>
      <c r="D1407" t="s">
        <v>46</v>
      </c>
      <c r="E1407" t="s">
        <v>75</v>
      </c>
      <c r="F1407" t="s">
        <v>31</v>
      </c>
      <c r="G1407" t="s">
        <v>32</v>
      </c>
      <c r="H1407">
        <v>101</v>
      </c>
      <c r="I1407">
        <v>58</v>
      </c>
      <c r="J1407">
        <v>85</v>
      </c>
      <c r="K1407">
        <v>74</v>
      </c>
      <c r="L1407">
        <v>45</v>
      </c>
      <c r="M1407" s="2">
        <v>847.01</v>
      </c>
      <c r="N1407">
        <v>5</v>
      </c>
      <c r="O1407">
        <v>0</v>
      </c>
      <c r="P1407" t="s">
        <v>33</v>
      </c>
      <c r="Q1407" t="s">
        <v>34</v>
      </c>
      <c r="R1407" t="s">
        <v>26</v>
      </c>
      <c r="S1407" s="2">
        <f t="shared" si="21"/>
        <v>62678.74</v>
      </c>
    </row>
    <row r="1408" spans="1:19" x14ac:dyDescent="0.3">
      <c r="A1408" t="s">
        <v>1469</v>
      </c>
      <c r="B1408" s="1">
        <v>46378</v>
      </c>
      <c r="C1408" t="s">
        <v>72</v>
      </c>
      <c r="D1408" t="s">
        <v>50</v>
      </c>
      <c r="E1408" t="s">
        <v>58</v>
      </c>
      <c r="F1408" t="s">
        <v>31</v>
      </c>
      <c r="G1408" t="s">
        <v>32</v>
      </c>
      <c r="H1408">
        <v>94</v>
      </c>
      <c r="I1408">
        <v>49</v>
      </c>
      <c r="J1408">
        <v>97</v>
      </c>
      <c r="K1408">
        <v>46</v>
      </c>
      <c r="L1408">
        <v>68</v>
      </c>
      <c r="M1408" s="2">
        <v>2250.38</v>
      </c>
      <c r="N1408">
        <v>2</v>
      </c>
      <c r="O1408">
        <v>6</v>
      </c>
      <c r="P1408" t="s">
        <v>24</v>
      </c>
      <c r="Q1408" t="s">
        <v>34</v>
      </c>
      <c r="R1408" t="s">
        <v>26</v>
      </c>
      <c r="S1408" s="2">
        <f t="shared" si="21"/>
        <v>103517.48000000001</v>
      </c>
    </row>
    <row r="1409" spans="1:19" x14ac:dyDescent="0.3">
      <c r="A1409" t="s">
        <v>1470</v>
      </c>
      <c r="B1409" s="1">
        <v>46254</v>
      </c>
      <c r="C1409" t="s">
        <v>19</v>
      </c>
      <c r="D1409" t="s">
        <v>20</v>
      </c>
      <c r="E1409" t="s">
        <v>30</v>
      </c>
      <c r="F1409" t="s">
        <v>37</v>
      </c>
      <c r="G1409" t="s">
        <v>38</v>
      </c>
      <c r="H1409">
        <v>184</v>
      </c>
      <c r="I1409">
        <v>94</v>
      </c>
      <c r="J1409">
        <v>105</v>
      </c>
      <c r="K1409">
        <v>173</v>
      </c>
      <c r="L1409">
        <v>49</v>
      </c>
      <c r="M1409" s="2">
        <v>1909.18</v>
      </c>
      <c r="N1409">
        <v>4</v>
      </c>
      <c r="O1409">
        <v>0</v>
      </c>
      <c r="P1409" t="s">
        <v>33</v>
      </c>
      <c r="Q1409" t="s">
        <v>47</v>
      </c>
      <c r="R1409" t="s">
        <v>81</v>
      </c>
      <c r="S1409" s="2">
        <f t="shared" si="21"/>
        <v>330288.14</v>
      </c>
    </row>
    <row r="1410" spans="1:19" x14ac:dyDescent="0.3">
      <c r="A1410" t="s">
        <v>1471</v>
      </c>
      <c r="B1410" s="1">
        <v>46330</v>
      </c>
      <c r="C1410" t="s">
        <v>80</v>
      </c>
      <c r="D1410" t="s">
        <v>46</v>
      </c>
      <c r="E1410" t="s">
        <v>58</v>
      </c>
      <c r="F1410" t="s">
        <v>1582</v>
      </c>
      <c r="G1410" t="s">
        <v>1583</v>
      </c>
      <c r="H1410">
        <v>199</v>
      </c>
      <c r="I1410">
        <v>93</v>
      </c>
      <c r="J1410">
        <v>63</v>
      </c>
      <c r="K1410">
        <v>229</v>
      </c>
      <c r="L1410">
        <v>100</v>
      </c>
      <c r="M1410" s="2">
        <v>1161.71</v>
      </c>
      <c r="N1410">
        <v>4</v>
      </c>
      <c r="O1410">
        <v>0</v>
      </c>
      <c r="P1410" t="s">
        <v>33</v>
      </c>
      <c r="Q1410" t="s">
        <v>47</v>
      </c>
      <c r="R1410" t="s">
        <v>26</v>
      </c>
      <c r="S1410" s="2">
        <f t="shared" ref="S1410:S1473" si="22">K1410*M1410</f>
        <v>266031.59000000003</v>
      </c>
    </row>
    <row r="1411" spans="1:19" x14ac:dyDescent="0.3">
      <c r="A1411" t="s">
        <v>1472</v>
      </c>
      <c r="B1411" s="1">
        <v>46075</v>
      </c>
      <c r="C1411" t="s">
        <v>57</v>
      </c>
      <c r="D1411" t="s">
        <v>50</v>
      </c>
      <c r="E1411" t="s">
        <v>30</v>
      </c>
      <c r="F1411" t="s">
        <v>37</v>
      </c>
      <c r="G1411" t="s">
        <v>38</v>
      </c>
      <c r="H1411">
        <v>77</v>
      </c>
      <c r="I1411">
        <v>88</v>
      </c>
      <c r="J1411">
        <v>61</v>
      </c>
      <c r="K1411">
        <v>104</v>
      </c>
      <c r="L1411">
        <v>82</v>
      </c>
      <c r="M1411" s="2">
        <v>2735.1</v>
      </c>
      <c r="N1411">
        <v>6</v>
      </c>
      <c r="O1411">
        <v>0</v>
      </c>
      <c r="P1411" t="s">
        <v>33</v>
      </c>
      <c r="Q1411" t="s">
        <v>34</v>
      </c>
      <c r="R1411" t="s">
        <v>26</v>
      </c>
      <c r="S1411" s="2">
        <f t="shared" si="22"/>
        <v>284450.39999999997</v>
      </c>
    </row>
    <row r="1412" spans="1:19" x14ac:dyDescent="0.3">
      <c r="A1412" t="s">
        <v>1473</v>
      </c>
      <c r="B1412" s="1">
        <v>46137</v>
      </c>
      <c r="C1412" t="s">
        <v>109</v>
      </c>
      <c r="D1412" t="s">
        <v>46</v>
      </c>
      <c r="E1412" t="s">
        <v>30</v>
      </c>
      <c r="F1412" t="s">
        <v>37</v>
      </c>
      <c r="G1412" t="s">
        <v>38</v>
      </c>
      <c r="H1412">
        <v>185</v>
      </c>
      <c r="I1412">
        <v>99</v>
      </c>
      <c r="J1412">
        <v>39</v>
      </c>
      <c r="K1412">
        <v>245</v>
      </c>
      <c r="L1412">
        <v>56</v>
      </c>
      <c r="M1412" s="2">
        <v>3449.95</v>
      </c>
      <c r="N1412">
        <v>2</v>
      </c>
      <c r="O1412">
        <v>0</v>
      </c>
      <c r="P1412" t="s">
        <v>33</v>
      </c>
      <c r="Q1412" t="s">
        <v>47</v>
      </c>
      <c r="R1412" t="s">
        <v>59</v>
      </c>
      <c r="S1412" s="2">
        <f t="shared" si="22"/>
        <v>845237.75</v>
      </c>
    </row>
    <row r="1413" spans="1:19" x14ac:dyDescent="0.3">
      <c r="A1413" t="s">
        <v>1474</v>
      </c>
      <c r="B1413" s="1">
        <v>46226</v>
      </c>
      <c r="C1413" t="s">
        <v>80</v>
      </c>
      <c r="D1413" t="s">
        <v>46</v>
      </c>
      <c r="E1413" t="s">
        <v>58</v>
      </c>
      <c r="F1413" t="s">
        <v>1582</v>
      </c>
      <c r="G1413" t="s">
        <v>1583</v>
      </c>
      <c r="H1413">
        <v>184</v>
      </c>
      <c r="I1413">
        <v>91</v>
      </c>
      <c r="J1413">
        <v>22</v>
      </c>
      <c r="K1413">
        <v>253</v>
      </c>
      <c r="L1413">
        <v>71</v>
      </c>
      <c r="M1413" s="2">
        <v>1126.8900000000001</v>
      </c>
      <c r="N1413">
        <v>2</v>
      </c>
      <c r="O1413">
        <v>0</v>
      </c>
      <c r="P1413" t="s">
        <v>33</v>
      </c>
      <c r="Q1413" t="s">
        <v>47</v>
      </c>
      <c r="R1413" t="s">
        <v>26</v>
      </c>
      <c r="S1413" s="2">
        <f t="shared" si="22"/>
        <v>285103.17000000004</v>
      </c>
    </row>
    <row r="1414" spans="1:19" x14ac:dyDescent="0.3">
      <c r="A1414" t="s">
        <v>1475</v>
      </c>
      <c r="B1414" s="1">
        <v>46289</v>
      </c>
      <c r="C1414" t="s">
        <v>40</v>
      </c>
      <c r="D1414" t="s">
        <v>20</v>
      </c>
      <c r="E1414" t="s">
        <v>58</v>
      </c>
      <c r="F1414" t="s">
        <v>31</v>
      </c>
      <c r="G1414" t="s">
        <v>32</v>
      </c>
      <c r="H1414">
        <v>204</v>
      </c>
      <c r="I1414">
        <v>76</v>
      </c>
      <c r="J1414">
        <v>37</v>
      </c>
      <c r="K1414">
        <v>243</v>
      </c>
      <c r="L1414">
        <v>92</v>
      </c>
      <c r="M1414" s="2">
        <v>848.86</v>
      </c>
      <c r="N1414">
        <v>6</v>
      </c>
      <c r="O1414">
        <v>0</v>
      </c>
      <c r="P1414" t="s">
        <v>33</v>
      </c>
      <c r="Q1414" t="s">
        <v>47</v>
      </c>
      <c r="R1414" t="s">
        <v>59</v>
      </c>
      <c r="S1414" s="2">
        <f t="shared" si="22"/>
        <v>206272.98</v>
      </c>
    </row>
    <row r="1415" spans="1:19" x14ac:dyDescent="0.3">
      <c r="A1415" t="s">
        <v>1476</v>
      </c>
      <c r="B1415" s="1">
        <v>46168</v>
      </c>
      <c r="C1415" t="s">
        <v>87</v>
      </c>
      <c r="D1415" t="s">
        <v>53</v>
      </c>
      <c r="E1415" t="s">
        <v>21</v>
      </c>
      <c r="F1415" t="s">
        <v>37</v>
      </c>
      <c r="G1415" t="s">
        <v>38</v>
      </c>
      <c r="H1415">
        <v>206</v>
      </c>
      <c r="I1415">
        <v>51</v>
      </c>
      <c r="J1415">
        <v>81</v>
      </c>
      <c r="K1415">
        <v>176</v>
      </c>
      <c r="L1415">
        <v>53</v>
      </c>
      <c r="M1415" s="2">
        <v>464.15</v>
      </c>
      <c r="N1415">
        <v>6</v>
      </c>
      <c r="O1415">
        <v>0</v>
      </c>
      <c r="P1415" t="s">
        <v>33</v>
      </c>
      <c r="Q1415" t="s">
        <v>47</v>
      </c>
      <c r="R1415" t="s">
        <v>43</v>
      </c>
      <c r="S1415" s="2">
        <f t="shared" si="22"/>
        <v>81690.399999999994</v>
      </c>
    </row>
    <row r="1416" spans="1:19" x14ac:dyDescent="0.3">
      <c r="A1416" t="s">
        <v>1477</v>
      </c>
      <c r="B1416" s="1">
        <v>46098</v>
      </c>
      <c r="C1416" t="s">
        <v>89</v>
      </c>
      <c r="D1416" t="s">
        <v>20</v>
      </c>
      <c r="E1416" t="s">
        <v>58</v>
      </c>
      <c r="F1416" t="s">
        <v>31</v>
      </c>
      <c r="G1416" t="s">
        <v>32</v>
      </c>
      <c r="H1416">
        <v>76</v>
      </c>
      <c r="I1416">
        <v>108</v>
      </c>
      <c r="J1416">
        <v>87</v>
      </c>
      <c r="K1416">
        <v>97</v>
      </c>
      <c r="L1416">
        <v>84</v>
      </c>
      <c r="M1416" s="2">
        <v>1184.2</v>
      </c>
      <c r="N1416">
        <v>2</v>
      </c>
      <c r="O1416">
        <v>0</v>
      </c>
      <c r="P1416" t="s">
        <v>33</v>
      </c>
      <c r="Q1416" t="s">
        <v>34</v>
      </c>
      <c r="R1416" t="s">
        <v>43</v>
      </c>
      <c r="S1416" s="2">
        <f t="shared" si="22"/>
        <v>114867.40000000001</v>
      </c>
    </row>
    <row r="1417" spans="1:19" x14ac:dyDescent="0.3">
      <c r="A1417" t="s">
        <v>1478</v>
      </c>
      <c r="B1417" s="1">
        <v>46345</v>
      </c>
      <c r="C1417" t="s">
        <v>49</v>
      </c>
      <c r="D1417" t="s">
        <v>50</v>
      </c>
      <c r="E1417" t="s">
        <v>30</v>
      </c>
      <c r="F1417" t="s">
        <v>22</v>
      </c>
      <c r="G1417" t="s">
        <v>23</v>
      </c>
      <c r="H1417">
        <v>151</v>
      </c>
      <c r="I1417">
        <v>104</v>
      </c>
      <c r="J1417">
        <v>49</v>
      </c>
      <c r="K1417">
        <v>206</v>
      </c>
      <c r="L1417">
        <v>50</v>
      </c>
      <c r="M1417" s="2">
        <v>1373.74</v>
      </c>
      <c r="N1417">
        <v>5</v>
      </c>
      <c r="O1417">
        <v>0</v>
      </c>
      <c r="P1417" t="s">
        <v>33</v>
      </c>
      <c r="Q1417" t="s">
        <v>47</v>
      </c>
      <c r="R1417" t="s">
        <v>26</v>
      </c>
      <c r="S1417" s="2">
        <f t="shared" si="22"/>
        <v>282990.44</v>
      </c>
    </row>
    <row r="1418" spans="1:19" x14ac:dyDescent="0.3">
      <c r="A1418" t="s">
        <v>1479</v>
      </c>
      <c r="B1418" s="1">
        <v>46084</v>
      </c>
      <c r="C1418" t="s">
        <v>98</v>
      </c>
      <c r="D1418" t="s">
        <v>20</v>
      </c>
      <c r="E1418" t="s">
        <v>75</v>
      </c>
      <c r="F1418" t="s">
        <v>1582</v>
      </c>
      <c r="G1418" t="s">
        <v>1583</v>
      </c>
      <c r="H1418">
        <v>149</v>
      </c>
      <c r="I1418">
        <v>32</v>
      </c>
      <c r="J1418">
        <v>101</v>
      </c>
      <c r="K1418">
        <v>80</v>
      </c>
      <c r="L1418">
        <v>98</v>
      </c>
      <c r="M1418" s="2">
        <v>1451.99</v>
      </c>
      <c r="N1418">
        <v>3</v>
      </c>
      <c r="O1418">
        <v>6</v>
      </c>
      <c r="P1418" t="s">
        <v>33</v>
      </c>
      <c r="Q1418" t="s">
        <v>34</v>
      </c>
      <c r="R1418" t="s">
        <v>26</v>
      </c>
      <c r="S1418" s="2">
        <f t="shared" si="22"/>
        <v>116159.2</v>
      </c>
    </row>
    <row r="1419" spans="1:19" x14ac:dyDescent="0.3">
      <c r="A1419" t="s">
        <v>1480</v>
      </c>
      <c r="B1419" s="1">
        <v>46043</v>
      </c>
      <c r="C1419" t="s">
        <v>80</v>
      </c>
      <c r="D1419" t="s">
        <v>46</v>
      </c>
      <c r="E1419" t="s">
        <v>21</v>
      </c>
      <c r="F1419" t="s">
        <v>1582</v>
      </c>
      <c r="G1419" t="s">
        <v>1583</v>
      </c>
      <c r="H1419">
        <v>178</v>
      </c>
      <c r="I1419">
        <v>39</v>
      </c>
      <c r="J1419">
        <v>45</v>
      </c>
      <c r="K1419">
        <v>172</v>
      </c>
      <c r="L1419">
        <v>82</v>
      </c>
      <c r="M1419" s="2">
        <v>1165.18</v>
      </c>
      <c r="N1419">
        <v>4</v>
      </c>
      <c r="O1419">
        <v>0</v>
      </c>
      <c r="P1419" t="s">
        <v>33</v>
      </c>
      <c r="Q1419" t="s">
        <v>34</v>
      </c>
      <c r="R1419" t="s">
        <v>26</v>
      </c>
      <c r="S1419" s="2">
        <f t="shared" si="22"/>
        <v>200410.96000000002</v>
      </c>
    </row>
    <row r="1420" spans="1:19" x14ac:dyDescent="0.3">
      <c r="A1420" t="s">
        <v>1481</v>
      </c>
      <c r="B1420" s="1">
        <v>46051</v>
      </c>
      <c r="C1420" t="s">
        <v>98</v>
      </c>
      <c r="D1420" t="s">
        <v>20</v>
      </c>
      <c r="E1420" t="s">
        <v>58</v>
      </c>
      <c r="F1420" t="s">
        <v>22</v>
      </c>
      <c r="G1420" t="s">
        <v>23</v>
      </c>
      <c r="H1420">
        <v>40</v>
      </c>
      <c r="I1420">
        <v>20</v>
      </c>
      <c r="J1420">
        <v>100</v>
      </c>
      <c r="K1420">
        <v>0</v>
      </c>
      <c r="L1420">
        <v>99</v>
      </c>
      <c r="M1420" s="2">
        <v>1403.89</v>
      </c>
      <c r="N1420">
        <v>6</v>
      </c>
      <c r="O1420">
        <v>7</v>
      </c>
      <c r="P1420" t="s">
        <v>33</v>
      </c>
      <c r="Q1420" t="s">
        <v>25</v>
      </c>
      <c r="R1420" t="s">
        <v>26</v>
      </c>
      <c r="S1420" s="2">
        <f t="shared" si="22"/>
        <v>0</v>
      </c>
    </row>
    <row r="1421" spans="1:19" x14ac:dyDescent="0.3">
      <c r="A1421" t="s">
        <v>1482</v>
      </c>
      <c r="B1421" s="1">
        <v>46056</v>
      </c>
      <c r="C1421" t="s">
        <v>40</v>
      </c>
      <c r="D1421" t="s">
        <v>20</v>
      </c>
      <c r="E1421" t="s">
        <v>30</v>
      </c>
      <c r="F1421" t="s">
        <v>22</v>
      </c>
      <c r="G1421" t="s">
        <v>23</v>
      </c>
      <c r="H1421">
        <v>59</v>
      </c>
      <c r="I1421">
        <v>30</v>
      </c>
      <c r="J1421">
        <v>100</v>
      </c>
      <c r="K1421">
        <v>0</v>
      </c>
      <c r="L1421">
        <v>57</v>
      </c>
      <c r="M1421" s="2">
        <v>956.58</v>
      </c>
      <c r="N1421">
        <v>4</v>
      </c>
      <c r="O1421">
        <v>1</v>
      </c>
      <c r="P1421" t="s">
        <v>33</v>
      </c>
      <c r="Q1421" t="s">
        <v>25</v>
      </c>
      <c r="R1421" t="s">
        <v>26</v>
      </c>
      <c r="S1421" s="2">
        <f t="shared" si="22"/>
        <v>0</v>
      </c>
    </row>
    <row r="1422" spans="1:19" x14ac:dyDescent="0.3">
      <c r="A1422" t="s">
        <v>1483</v>
      </c>
      <c r="B1422" s="1">
        <v>46113</v>
      </c>
      <c r="C1422" t="s">
        <v>57</v>
      </c>
      <c r="D1422" t="s">
        <v>50</v>
      </c>
      <c r="E1422" t="s">
        <v>30</v>
      </c>
      <c r="F1422" t="s">
        <v>37</v>
      </c>
      <c r="G1422" t="s">
        <v>38</v>
      </c>
      <c r="H1422">
        <v>60</v>
      </c>
      <c r="I1422">
        <v>57</v>
      </c>
      <c r="J1422">
        <v>95</v>
      </c>
      <c r="K1422">
        <v>22</v>
      </c>
      <c r="L1422">
        <v>83</v>
      </c>
      <c r="M1422" s="2">
        <v>2560.9699999999998</v>
      </c>
      <c r="N1422">
        <v>7</v>
      </c>
      <c r="O1422">
        <v>8</v>
      </c>
      <c r="P1422" t="s">
        <v>33</v>
      </c>
      <c r="Q1422" t="s">
        <v>25</v>
      </c>
      <c r="R1422" t="s">
        <v>26</v>
      </c>
      <c r="S1422" s="2">
        <f t="shared" si="22"/>
        <v>56341.34</v>
      </c>
    </row>
    <row r="1423" spans="1:19" x14ac:dyDescent="0.3">
      <c r="A1423" t="s">
        <v>1484</v>
      </c>
      <c r="B1423" s="1">
        <v>46031</v>
      </c>
      <c r="C1423" t="s">
        <v>87</v>
      </c>
      <c r="D1423" t="s">
        <v>53</v>
      </c>
      <c r="E1423" t="s">
        <v>30</v>
      </c>
      <c r="F1423" t="s">
        <v>1582</v>
      </c>
      <c r="G1423" t="s">
        <v>1583</v>
      </c>
      <c r="H1423">
        <v>204</v>
      </c>
      <c r="I1423">
        <v>72</v>
      </c>
      <c r="J1423">
        <v>95</v>
      </c>
      <c r="K1423">
        <v>181</v>
      </c>
      <c r="L1423">
        <v>54</v>
      </c>
      <c r="M1423" s="2">
        <v>409.53</v>
      </c>
      <c r="N1423">
        <v>4</v>
      </c>
      <c r="O1423">
        <v>0</v>
      </c>
      <c r="P1423" t="s">
        <v>33</v>
      </c>
      <c r="Q1423" t="s">
        <v>47</v>
      </c>
      <c r="R1423" t="s">
        <v>26</v>
      </c>
      <c r="S1423" s="2">
        <f t="shared" si="22"/>
        <v>74124.929999999993</v>
      </c>
    </row>
    <row r="1424" spans="1:19" x14ac:dyDescent="0.3">
      <c r="A1424" t="s">
        <v>1485</v>
      </c>
      <c r="B1424" s="1">
        <v>46233</v>
      </c>
      <c r="C1424" t="s">
        <v>55</v>
      </c>
      <c r="D1424" t="s">
        <v>50</v>
      </c>
      <c r="E1424" t="s">
        <v>58</v>
      </c>
      <c r="F1424" t="s">
        <v>37</v>
      </c>
      <c r="G1424" t="s">
        <v>38</v>
      </c>
      <c r="H1424">
        <v>140</v>
      </c>
      <c r="I1424">
        <v>40</v>
      </c>
      <c r="J1424">
        <v>22</v>
      </c>
      <c r="K1424">
        <v>158</v>
      </c>
      <c r="L1424">
        <v>90</v>
      </c>
      <c r="M1424" s="2">
        <v>1088.5899999999999</v>
      </c>
      <c r="N1424">
        <v>3</v>
      </c>
      <c r="O1424">
        <v>0</v>
      </c>
      <c r="P1424" t="s">
        <v>33</v>
      </c>
      <c r="Q1424" t="s">
        <v>34</v>
      </c>
      <c r="R1424" t="s">
        <v>59</v>
      </c>
      <c r="S1424" s="2">
        <f t="shared" si="22"/>
        <v>171997.22</v>
      </c>
    </row>
    <row r="1425" spans="1:19" x14ac:dyDescent="0.3">
      <c r="A1425" t="s">
        <v>1486</v>
      </c>
      <c r="B1425" s="1">
        <v>46105</v>
      </c>
      <c r="C1425" t="s">
        <v>28</v>
      </c>
      <c r="D1425" t="s">
        <v>29</v>
      </c>
      <c r="E1425" t="s">
        <v>21</v>
      </c>
      <c r="F1425" t="s">
        <v>31</v>
      </c>
      <c r="G1425" t="s">
        <v>32</v>
      </c>
      <c r="H1425">
        <v>182</v>
      </c>
      <c r="I1425">
        <v>122</v>
      </c>
      <c r="J1425">
        <v>26</v>
      </c>
      <c r="K1425">
        <v>278</v>
      </c>
      <c r="L1425">
        <v>92</v>
      </c>
      <c r="M1425" s="2">
        <v>1396.84</v>
      </c>
      <c r="N1425">
        <v>11</v>
      </c>
      <c r="O1425">
        <v>0</v>
      </c>
      <c r="P1425" t="s">
        <v>33</v>
      </c>
      <c r="Q1425" t="s">
        <v>47</v>
      </c>
      <c r="R1425" t="s">
        <v>81</v>
      </c>
      <c r="S1425" s="2">
        <f t="shared" si="22"/>
        <v>388321.51999999996</v>
      </c>
    </row>
    <row r="1426" spans="1:19" x14ac:dyDescent="0.3">
      <c r="A1426" t="s">
        <v>1487</v>
      </c>
      <c r="B1426" s="1">
        <v>46068</v>
      </c>
      <c r="C1426" t="s">
        <v>77</v>
      </c>
      <c r="D1426" t="s">
        <v>53</v>
      </c>
      <c r="E1426" t="s">
        <v>21</v>
      </c>
      <c r="F1426" t="s">
        <v>31</v>
      </c>
      <c r="G1426" t="s">
        <v>32</v>
      </c>
      <c r="H1426">
        <v>141</v>
      </c>
      <c r="I1426">
        <v>87</v>
      </c>
      <c r="J1426">
        <v>101</v>
      </c>
      <c r="K1426">
        <v>127</v>
      </c>
      <c r="L1426">
        <v>79</v>
      </c>
      <c r="M1426" s="2">
        <v>476.28</v>
      </c>
      <c r="N1426">
        <v>3</v>
      </c>
      <c r="O1426">
        <v>0</v>
      </c>
      <c r="P1426" t="s">
        <v>33</v>
      </c>
      <c r="Q1426" t="s">
        <v>34</v>
      </c>
      <c r="R1426" t="s">
        <v>26</v>
      </c>
      <c r="S1426" s="2">
        <f t="shared" si="22"/>
        <v>60487.56</v>
      </c>
    </row>
    <row r="1427" spans="1:19" x14ac:dyDescent="0.3">
      <c r="A1427" t="s">
        <v>1488</v>
      </c>
      <c r="B1427" s="1">
        <v>46107</v>
      </c>
      <c r="C1427" t="s">
        <v>83</v>
      </c>
      <c r="D1427" t="s">
        <v>29</v>
      </c>
      <c r="E1427" t="s">
        <v>21</v>
      </c>
      <c r="F1427" t="s">
        <v>22</v>
      </c>
      <c r="G1427" t="s">
        <v>23</v>
      </c>
      <c r="H1427">
        <v>91</v>
      </c>
      <c r="I1427">
        <v>64</v>
      </c>
      <c r="J1427">
        <v>66</v>
      </c>
      <c r="K1427">
        <v>89</v>
      </c>
      <c r="L1427">
        <v>51</v>
      </c>
      <c r="M1427" s="2">
        <v>1589.5</v>
      </c>
      <c r="N1427">
        <v>2</v>
      </c>
      <c r="O1427">
        <v>0</v>
      </c>
      <c r="P1427" t="s">
        <v>33</v>
      </c>
      <c r="Q1427" t="s">
        <v>34</v>
      </c>
      <c r="R1427" t="s">
        <v>26</v>
      </c>
      <c r="S1427" s="2">
        <f t="shared" si="22"/>
        <v>141465.5</v>
      </c>
    </row>
    <row r="1428" spans="1:19" x14ac:dyDescent="0.3">
      <c r="A1428" t="s">
        <v>1489</v>
      </c>
      <c r="B1428" s="1">
        <v>46185</v>
      </c>
      <c r="C1428" t="s">
        <v>19</v>
      </c>
      <c r="D1428" t="s">
        <v>20</v>
      </c>
      <c r="E1428" t="s">
        <v>30</v>
      </c>
      <c r="F1428" t="s">
        <v>22</v>
      </c>
      <c r="G1428" t="s">
        <v>23</v>
      </c>
      <c r="H1428">
        <v>40</v>
      </c>
      <c r="I1428">
        <v>68</v>
      </c>
      <c r="J1428">
        <v>29</v>
      </c>
      <c r="K1428">
        <v>79</v>
      </c>
      <c r="L1428">
        <v>59</v>
      </c>
      <c r="M1428" s="2">
        <v>1890.12</v>
      </c>
      <c r="N1428">
        <v>3</v>
      </c>
      <c r="O1428">
        <v>0</v>
      </c>
      <c r="P1428" t="s">
        <v>33</v>
      </c>
      <c r="Q1428" t="s">
        <v>34</v>
      </c>
      <c r="R1428" t="s">
        <v>81</v>
      </c>
      <c r="S1428" s="2">
        <f t="shared" si="22"/>
        <v>149319.47999999998</v>
      </c>
    </row>
    <row r="1429" spans="1:19" x14ac:dyDescent="0.3">
      <c r="A1429" t="s">
        <v>1490</v>
      </c>
      <c r="B1429" s="1">
        <v>46109</v>
      </c>
      <c r="C1429" t="s">
        <v>36</v>
      </c>
      <c r="D1429" t="s">
        <v>29</v>
      </c>
      <c r="E1429" t="s">
        <v>58</v>
      </c>
      <c r="F1429" t="s">
        <v>37</v>
      </c>
      <c r="G1429" t="s">
        <v>38</v>
      </c>
      <c r="H1429">
        <v>136</v>
      </c>
      <c r="I1429">
        <v>35</v>
      </c>
      <c r="J1429">
        <v>39</v>
      </c>
      <c r="K1429">
        <v>132</v>
      </c>
      <c r="L1429">
        <v>58</v>
      </c>
      <c r="M1429" s="2">
        <v>2374.79</v>
      </c>
      <c r="N1429">
        <v>11</v>
      </c>
      <c r="O1429">
        <v>0</v>
      </c>
      <c r="P1429" t="s">
        <v>24</v>
      </c>
      <c r="Q1429" t="s">
        <v>47</v>
      </c>
      <c r="R1429" t="s">
        <v>26</v>
      </c>
      <c r="S1429" s="2">
        <f t="shared" si="22"/>
        <v>313472.27999999997</v>
      </c>
    </row>
    <row r="1430" spans="1:19" x14ac:dyDescent="0.3">
      <c r="A1430" t="s">
        <v>1491</v>
      </c>
      <c r="B1430" s="1">
        <v>46050</v>
      </c>
      <c r="C1430" t="s">
        <v>52</v>
      </c>
      <c r="D1430" t="s">
        <v>53</v>
      </c>
      <c r="E1430" t="s">
        <v>75</v>
      </c>
      <c r="F1430" t="s">
        <v>22</v>
      </c>
      <c r="G1430" t="s">
        <v>23</v>
      </c>
      <c r="H1430">
        <v>141</v>
      </c>
      <c r="I1430">
        <v>57</v>
      </c>
      <c r="J1430">
        <v>80</v>
      </c>
      <c r="K1430">
        <v>118</v>
      </c>
      <c r="L1430">
        <v>47</v>
      </c>
      <c r="M1430" s="2">
        <v>711.5</v>
      </c>
      <c r="N1430">
        <v>2</v>
      </c>
      <c r="O1430">
        <v>0</v>
      </c>
      <c r="P1430" t="s">
        <v>33</v>
      </c>
      <c r="Q1430" t="s">
        <v>47</v>
      </c>
      <c r="R1430" t="s">
        <v>26</v>
      </c>
      <c r="S1430" s="2">
        <f t="shared" si="22"/>
        <v>83957</v>
      </c>
    </row>
    <row r="1431" spans="1:19" x14ac:dyDescent="0.3">
      <c r="A1431" t="s">
        <v>1492</v>
      </c>
      <c r="B1431" s="1">
        <v>46110</v>
      </c>
      <c r="C1431" t="s">
        <v>36</v>
      </c>
      <c r="D1431" t="s">
        <v>29</v>
      </c>
      <c r="E1431" t="s">
        <v>42</v>
      </c>
      <c r="F1431" t="s">
        <v>37</v>
      </c>
      <c r="G1431" t="s">
        <v>38</v>
      </c>
      <c r="H1431">
        <v>66</v>
      </c>
      <c r="I1431">
        <v>70</v>
      </c>
      <c r="J1431">
        <v>75</v>
      </c>
      <c r="K1431">
        <v>61</v>
      </c>
      <c r="L1431">
        <v>79</v>
      </c>
      <c r="M1431" s="2">
        <v>2211.98</v>
      </c>
      <c r="N1431">
        <v>3</v>
      </c>
      <c r="O1431">
        <v>8</v>
      </c>
      <c r="P1431" t="s">
        <v>33</v>
      </c>
      <c r="Q1431" t="s">
        <v>34</v>
      </c>
      <c r="R1431" t="s">
        <v>26</v>
      </c>
      <c r="S1431" s="2">
        <f t="shared" si="22"/>
        <v>134930.78</v>
      </c>
    </row>
    <row r="1432" spans="1:19" x14ac:dyDescent="0.3">
      <c r="A1432" t="s">
        <v>1493</v>
      </c>
      <c r="B1432" s="1">
        <v>46156</v>
      </c>
      <c r="C1432" t="s">
        <v>62</v>
      </c>
      <c r="D1432" t="s">
        <v>29</v>
      </c>
      <c r="E1432" t="s">
        <v>75</v>
      </c>
      <c r="F1432" t="s">
        <v>22</v>
      </c>
      <c r="G1432" t="s">
        <v>23</v>
      </c>
      <c r="H1432">
        <v>203</v>
      </c>
      <c r="I1432">
        <v>31</v>
      </c>
      <c r="J1432">
        <v>77</v>
      </c>
      <c r="K1432">
        <v>157</v>
      </c>
      <c r="L1432">
        <v>97</v>
      </c>
      <c r="M1432" s="2">
        <v>712.46</v>
      </c>
      <c r="N1432">
        <v>8</v>
      </c>
      <c r="O1432">
        <v>0</v>
      </c>
      <c r="P1432" t="s">
        <v>33</v>
      </c>
      <c r="Q1432" t="s">
        <v>34</v>
      </c>
      <c r="R1432" t="s">
        <v>26</v>
      </c>
      <c r="S1432" s="2">
        <f t="shared" si="22"/>
        <v>111856.22</v>
      </c>
    </row>
    <row r="1433" spans="1:19" x14ac:dyDescent="0.3">
      <c r="A1433" t="s">
        <v>1494</v>
      </c>
      <c r="B1433" s="1">
        <v>46141</v>
      </c>
      <c r="C1433" t="s">
        <v>68</v>
      </c>
      <c r="D1433" t="s">
        <v>53</v>
      </c>
      <c r="E1433" t="s">
        <v>42</v>
      </c>
      <c r="F1433" t="s">
        <v>37</v>
      </c>
      <c r="G1433" t="s">
        <v>38</v>
      </c>
      <c r="H1433">
        <v>165</v>
      </c>
      <c r="I1433">
        <v>120</v>
      </c>
      <c r="J1433">
        <v>108</v>
      </c>
      <c r="K1433">
        <v>177</v>
      </c>
      <c r="L1433">
        <v>88</v>
      </c>
      <c r="M1433" s="2">
        <v>612.78</v>
      </c>
      <c r="N1433">
        <v>3</v>
      </c>
      <c r="O1433">
        <v>0</v>
      </c>
      <c r="P1433" t="s">
        <v>33</v>
      </c>
      <c r="Q1433" t="s">
        <v>34</v>
      </c>
      <c r="R1433" t="s">
        <v>43</v>
      </c>
      <c r="S1433" s="2">
        <f t="shared" si="22"/>
        <v>108462.06</v>
      </c>
    </row>
    <row r="1434" spans="1:19" x14ac:dyDescent="0.3">
      <c r="A1434" t="s">
        <v>1495</v>
      </c>
      <c r="B1434" s="1">
        <v>46034</v>
      </c>
      <c r="C1434" t="s">
        <v>87</v>
      </c>
      <c r="D1434" t="s">
        <v>53</v>
      </c>
      <c r="E1434" t="s">
        <v>75</v>
      </c>
      <c r="F1434" t="s">
        <v>22</v>
      </c>
      <c r="G1434" t="s">
        <v>23</v>
      </c>
      <c r="H1434">
        <v>179</v>
      </c>
      <c r="I1434">
        <v>107</v>
      </c>
      <c r="J1434">
        <v>55</v>
      </c>
      <c r="K1434">
        <v>231</v>
      </c>
      <c r="L1434">
        <v>71</v>
      </c>
      <c r="M1434" s="2">
        <v>407.62</v>
      </c>
      <c r="N1434">
        <v>3</v>
      </c>
      <c r="O1434">
        <v>0</v>
      </c>
      <c r="P1434" t="s">
        <v>33</v>
      </c>
      <c r="Q1434" t="s">
        <v>47</v>
      </c>
      <c r="R1434" t="s">
        <v>26</v>
      </c>
      <c r="S1434" s="2">
        <f t="shared" si="22"/>
        <v>94160.22</v>
      </c>
    </row>
    <row r="1435" spans="1:19" x14ac:dyDescent="0.3">
      <c r="A1435" t="s">
        <v>1496</v>
      </c>
      <c r="B1435" s="1">
        <v>46098</v>
      </c>
      <c r="C1435" t="s">
        <v>55</v>
      </c>
      <c r="D1435" t="s">
        <v>50</v>
      </c>
      <c r="E1435" t="s">
        <v>58</v>
      </c>
      <c r="F1435" t="s">
        <v>31</v>
      </c>
      <c r="G1435" t="s">
        <v>32</v>
      </c>
      <c r="H1435">
        <v>156</v>
      </c>
      <c r="I1435">
        <v>81</v>
      </c>
      <c r="J1435">
        <v>104</v>
      </c>
      <c r="K1435">
        <v>133</v>
      </c>
      <c r="L1435">
        <v>48</v>
      </c>
      <c r="M1435" s="2">
        <v>980.53</v>
      </c>
      <c r="N1435">
        <v>5</v>
      </c>
      <c r="O1435">
        <v>0</v>
      </c>
      <c r="P1435" t="s">
        <v>33</v>
      </c>
      <c r="Q1435" t="s">
        <v>47</v>
      </c>
      <c r="R1435" t="s">
        <v>26</v>
      </c>
      <c r="S1435" s="2">
        <f t="shared" si="22"/>
        <v>130410.48999999999</v>
      </c>
    </row>
    <row r="1436" spans="1:19" x14ac:dyDescent="0.3">
      <c r="A1436" t="s">
        <v>1497</v>
      </c>
      <c r="B1436" s="1">
        <v>46368</v>
      </c>
      <c r="C1436" t="s">
        <v>89</v>
      </c>
      <c r="D1436" t="s">
        <v>20</v>
      </c>
      <c r="E1436" t="s">
        <v>75</v>
      </c>
      <c r="F1436" t="s">
        <v>1582</v>
      </c>
      <c r="G1436" t="s">
        <v>1583</v>
      </c>
      <c r="H1436">
        <v>178</v>
      </c>
      <c r="I1436">
        <v>38</v>
      </c>
      <c r="J1436">
        <v>25</v>
      </c>
      <c r="K1436">
        <v>191</v>
      </c>
      <c r="L1436">
        <v>87</v>
      </c>
      <c r="M1436" s="2">
        <v>1281.76</v>
      </c>
      <c r="N1436">
        <v>3</v>
      </c>
      <c r="O1436">
        <v>0</v>
      </c>
      <c r="P1436" t="s">
        <v>33</v>
      </c>
      <c r="Q1436" t="s">
        <v>34</v>
      </c>
      <c r="R1436" t="s">
        <v>26</v>
      </c>
      <c r="S1436" s="2">
        <f t="shared" si="22"/>
        <v>244816.16</v>
      </c>
    </row>
    <row r="1437" spans="1:19" x14ac:dyDescent="0.3">
      <c r="A1437" t="s">
        <v>1498</v>
      </c>
      <c r="B1437" s="1">
        <v>46099</v>
      </c>
      <c r="C1437" t="s">
        <v>62</v>
      </c>
      <c r="D1437" t="s">
        <v>29</v>
      </c>
      <c r="E1437" t="s">
        <v>58</v>
      </c>
      <c r="F1437" t="s">
        <v>37</v>
      </c>
      <c r="G1437" t="s">
        <v>38</v>
      </c>
      <c r="H1437">
        <v>43</v>
      </c>
      <c r="I1437">
        <v>119</v>
      </c>
      <c r="J1437">
        <v>57</v>
      </c>
      <c r="K1437">
        <v>105</v>
      </c>
      <c r="L1437">
        <v>79</v>
      </c>
      <c r="M1437" s="2">
        <v>768.44</v>
      </c>
      <c r="N1437">
        <v>2</v>
      </c>
      <c r="O1437">
        <v>0</v>
      </c>
      <c r="P1437" t="s">
        <v>33</v>
      </c>
      <c r="Q1437" t="s">
        <v>34</v>
      </c>
      <c r="R1437" t="s">
        <v>26</v>
      </c>
      <c r="S1437" s="2">
        <f t="shared" si="22"/>
        <v>80686.200000000012</v>
      </c>
    </row>
    <row r="1438" spans="1:19" x14ac:dyDescent="0.3">
      <c r="A1438" t="s">
        <v>1499</v>
      </c>
      <c r="B1438" s="1">
        <v>46372</v>
      </c>
      <c r="C1438" t="s">
        <v>98</v>
      </c>
      <c r="D1438" t="s">
        <v>20</v>
      </c>
      <c r="E1438" t="s">
        <v>75</v>
      </c>
      <c r="F1438" t="s">
        <v>22</v>
      </c>
      <c r="G1438" t="s">
        <v>23</v>
      </c>
      <c r="H1438">
        <v>123</v>
      </c>
      <c r="I1438">
        <v>92</v>
      </c>
      <c r="J1438">
        <v>65</v>
      </c>
      <c r="K1438">
        <v>150</v>
      </c>
      <c r="L1438">
        <v>74</v>
      </c>
      <c r="M1438" s="2">
        <v>1471.39</v>
      </c>
      <c r="N1438">
        <v>2</v>
      </c>
      <c r="O1438">
        <v>0</v>
      </c>
      <c r="P1438" t="s">
        <v>33</v>
      </c>
      <c r="Q1438" t="s">
        <v>34</v>
      </c>
      <c r="R1438" t="s">
        <v>26</v>
      </c>
      <c r="S1438" s="2">
        <f t="shared" si="22"/>
        <v>220708.50000000003</v>
      </c>
    </row>
    <row r="1439" spans="1:19" x14ac:dyDescent="0.3">
      <c r="A1439" t="s">
        <v>1500</v>
      </c>
      <c r="B1439" s="1">
        <v>46332</v>
      </c>
      <c r="C1439" t="s">
        <v>80</v>
      </c>
      <c r="D1439" t="s">
        <v>46</v>
      </c>
      <c r="E1439" t="s">
        <v>58</v>
      </c>
      <c r="F1439" t="s">
        <v>37</v>
      </c>
      <c r="G1439" t="s">
        <v>38</v>
      </c>
      <c r="H1439">
        <v>179</v>
      </c>
      <c r="I1439">
        <v>22</v>
      </c>
      <c r="J1439">
        <v>35</v>
      </c>
      <c r="K1439">
        <v>166</v>
      </c>
      <c r="L1439">
        <v>53</v>
      </c>
      <c r="M1439" s="2">
        <v>1186.28</v>
      </c>
      <c r="N1439">
        <v>2</v>
      </c>
      <c r="O1439">
        <v>0</v>
      </c>
      <c r="P1439" t="s">
        <v>33</v>
      </c>
      <c r="Q1439" t="s">
        <v>47</v>
      </c>
      <c r="R1439" t="s">
        <v>59</v>
      </c>
      <c r="S1439" s="2">
        <f t="shared" si="22"/>
        <v>196922.47999999998</v>
      </c>
    </row>
    <row r="1440" spans="1:19" x14ac:dyDescent="0.3">
      <c r="A1440" t="s">
        <v>1501</v>
      </c>
      <c r="B1440" s="1">
        <v>46285</v>
      </c>
      <c r="C1440" t="s">
        <v>36</v>
      </c>
      <c r="D1440" t="s">
        <v>29</v>
      </c>
      <c r="E1440" t="s">
        <v>30</v>
      </c>
      <c r="F1440" t="s">
        <v>37</v>
      </c>
      <c r="G1440" t="s">
        <v>38</v>
      </c>
      <c r="H1440">
        <v>169</v>
      </c>
      <c r="I1440">
        <v>57</v>
      </c>
      <c r="J1440">
        <v>97</v>
      </c>
      <c r="K1440">
        <v>129</v>
      </c>
      <c r="L1440">
        <v>53</v>
      </c>
      <c r="M1440" s="2">
        <v>2303.11</v>
      </c>
      <c r="N1440">
        <v>6</v>
      </c>
      <c r="O1440">
        <v>0</v>
      </c>
      <c r="P1440" t="s">
        <v>33</v>
      </c>
      <c r="Q1440" t="s">
        <v>47</v>
      </c>
      <c r="R1440" t="s">
        <v>59</v>
      </c>
      <c r="S1440" s="2">
        <f t="shared" si="22"/>
        <v>297101.19</v>
      </c>
    </row>
    <row r="1441" spans="1:19" x14ac:dyDescent="0.3">
      <c r="A1441" t="s">
        <v>1502</v>
      </c>
      <c r="B1441" s="1">
        <v>46358</v>
      </c>
      <c r="C1441" t="s">
        <v>77</v>
      </c>
      <c r="D1441" t="s">
        <v>53</v>
      </c>
      <c r="E1441" t="s">
        <v>75</v>
      </c>
      <c r="F1441" t="s">
        <v>37</v>
      </c>
      <c r="G1441" t="s">
        <v>38</v>
      </c>
      <c r="H1441">
        <v>128</v>
      </c>
      <c r="I1441">
        <v>77</v>
      </c>
      <c r="J1441">
        <v>95</v>
      </c>
      <c r="K1441">
        <v>110</v>
      </c>
      <c r="L1441">
        <v>79</v>
      </c>
      <c r="M1441" s="2">
        <v>500.75</v>
      </c>
      <c r="N1441">
        <v>8</v>
      </c>
      <c r="O1441">
        <v>0</v>
      </c>
      <c r="P1441" t="s">
        <v>33</v>
      </c>
      <c r="Q1441" t="s">
        <v>34</v>
      </c>
      <c r="R1441" t="s">
        <v>26</v>
      </c>
      <c r="S1441" s="2">
        <f t="shared" si="22"/>
        <v>55082.5</v>
      </c>
    </row>
    <row r="1442" spans="1:19" x14ac:dyDescent="0.3">
      <c r="A1442" t="s">
        <v>1503</v>
      </c>
      <c r="B1442" s="1">
        <v>46118</v>
      </c>
      <c r="C1442" t="s">
        <v>57</v>
      </c>
      <c r="D1442" t="s">
        <v>50</v>
      </c>
      <c r="E1442" t="s">
        <v>21</v>
      </c>
      <c r="F1442" t="s">
        <v>22</v>
      </c>
      <c r="G1442" t="s">
        <v>23</v>
      </c>
      <c r="H1442">
        <v>100</v>
      </c>
      <c r="I1442">
        <v>89</v>
      </c>
      <c r="J1442">
        <v>66</v>
      </c>
      <c r="K1442">
        <v>123</v>
      </c>
      <c r="L1442">
        <v>73</v>
      </c>
      <c r="M1442" s="2">
        <v>2738.68</v>
      </c>
      <c r="N1442">
        <v>3</v>
      </c>
      <c r="O1442">
        <v>0</v>
      </c>
      <c r="P1442" t="s">
        <v>33</v>
      </c>
      <c r="Q1442" t="s">
        <v>34</v>
      </c>
      <c r="R1442" t="s">
        <v>81</v>
      </c>
      <c r="S1442" s="2">
        <f t="shared" si="22"/>
        <v>336857.63999999996</v>
      </c>
    </row>
    <row r="1443" spans="1:19" x14ac:dyDescent="0.3">
      <c r="A1443" t="s">
        <v>1504</v>
      </c>
      <c r="B1443" s="1">
        <v>46219</v>
      </c>
      <c r="C1443" t="s">
        <v>40</v>
      </c>
      <c r="D1443" t="s">
        <v>20</v>
      </c>
      <c r="E1443" t="s">
        <v>21</v>
      </c>
      <c r="F1443" t="s">
        <v>1582</v>
      </c>
      <c r="G1443" t="s">
        <v>1583</v>
      </c>
      <c r="H1443">
        <v>59</v>
      </c>
      <c r="I1443">
        <v>98</v>
      </c>
      <c r="J1443">
        <v>23</v>
      </c>
      <c r="K1443">
        <v>134</v>
      </c>
      <c r="L1443">
        <v>91</v>
      </c>
      <c r="M1443" s="2">
        <v>923.01</v>
      </c>
      <c r="N1443">
        <v>5</v>
      </c>
      <c r="O1443">
        <v>0</v>
      </c>
      <c r="P1443" t="s">
        <v>33</v>
      </c>
      <c r="Q1443" t="s">
        <v>34</v>
      </c>
      <c r="R1443" t="s">
        <v>26</v>
      </c>
      <c r="S1443" s="2">
        <f t="shared" si="22"/>
        <v>123683.34</v>
      </c>
    </row>
    <row r="1444" spans="1:19" x14ac:dyDescent="0.3">
      <c r="A1444" t="s">
        <v>1505</v>
      </c>
      <c r="B1444" s="1">
        <v>46123</v>
      </c>
      <c r="C1444" t="s">
        <v>87</v>
      </c>
      <c r="D1444" t="s">
        <v>53</v>
      </c>
      <c r="E1444" t="s">
        <v>30</v>
      </c>
      <c r="F1444" t="s">
        <v>1582</v>
      </c>
      <c r="G1444" t="s">
        <v>1583</v>
      </c>
      <c r="H1444">
        <v>169</v>
      </c>
      <c r="I1444">
        <v>83</v>
      </c>
      <c r="J1444">
        <v>106</v>
      </c>
      <c r="K1444">
        <v>146</v>
      </c>
      <c r="L1444">
        <v>99</v>
      </c>
      <c r="M1444" s="2">
        <v>418.85</v>
      </c>
      <c r="N1444">
        <v>8</v>
      </c>
      <c r="O1444">
        <v>0</v>
      </c>
      <c r="P1444" t="s">
        <v>24</v>
      </c>
      <c r="Q1444" t="s">
        <v>34</v>
      </c>
      <c r="R1444" t="s">
        <v>26</v>
      </c>
      <c r="S1444" s="2">
        <f t="shared" si="22"/>
        <v>61152.100000000006</v>
      </c>
    </row>
    <row r="1445" spans="1:19" x14ac:dyDescent="0.3">
      <c r="A1445" t="s">
        <v>1506</v>
      </c>
      <c r="B1445" s="1">
        <v>46049</v>
      </c>
      <c r="C1445" t="s">
        <v>57</v>
      </c>
      <c r="D1445" t="s">
        <v>50</v>
      </c>
      <c r="E1445" t="s">
        <v>30</v>
      </c>
      <c r="F1445" t="s">
        <v>37</v>
      </c>
      <c r="G1445" t="s">
        <v>38</v>
      </c>
      <c r="H1445">
        <v>214</v>
      </c>
      <c r="I1445">
        <v>87</v>
      </c>
      <c r="J1445">
        <v>15</v>
      </c>
      <c r="K1445">
        <v>286</v>
      </c>
      <c r="L1445">
        <v>70</v>
      </c>
      <c r="M1445" s="2">
        <v>2880.39</v>
      </c>
      <c r="N1445">
        <v>7</v>
      </c>
      <c r="O1445">
        <v>0</v>
      </c>
      <c r="P1445" t="s">
        <v>33</v>
      </c>
      <c r="Q1445" t="s">
        <v>47</v>
      </c>
      <c r="R1445" t="s">
        <v>26</v>
      </c>
      <c r="S1445" s="2">
        <f t="shared" si="22"/>
        <v>823791.53999999992</v>
      </c>
    </row>
    <row r="1446" spans="1:19" x14ac:dyDescent="0.3">
      <c r="A1446" t="s">
        <v>1507</v>
      </c>
      <c r="B1446" s="1">
        <v>46108</v>
      </c>
      <c r="C1446" t="s">
        <v>109</v>
      </c>
      <c r="D1446" t="s">
        <v>46</v>
      </c>
      <c r="E1446" t="s">
        <v>21</v>
      </c>
      <c r="F1446" t="s">
        <v>1582</v>
      </c>
      <c r="G1446" t="s">
        <v>1583</v>
      </c>
      <c r="H1446">
        <v>137</v>
      </c>
      <c r="I1446">
        <v>113</v>
      </c>
      <c r="J1446">
        <v>94</v>
      </c>
      <c r="K1446">
        <v>156</v>
      </c>
      <c r="L1446">
        <v>66</v>
      </c>
      <c r="M1446" s="2">
        <v>3318.79</v>
      </c>
      <c r="N1446">
        <v>6</v>
      </c>
      <c r="O1446">
        <v>0</v>
      </c>
      <c r="P1446" t="s">
        <v>24</v>
      </c>
      <c r="Q1446" t="s">
        <v>47</v>
      </c>
      <c r="R1446" t="s">
        <v>26</v>
      </c>
      <c r="S1446" s="2">
        <f t="shared" si="22"/>
        <v>517731.24</v>
      </c>
    </row>
    <row r="1447" spans="1:19" x14ac:dyDescent="0.3">
      <c r="A1447" t="s">
        <v>1508</v>
      </c>
      <c r="B1447" s="1">
        <v>46336</v>
      </c>
      <c r="C1447" t="s">
        <v>80</v>
      </c>
      <c r="D1447" t="s">
        <v>46</v>
      </c>
      <c r="E1447" t="s">
        <v>21</v>
      </c>
      <c r="F1447" t="s">
        <v>37</v>
      </c>
      <c r="G1447" t="s">
        <v>38</v>
      </c>
      <c r="H1447">
        <v>108</v>
      </c>
      <c r="I1447">
        <v>52</v>
      </c>
      <c r="J1447">
        <v>38</v>
      </c>
      <c r="K1447">
        <v>122</v>
      </c>
      <c r="L1447">
        <v>78</v>
      </c>
      <c r="M1447" s="2">
        <v>1076.5</v>
      </c>
      <c r="N1447">
        <v>6</v>
      </c>
      <c r="O1447">
        <v>0</v>
      </c>
      <c r="P1447" t="s">
        <v>33</v>
      </c>
      <c r="Q1447" t="s">
        <v>34</v>
      </c>
      <c r="R1447" t="s">
        <v>26</v>
      </c>
      <c r="S1447" s="2">
        <f t="shared" si="22"/>
        <v>131333</v>
      </c>
    </row>
    <row r="1448" spans="1:19" x14ac:dyDescent="0.3">
      <c r="A1448" t="s">
        <v>1509</v>
      </c>
      <c r="B1448" s="1">
        <v>46122</v>
      </c>
      <c r="C1448" t="s">
        <v>80</v>
      </c>
      <c r="D1448" t="s">
        <v>46</v>
      </c>
      <c r="E1448" t="s">
        <v>42</v>
      </c>
      <c r="F1448" t="s">
        <v>22</v>
      </c>
      <c r="G1448" t="s">
        <v>23</v>
      </c>
      <c r="H1448">
        <v>214</v>
      </c>
      <c r="I1448">
        <v>88</v>
      </c>
      <c r="J1448">
        <v>109</v>
      </c>
      <c r="K1448">
        <v>193</v>
      </c>
      <c r="L1448">
        <v>81</v>
      </c>
      <c r="M1448" s="2">
        <v>1176.28</v>
      </c>
      <c r="N1448">
        <v>8</v>
      </c>
      <c r="O1448">
        <v>0</v>
      </c>
      <c r="P1448" t="s">
        <v>33</v>
      </c>
      <c r="Q1448" t="s">
        <v>47</v>
      </c>
      <c r="R1448" t="s">
        <v>43</v>
      </c>
      <c r="S1448" s="2">
        <f t="shared" si="22"/>
        <v>227022.04</v>
      </c>
    </row>
    <row r="1449" spans="1:19" x14ac:dyDescent="0.3">
      <c r="A1449" t="s">
        <v>1510</v>
      </c>
      <c r="B1449" s="1">
        <v>46270</v>
      </c>
      <c r="C1449" t="s">
        <v>77</v>
      </c>
      <c r="D1449" t="s">
        <v>53</v>
      </c>
      <c r="E1449" t="s">
        <v>21</v>
      </c>
      <c r="F1449" t="s">
        <v>1582</v>
      </c>
      <c r="G1449" t="s">
        <v>1583</v>
      </c>
      <c r="H1449">
        <v>82</v>
      </c>
      <c r="I1449">
        <v>53</v>
      </c>
      <c r="J1449">
        <v>25</v>
      </c>
      <c r="K1449">
        <v>110</v>
      </c>
      <c r="L1449">
        <v>88</v>
      </c>
      <c r="M1449" s="2">
        <v>518.04999999999995</v>
      </c>
      <c r="N1449">
        <v>4</v>
      </c>
      <c r="O1449">
        <v>0</v>
      </c>
      <c r="P1449" t="s">
        <v>33</v>
      </c>
      <c r="Q1449" t="s">
        <v>34</v>
      </c>
      <c r="R1449" t="s">
        <v>59</v>
      </c>
      <c r="S1449" s="2">
        <f t="shared" si="22"/>
        <v>56985.499999999993</v>
      </c>
    </row>
    <row r="1450" spans="1:19" x14ac:dyDescent="0.3">
      <c r="A1450" t="s">
        <v>1511</v>
      </c>
      <c r="B1450" s="1">
        <v>46374</v>
      </c>
      <c r="C1450" t="s">
        <v>83</v>
      </c>
      <c r="D1450" t="s">
        <v>29</v>
      </c>
      <c r="E1450" t="s">
        <v>58</v>
      </c>
      <c r="F1450" t="s">
        <v>22</v>
      </c>
      <c r="G1450" t="s">
        <v>23</v>
      </c>
      <c r="H1450">
        <v>187</v>
      </c>
      <c r="I1450">
        <v>41</v>
      </c>
      <c r="J1450">
        <v>66</v>
      </c>
      <c r="K1450">
        <v>162</v>
      </c>
      <c r="L1450">
        <v>82</v>
      </c>
      <c r="M1450" s="2">
        <v>1510.93</v>
      </c>
      <c r="N1450">
        <v>7</v>
      </c>
      <c r="O1450">
        <v>0</v>
      </c>
      <c r="P1450" t="s">
        <v>33</v>
      </c>
      <c r="Q1450" t="s">
        <v>34</v>
      </c>
      <c r="R1450" t="s">
        <v>26</v>
      </c>
      <c r="S1450" s="2">
        <f t="shared" si="22"/>
        <v>244770.66</v>
      </c>
    </row>
    <row r="1451" spans="1:19" x14ac:dyDescent="0.3">
      <c r="A1451" t="s">
        <v>1512</v>
      </c>
      <c r="B1451" s="1">
        <v>46220</v>
      </c>
      <c r="C1451" t="s">
        <v>109</v>
      </c>
      <c r="D1451" t="s">
        <v>46</v>
      </c>
      <c r="E1451" t="s">
        <v>42</v>
      </c>
      <c r="F1451" t="s">
        <v>31</v>
      </c>
      <c r="G1451" t="s">
        <v>32</v>
      </c>
      <c r="H1451">
        <v>183</v>
      </c>
      <c r="I1451">
        <v>110</v>
      </c>
      <c r="J1451">
        <v>65</v>
      </c>
      <c r="K1451">
        <v>228</v>
      </c>
      <c r="L1451">
        <v>68</v>
      </c>
      <c r="M1451" s="2">
        <v>3114.11</v>
      </c>
      <c r="N1451">
        <v>7</v>
      </c>
      <c r="O1451">
        <v>0</v>
      </c>
      <c r="P1451" t="s">
        <v>33</v>
      </c>
      <c r="Q1451" t="s">
        <v>47</v>
      </c>
      <c r="R1451" t="s">
        <v>26</v>
      </c>
      <c r="S1451" s="2">
        <f t="shared" si="22"/>
        <v>710017.08000000007</v>
      </c>
    </row>
    <row r="1452" spans="1:19" x14ac:dyDescent="0.3">
      <c r="A1452" t="s">
        <v>1513</v>
      </c>
      <c r="B1452" s="1">
        <v>46342</v>
      </c>
      <c r="C1452" t="s">
        <v>52</v>
      </c>
      <c r="D1452" t="s">
        <v>53</v>
      </c>
      <c r="E1452" t="s">
        <v>75</v>
      </c>
      <c r="F1452" t="s">
        <v>37</v>
      </c>
      <c r="G1452" t="s">
        <v>38</v>
      </c>
      <c r="H1452">
        <v>164</v>
      </c>
      <c r="I1452">
        <v>118</v>
      </c>
      <c r="J1452">
        <v>102</v>
      </c>
      <c r="K1452">
        <v>180</v>
      </c>
      <c r="L1452">
        <v>63</v>
      </c>
      <c r="M1452" s="2">
        <v>692.23</v>
      </c>
      <c r="N1452">
        <v>3</v>
      </c>
      <c r="O1452">
        <v>0</v>
      </c>
      <c r="P1452" t="s">
        <v>24</v>
      </c>
      <c r="Q1452" t="s">
        <v>47</v>
      </c>
      <c r="R1452" t="s">
        <v>26</v>
      </c>
      <c r="S1452" s="2">
        <f t="shared" si="22"/>
        <v>124601.40000000001</v>
      </c>
    </row>
    <row r="1453" spans="1:19" x14ac:dyDescent="0.3">
      <c r="A1453" t="s">
        <v>1514</v>
      </c>
      <c r="B1453" s="1">
        <v>46209</v>
      </c>
      <c r="C1453" t="s">
        <v>19</v>
      </c>
      <c r="D1453" t="s">
        <v>20</v>
      </c>
      <c r="E1453" t="s">
        <v>75</v>
      </c>
      <c r="F1453" t="s">
        <v>1582</v>
      </c>
      <c r="G1453" t="s">
        <v>1583</v>
      </c>
      <c r="H1453">
        <v>193</v>
      </c>
      <c r="I1453">
        <v>81</v>
      </c>
      <c r="J1453">
        <v>36</v>
      </c>
      <c r="K1453">
        <v>238</v>
      </c>
      <c r="L1453">
        <v>48</v>
      </c>
      <c r="M1453" s="2">
        <v>1691.69</v>
      </c>
      <c r="N1453">
        <v>12</v>
      </c>
      <c r="O1453">
        <v>1</v>
      </c>
      <c r="P1453" t="s">
        <v>24</v>
      </c>
      <c r="Q1453" t="s">
        <v>47</v>
      </c>
      <c r="R1453" t="s">
        <v>26</v>
      </c>
      <c r="S1453" s="2">
        <f t="shared" si="22"/>
        <v>402622.22000000003</v>
      </c>
    </row>
    <row r="1454" spans="1:19" x14ac:dyDescent="0.3">
      <c r="A1454" t="s">
        <v>1515</v>
      </c>
      <c r="B1454" s="1">
        <v>46111</v>
      </c>
      <c r="C1454" t="s">
        <v>36</v>
      </c>
      <c r="D1454" t="s">
        <v>29</v>
      </c>
      <c r="E1454" t="s">
        <v>21</v>
      </c>
      <c r="F1454" t="s">
        <v>31</v>
      </c>
      <c r="G1454" t="s">
        <v>32</v>
      </c>
      <c r="H1454">
        <v>123</v>
      </c>
      <c r="I1454">
        <v>57</v>
      </c>
      <c r="J1454">
        <v>73</v>
      </c>
      <c r="K1454">
        <v>107</v>
      </c>
      <c r="L1454">
        <v>51</v>
      </c>
      <c r="M1454" s="2">
        <v>2316.85</v>
      </c>
      <c r="N1454">
        <v>4</v>
      </c>
      <c r="O1454">
        <v>0</v>
      </c>
      <c r="P1454" t="s">
        <v>33</v>
      </c>
      <c r="Q1454" t="s">
        <v>34</v>
      </c>
      <c r="R1454" t="s">
        <v>26</v>
      </c>
      <c r="S1454" s="2">
        <f t="shared" si="22"/>
        <v>247902.94999999998</v>
      </c>
    </row>
    <row r="1455" spans="1:19" x14ac:dyDescent="0.3">
      <c r="A1455" t="s">
        <v>1516</v>
      </c>
      <c r="B1455" s="1">
        <v>46340</v>
      </c>
      <c r="C1455" t="s">
        <v>80</v>
      </c>
      <c r="D1455" t="s">
        <v>46</v>
      </c>
      <c r="E1455" t="s">
        <v>58</v>
      </c>
      <c r="F1455" t="s">
        <v>1582</v>
      </c>
      <c r="G1455" t="s">
        <v>1583</v>
      </c>
      <c r="H1455">
        <v>174</v>
      </c>
      <c r="I1455">
        <v>32</v>
      </c>
      <c r="J1455">
        <v>45</v>
      </c>
      <c r="K1455">
        <v>161</v>
      </c>
      <c r="L1455">
        <v>96</v>
      </c>
      <c r="M1455" s="2">
        <v>1083.78</v>
      </c>
      <c r="N1455">
        <v>8</v>
      </c>
      <c r="O1455">
        <v>0</v>
      </c>
      <c r="P1455" t="s">
        <v>33</v>
      </c>
      <c r="Q1455" t="s">
        <v>34</v>
      </c>
      <c r="R1455" t="s">
        <v>26</v>
      </c>
      <c r="S1455" s="2">
        <f t="shared" si="22"/>
        <v>174488.58</v>
      </c>
    </row>
    <row r="1456" spans="1:19" x14ac:dyDescent="0.3">
      <c r="A1456" t="s">
        <v>1517</v>
      </c>
      <c r="B1456" s="1">
        <v>46291</v>
      </c>
      <c r="C1456" t="s">
        <v>80</v>
      </c>
      <c r="D1456" t="s">
        <v>46</v>
      </c>
      <c r="E1456" t="s">
        <v>75</v>
      </c>
      <c r="F1456" t="s">
        <v>37</v>
      </c>
      <c r="G1456" t="s">
        <v>38</v>
      </c>
      <c r="H1456">
        <v>62</v>
      </c>
      <c r="I1456">
        <v>24</v>
      </c>
      <c r="J1456">
        <v>60</v>
      </c>
      <c r="K1456">
        <v>26</v>
      </c>
      <c r="L1456">
        <v>56</v>
      </c>
      <c r="M1456" s="2">
        <v>1090.46</v>
      </c>
      <c r="N1456">
        <v>6</v>
      </c>
      <c r="O1456">
        <v>2</v>
      </c>
      <c r="P1456" t="s">
        <v>33</v>
      </c>
      <c r="Q1456" t="s">
        <v>25</v>
      </c>
      <c r="R1456" t="s">
        <v>59</v>
      </c>
      <c r="S1456" s="2">
        <f t="shared" si="22"/>
        <v>28351.96</v>
      </c>
    </row>
    <row r="1457" spans="1:19" x14ac:dyDescent="0.3">
      <c r="A1457" t="s">
        <v>1518</v>
      </c>
      <c r="B1457" s="1">
        <v>46201</v>
      </c>
      <c r="C1457" t="s">
        <v>57</v>
      </c>
      <c r="D1457" t="s">
        <v>50</v>
      </c>
      <c r="E1457" t="s">
        <v>30</v>
      </c>
      <c r="F1457" t="s">
        <v>22</v>
      </c>
      <c r="G1457" t="s">
        <v>23</v>
      </c>
      <c r="H1457">
        <v>162</v>
      </c>
      <c r="I1457">
        <v>20</v>
      </c>
      <c r="J1457">
        <v>49</v>
      </c>
      <c r="K1457">
        <v>133</v>
      </c>
      <c r="L1457">
        <v>68</v>
      </c>
      <c r="M1457" s="2">
        <v>2592.67</v>
      </c>
      <c r="N1457">
        <v>8</v>
      </c>
      <c r="O1457">
        <v>0</v>
      </c>
      <c r="P1457" t="s">
        <v>33</v>
      </c>
      <c r="Q1457" t="s">
        <v>34</v>
      </c>
      <c r="R1457" t="s">
        <v>26</v>
      </c>
      <c r="S1457" s="2">
        <f t="shared" si="22"/>
        <v>344825.11</v>
      </c>
    </row>
    <row r="1458" spans="1:19" x14ac:dyDescent="0.3">
      <c r="A1458" t="s">
        <v>1519</v>
      </c>
      <c r="B1458" s="1">
        <v>46249</v>
      </c>
      <c r="C1458" t="s">
        <v>72</v>
      </c>
      <c r="D1458" t="s">
        <v>50</v>
      </c>
      <c r="E1458" t="s">
        <v>42</v>
      </c>
      <c r="F1458" t="s">
        <v>37</v>
      </c>
      <c r="G1458" t="s">
        <v>38</v>
      </c>
      <c r="H1458">
        <v>182</v>
      </c>
      <c r="I1458">
        <v>123</v>
      </c>
      <c r="J1458">
        <v>69</v>
      </c>
      <c r="K1458">
        <v>236</v>
      </c>
      <c r="L1458">
        <v>71</v>
      </c>
      <c r="M1458" s="2">
        <v>2005.68</v>
      </c>
      <c r="N1458">
        <v>8</v>
      </c>
      <c r="O1458">
        <v>0</v>
      </c>
      <c r="P1458" t="s">
        <v>24</v>
      </c>
      <c r="Q1458" t="s">
        <v>47</v>
      </c>
      <c r="R1458" t="s">
        <v>26</v>
      </c>
      <c r="S1458" s="2">
        <f t="shared" si="22"/>
        <v>473340.48000000004</v>
      </c>
    </row>
    <row r="1459" spans="1:19" x14ac:dyDescent="0.3">
      <c r="A1459" t="s">
        <v>1520</v>
      </c>
      <c r="B1459" s="1">
        <v>46346</v>
      </c>
      <c r="C1459" t="s">
        <v>45</v>
      </c>
      <c r="D1459" t="s">
        <v>46</v>
      </c>
      <c r="E1459" t="s">
        <v>42</v>
      </c>
      <c r="F1459" t="s">
        <v>22</v>
      </c>
      <c r="G1459" t="s">
        <v>23</v>
      </c>
      <c r="H1459">
        <v>166</v>
      </c>
      <c r="I1459">
        <v>110</v>
      </c>
      <c r="J1459">
        <v>58</v>
      </c>
      <c r="K1459">
        <v>218</v>
      </c>
      <c r="L1459">
        <v>77</v>
      </c>
      <c r="M1459" s="2">
        <v>773.97</v>
      </c>
      <c r="N1459">
        <v>7</v>
      </c>
      <c r="O1459">
        <v>0</v>
      </c>
      <c r="P1459" t="s">
        <v>33</v>
      </c>
      <c r="Q1459" t="s">
        <v>47</v>
      </c>
      <c r="R1459" t="s">
        <v>26</v>
      </c>
      <c r="S1459" s="2">
        <f t="shared" si="22"/>
        <v>168725.46</v>
      </c>
    </row>
    <row r="1460" spans="1:19" x14ac:dyDescent="0.3">
      <c r="A1460" t="s">
        <v>1521</v>
      </c>
      <c r="B1460" s="1">
        <v>46377</v>
      </c>
      <c r="C1460" t="s">
        <v>146</v>
      </c>
      <c r="D1460" t="s">
        <v>46</v>
      </c>
      <c r="E1460" t="s">
        <v>21</v>
      </c>
      <c r="F1460" t="s">
        <v>37</v>
      </c>
      <c r="G1460" t="s">
        <v>38</v>
      </c>
      <c r="H1460">
        <v>197</v>
      </c>
      <c r="I1460">
        <v>56</v>
      </c>
      <c r="J1460">
        <v>37</v>
      </c>
      <c r="K1460">
        <v>216</v>
      </c>
      <c r="L1460">
        <v>77</v>
      </c>
      <c r="M1460" s="2">
        <v>1388.67</v>
      </c>
      <c r="N1460">
        <v>6</v>
      </c>
      <c r="O1460">
        <v>0</v>
      </c>
      <c r="P1460" t="s">
        <v>33</v>
      </c>
      <c r="Q1460" t="s">
        <v>47</v>
      </c>
      <c r="R1460" t="s">
        <v>81</v>
      </c>
      <c r="S1460" s="2">
        <f t="shared" si="22"/>
        <v>299952.72000000003</v>
      </c>
    </row>
    <row r="1461" spans="1:19" x14ac:dyDescent="0.3">
      <c r="A1461" t="s">
        <v>1522</v>
      </c>
      <c r="B1461" s="1">
        <v>46144</v>
      </c>
      <c r="C1461" t="s">
        <v>49</v>
      </c>
      <c r="D1461" t="s">
        <v>50</v>
      </c>
      <c r="E1461" t="s">
        <v>75</v>
      </c>
      <c r="F1461" t="s">
        <v>22</v>
      </c>
      <c r="G1461" t="s">
        <v>23</v>
      </c>
      <c r="H1461">
        <v>41</v>
      </c>
      <c r="I1461">
        <v>25</v>
      </c>
      <c r="J1461">
        <v>20</v>
      </c>
      <c r="K1461">
        <v>46</v>
      </c>
      <c r="L1461">
        <v>54</v>
      </c>
      <c r="M1461" s="2">
        <v>1378.42</v>
      </c>
      <c r="N1461">
        <v>4</v>
      </c>
      <c r="O1461">
        <v>4</v>
      </c>
      <c r="P1461" t="s">
        <v>33</v>
      </c>
      <c r="Q1461" t="s">
        <v>34</v>
      </c>
      <c r="R1461" t="s">
        <v>26</v>
      </c>
      <c r="S1461" s="2">
        <f t="shared" si="22"/>
        <v>63407.320000000007</v>
      </c>
    </row>
    <row r="1462" spans="1:19" x14ac:dyDescent="0.3">
      <c r="A1462" t="s">
        <v>1523</v>
      </c>
      <c r="B1462" s="1">
        <v>46240</v>
      </c>
      <c r="C1462" t="s">
        <v>62</v>
      </c>
      <c r="D1462" t="s">
        <v>29</v>
      </c>
      <c r="E1462" t="s">
        <v>21</v>
      </c>
      <c r="F1462" t="s">
        <v>37</v>
      </c>
      <c r="G1462" t="s">
        <v>38</v>
      </c>
      <c r="H1462">
        <v>57</v>
      </c>
      <c r="I1462">
        <v>46</v>
      </c>
      <c r="J1462">
        <v>15</v>
      </c>
      <c r="K1462">
        <v>88</v>
      </c>
      <c r="L1462">
        <v>65</v>
      </c>
      <c r="M1462" s="2">
        <v>677.59</v>
      </c>
      <c r="N1462">
        <v>2</v>
      </c>
      <c r="O1462">
        <v>0</v>
      </c>
      <c r="P1462" t="s">
        <v>33</v>
      </c>
      <c r="Q1462" t="s">
        <v>34</v>
      </c>
      <c r="R1462" t="s">
        <v>26</v>
      </c>
      <c r="S1462" s="2">
        <f t="shared" si="22"/>
        <v>59627.920000000006</v>
      </c>
    </row>
    <row r="1463" spans="1:19" x14ac:dyDescent="0.3">
      <c r="A1463" t="s">
        <v>1524</v>
      </c>
      <c r="B1463" s="1">
        <v>46274</v>
      </c>
      <c r="C1463" t="s">
        <v>87</v>
      </c>
      <c r="D1463" t="s">
        <v>53</v>
      </c>
      <c r="E1463" t="s">
        <v>75</v>
      </c>
      <c r="F1463" t="s">
        <v>37</v>
      </c>
      <c r="G1463" t="s">
        <v>38</v>
      </c>
      <c r="H1463">
        <v>117</v>
      </c>
      <c r="I1463">
        <v>56</v>
      </c>
      <c r="J1463">
        <v>81</v>
      </c>
      <c r="K1463">
        <v>92</v>
      </c>
      <c r="L1463">
        <v>78</v>
      </c>
      <c r="M1463" s="2">
        <v>460.52</v>
      </c>
      <c r="N1463">
        <v>5</v>
      </c>
      <c r="O1463">
        <v>0</v>
      </c>
      <c r="P1463" t="s">
        <v>33</v>
      </c>
      <c r="Q1463" t="s">
        <v>34</v>
      </c>
      <c r="R1463" t="s">
        <v>81</v>
      </c>
      <c r="S1463" s="2">
        <f t="shared" si="22"/>
        <v>42367.839999999997</v>
      </c>
    </row>
    <row r="1464" spans="1:19" x14ac:dyDescent="0.3">
      <c r="A1464" t="s">
        <v>1525</v>
      </c>
      <c r="B1464" s="1">
        <v>46089</v>
      </c>
      <c r="C1464" t="s">
        <v>36</v>
      </c>
      <c r="D1464" t="s">
        <v>29</v>
      </c>
      <c r="E1464" t="s">
        <v>42</v>
      </c>
      <c r="F1464" t="s">
        <v>1582</v>
      </c>
      <c r="G1464" t="s">
        <v>1583</v>
      </c>
      <c r="H1464">
        <v>154</v>
      </c>
      <c r="I1464">
        <v>101</v>
      </c>
      <c r="J1464">
        <v>71</v>
      </c>
      <c r="K1464">
        <v>184</v>
      </c>
      <c r="L1464">
        <v>91</v>
      </c>
      <c r="M1464" s="2">
        <v>2615.7399999999998</v>
      </c>
      <c r="N1464">
        <v>7</v>
      </c>
      <c r="O1464">
        <v>0</v>
      </c>
      <c r="P1464" t="s">
        <v>33</v>
      </c>
      <c r="Q1464" t="s">
        <v>34</v>
      </c>
      <c r="R1464" t="s">
        <v>59</v>
      </c>
      <c r="S1464" s="2">
        <f t="shared" si="22"/>
        <v>481296.16</v>
      </c>
    </row>
    <row r="1465" spans="1:19" x14ac:dyDescent="0.3">
      <c r="A1465" t="s">
        <v>1526</v>
      </c>
      <c r="B1465" s="1">
        <v>46120</v>
      </c>
      <c r="C1465" t="s">
        <v>80</v>
      </c>
      <c r="D1465" t="s">
        <v>46</v>
      </c>
      <c r="E1465" t="s">
        <v>21</v>
      </c>
      <c r="F1465" t="s">
        <v>37</v>
      </c>
      <c r="G1465" t="s">
        <v>38</v>
      </c>
      <c r="H1465">
        <v>93</v>
      </c>
      <c r="I1465">
        <v>28</v>
      </c>
      <c r="J1465">
        <v>82</v>
      </c>
      <c r="K1465">
        <v>39</v>
      </c>
      <c r="L1465">
        <v>58</v>
      </c>
      <c r="M1465" s="2">
        <v>1167.18</v>
      </c>
      <c r="N1465">
        <v>3</v>
      </c>
      <c r="O1465">
        <v>2</v>
      </c>
      <c r="P1465" t="s">
        <v>33</v>
      </c>
      <c r="Q1465" t="s">
        <v>34</v>
      </c>
      <c r="R1465" t="s">
        <v>59</v>
      </c>
      <c r="S1465" s="2">
        <f t="shared" si="22"/>
        <v>45520.020000000004</v>
      </c>
    </row>
    <row r="1466" spans="1:19" x14ac:dyDescent="0.3">
      <c r="A1466" t="s">
        <v>1527</v>
      </c>
      <c r="B1466" s="1">
        <v>46069</v>
      </c>
      <c r="C1466" t="s">
        <v>98</v>
      </c>
      <c r="D1466" t="s">
        <v>20</v>
      </c>
      <c r="E1466" t="s">
        <v>42</v>
      </c>
      <c r="F1466" t="s">
        <v>22</v>
      </c>
      <c r="G1466" t="s">
        <v>23</v>
      </c>
      <c r="H1466">
        <v>205</v>
      </c>
      <c r="I1466">
        <v>20</v>
      </c>
      <c r="J1466">
        <v>95</v>
      </c>
      <c r="K1466">
        <v>130</v>
      </c>
      <c r="L1466">
        <v>64</v>
      </c>
      <c r="M1466" s="2">
        <v>1434.74</v>
      </c>
      <c r="N1466">
        <v>2</v>
      </c>
      <c r="O1466">
        <v>0</v>
      </c>
      <c r="P1466" t="s">
        <v>33</v>
      </c>
      <c r="Q1466" t="s">
        <v>34</v>
      </c>
      <c r="R1466" t="s">
        <v>26</v>
      </c>
      <c r="S1466" s="2">
        <f t="shared" si="22"/>
        <v>186516.2</v>
      </c>
    </row>
    <row r="1467" spans="1:19" x14ac:dyDescent="0.3">
      <c r="A1467" t="s">
        <v>1528</v>
      </c>
      <c r="B1467" s="1">
        <v>46264</v>
      </c>
      <c r="C1467" t="s">
        <v>87</v>
      </c>
      <c r="D1467" t="s">
        <v>53</v>
      </c>
      <c r="E1467" t="s">
        <v>58</v>
      </c>
      <c r="F1467" t="s">
        <v>37</v>
      </c>
      <c r="G1467" t="s">
        <v>38</v>
      </c>
      <c r="H1467">
        <v>165</v>
      </c>
      <c r="I1467">
        <v>40</v>
      </c>
      <c r="J1467">
        <v>41</v>
      </c>
      <c r="K1467">
        <v>164</v>
      </c>
      <c r="L1467">
        <v>90</v>
      </c>
      <c r="M1467" s="2">
        <v>454.75</v>
      </c>
      <c r="N1467">
        <v>4</v>
      </c>
      <c r="O1467">
        <v>0</v>
      </c>
      <c r="P1467" t="s">
        <v>24</v>
      </c>
      <c r="Q1467" t="s">
        <v>34</v>
      </c>
      <c r="R1467" t="s">
        <v>26</v>
      </c>
      <c r="S1467" s="2">
        <f t="shared" si="22"/>
        <v>74579</v>
      </c>
    </row>
    <row r="1468" spans="1:19" x14ac:dyDescent="0.3">
      <c r="A1468" t="s">
        <v>1529</v>
      </c>
      <c r="B1468" s="1">
        <v>46217</v>
      </c>
      <c r="C1468" t="s">
        <v>57</v>
      </c>
      <c r="D1468" t="s">
        <v>50</v>
      </c>
      <c r="E1468" t="s">
        <v>58</v>
      </c>
      <c r="F1468" t="s">
        <v>22</v>
      </c>
      <c r="G1468" t="s">
        <v>23</v>
      </c>
      <c r="H1468">
        <v>86</v>
      </c>
      <c r="I1468">
        <v>64</v>
      </c>
      <c r="J1468">
        <v>76</v>
      </c>
      <c r="K1468">
        <v>74</v>
      </c>
      <c r="L1468">
        <v>74</v>
      </c>
      <c r="M1468" s="2">
        <v>2699.68</v>
      </c>
      <c r="N1468">
        <v>7</v>
      </c>
      <c r="O1468">
        <v>5</v>
      </c>
      <c r="P1468" t="s">
        <v>33</v>
      </c>
      <c r="Q1468" t="s">
        <v>34</v>
      </c>
      <c r="R1468" t="s">
        <v>26</v>
      </c>
      <c r="S1468" s="2">
        <f t="shared" si="22"/>
        <v>199776.31999999998</v>
      </c>
    </row>
    <row r="1469" spans="1:19" x14ac:dyDescent="0.3">
      <c r="A1469" t="s">
        <v>1530</v>
      </c>
      <c r="B1469" s="1">
        <v>46359</v>
      </c>
      <c r="C1469" t="s">
        <v>62</v>
      </c>
      <c r="D1469" t="s">
        <v>29</v>
      </c>
      <c r="E1469" t="s">
        <v>21</v>
      </c>
      <c r="F1469" t="s">
        <v>22</v>
      </c>
      <c r="G1469" t="s">
        <v>23</v>
      </c>
      <c r="H1469">
        <v>198</v>
      </c>
      <c r="I1469">
        <v>31</v>
      </c>
      <c r="J1469">
        <v>80</v>
      </c>
      <c r="K1469">
        <v>149</v>
      </c>
      <c r="L1469">
        <v>97</v>
      </c>
      <c r="M1469" s="2">
        <v>738.57</v>
      </c>
      <c r="N1469">
        <v>7</v>
      </c>
      <c r="O1469">
        <v>0</v>
      </c>
      <c r="P1469" t="s">
        <v>33</v>
      </c>
      <c r="Q1469" t="s">
        <v>34</v>
      </c>
      <c r="R1469" t="s">
        <v>26</v>
      </c>
      <c r="S1469" s="2">
        <f t="shared" si="22"/>
        <v>110046.93000000001</v>
      </c>
    </row>
    <row r="1470" spans="1:19" x14ac:dyDescent="0.3">
      <c r="A1470" t="s">
        <v>1531</v>
      </c>
      <c r="B1470" s="1">
        <v>46257</v>
      </c>
      <c r="C1470" t="s">
        <v>87</v>
      </c>
      <c r="D1470" t="s">
        <v>53</v>
      </c>
      <c r="E1470" t="s">
        <v>75</v>
      </c>
      <c r="F1470" t="s">
        <v>1582</v>
      </c>
      <c r="G1470" t="s">
        <v>1583</v>
      </c>
      <c r="H1470">
        <v>53</v>
      </c>
      <c r="I1470">
        <v>90</v>
      </c>
      <c r="J1470">
        <v>38</v>
      </c>
      <c r="K1470">
        <v>105</v>
      </c>
      <c r="L1470">
        <v>90</v>
      </c>
      <c r="M1470" s="2">
        <v>444.56</v>
      </c>
      <c r="N1470">
        <v>2</v>
      </c>
      <c r="O1470">
        <v>0</v>
      </c>
      <c r="P1470" t="s">
        <v>33</v>
      </c>
      <c r="Q1470" t="s">
        <v>34</v>
      </c>
      <c r="R1470" t="s">
        <v>26</v>
      </c>
      <c r="S1470" s="2">
        <f t="shared" si="22"/>
        <v>46678.8</v>
      </c>
    </row>
    <row r="1471" spans="1:19" x14ac:dyDescent="0.3">
      <c r="A1471" t="s">
        <v>1532</v>
      </c>
      <c r="B1471" s="1">
        <v>46318</v>
      </c>
      <c r="C1471" t="s">
        <v>28</v>
      </c>
      <c r="D1471" t="s">
        <v>29</v>
      </c>
      <c r="E1471" t="s">
        <v>58</v>
      </c>
      <c r="F1471" t="s">
        <v>22</v>
      </c>
      <c r="G1471" t="s">
        <v>23</v>
      </c>
      <c r="H1471">
        <v>184</v>
      </c>
      <c r="I1471">
        <v>103</v>
      </c>
      <c r="J1471">
        <v>89</v>
      </c>
      <c r="K1471">
        <v>198</v>
      </c>
      <c r="L1471">
        <v>56</v>
      </c>
      <c r="M1471" s="2">
        <v>1418.74</v>
      </c>
      <c r="N1471">
        <v>2</v>
      </c>
      <c r="O1471">
        <v>0</v>
      </c>
      <c r="P1471" t="s">
        <v>33</v>
      </c>
      <c r="Q1471" t="s">
        <v>47</v>
      </c>
      <c r="R1471" t="s">
        <v>26</v>
      </c>
      <c r="S1471" s="2">
        <f t="shared" si="22"/>
        <v>280910.52</v>
      </c>
    </row>
    <row r="1472" spans="1:19" x14ac:dyDescent="0.3">
      <c r="A1472" t="s">
        <v>1533</v>
      </c>
      <c r="B1472" s="1">
        <v>46143</v>
      </c>
      <c r="C1472" t="s">
        <v>87</v>
      </c>
      <c r="D1472" t="s">
        <v>53</v>
      </c>
      <c r="E1472" t="s">
        <v>58</v>
      </c>
      <c r="F1472" t="s">
        <v>22</v>
      </c>
      <c r="G1472" t="s">
        <v>23</v>
      </c>
      <c r="H1472">
        <v>65</v>
      </c>
      <c r="I1472">
        <v>113</v>
      </c>
      <c r="J1472">
        <v>69</v>
      </c>
      <c r="K1472">
        <v>109</v>
      </c>
      <c r="L1472">
        <v>96</v>
      </c>
      <c r="M1472" s="2">
        <v>434.43</v>
      </c>
      <c r="N1472">
        <v>8</v>
      </c>
      <c r="O1472">
        <v>0</v>
      </c>
      <c r="P1472" t="s">
        <v>33</v>
      </c>
      <c r="Q1472" t="s">
        <v>34</v>
      </c>
      <c r="R1472" t="s">
        <v>26</v>
      </c>
      <c r="S1472" s="2">
        <f t="shared" si="22"/>
        <v>47352.87</v>
      </c>
    </row>
    <row r="1473" spans="1:19" x14ac:dyDescent="0.3">
      <c r="A1473" t="s">
        <v>1534</v>
      </c>
      <c r="B1473" s="1">
        <v>46127</v>
      </c>
      <c r="C1473" t="s">
        <v>87</v>
      </c>
      <c r="D1473" t="s">
        <v>53</v>
      </c>
      <c r="E1473" t="s">
        <v>42</v>
      </c>
      <c r="F1473" t="s">
        <v>22</v>
      </c>
      <c r="G1473" t="s">
        <v>23</v>
      </c>
      <c r="H1473">
        <v>123</v>
      </c>
      <c r="I1473">
        <v>103</v>
      </c>
      <c r="J1473">
        <v>61</v>
      </c>
      <c r="K1473">
        <v>165</v>
      </c>
      <c r="L1473">
        <v>89</v>
      </c>
      <c r="M1473" s="2">
        <v>491.77</v>
      </c>
      <c r="N1473">
        <v>8</v>
      </c>
      <c r="O1473">
        <v>0</v>
      </c>
      <c r="P1473" t="s">
        <v>33</v>
      </c>
      <c r="Q1473" t="s">
        <v>34</v>
      </c>
      <c r="R1473" t="s">
        <v>43</v>
      </c>
      <c r="S1473" s="2">
        <f t="shared" si="22"/>
        <v>81142.05</v>
      </c>
    </row>
    <row r="1474" spans="1:19" x14ac:dyDescent="0.3">
      <c r="A1474" t="s">
        <v>1535</v>
      </c>
      <c r="B1474" s="1">
        <v>46224</v>
      </c>
      <c r="C1474" t="s">
        <v>45</v>
      </c>
      <c r="D1474" t="s">
        <v>46</v>
      </c>
      <c r="E1474" t="s">
        <v>21</v>
      </c>
      <c r="F1474" t="s">
        <v>1582</v>
      </c>
      <c r="G1474" t="s">
        <v>1583</v>
      </c>
      <c r="H1474">
        <v>71</v>
      </c>
      <c r="I1474">
        <v>82</v>
      </c>
      <c r="J1474">
        <v>107</v>
      </c>
      <c r="K1474">
        <v>46</v>
      </c>
      <c r="L1474">
        <v>86</v>
      </c>
      <c r="M1474" s="2">
        <v>794.08</v>
      </c>
      <c r="N1474">
        <v>7</v>
      </c>
      <c r="O1474">
        <v>4</v>
      </c>
      <c r="P1474" t="s">
        <v>33</v>
      </c>
      <c r="Q1474" t="s">
        <v>25</v>
      </c>
      <c r="R1474" t="s">
        <v>26</v>
      </c>
      <c r="S1474" s="2">
        <f t="shared" ref="S1474:S1501" si="23">K1474*M1474</f>
        <v>36527.68</v>
      </c>
    </row>
    <row r="1475" spans="1:19" x14ac:dyDescent="0.3">
      <c r="A1475" t="s">
        <v>1536</v>
      </c>
      <c r="B1475" s="1">
        <v>46082</v>
      </c>
      <c r="C1475" t="s">
        <v>80</v>
      </c>
      <c r="D1475" t="s">
        <v>46</v>
      </c>
      <c r="E1475" t="s">
        <v>75</v>
      </c>
      <c r="F1475" t="s">
        <v>37</v>
      </c>
      <c r="G1475" t="s">
        <v>38</v>
      </c>
      <c r="H1475">
        <v>106</v>
      </c>
      <c r="I1475">
        <v>130</v>
      </c>
      <c r="J1475">
        <v>47</v>
      </c>
      <c r="K1475">
        <v>189</v>
      </c>
      <c r="L1475">
        <v>81</v>
      </c>
      <c r="M1475" s="2">
        <v>1168.3699999999999</v>
      </c>
      <c r="N1475">
        <v>8</v>
      </c>
      <c r="O1475">
        <v>0</v>
      </c>
      <c r="P1475" t="s">
        <v>33</v>
      </c>
      <c r="Q1475" t="s">
        <v>47</v>
      </c>
      <c r="R1475" t="s">
        <v>59</v>
      </c>
      <c r="S1475" s="2">
        <f t="shared" si="23"/>
        <v>220821.93</v>
      </c>
    </row>
    <row r="1476" spans="1:19" x14ac:dyDescent="0.3">
      <c r="A1476" t="s">
        <v>1537</v>
      </c>
      <c r="B1476" s="1">
        <v>46328</v>
      </c>
      <c r="C1476" t="s">
        <v>36</v>
      </c>
      <c r="D1476" t="s">
        <v>29</v>
      </c>
      <c r="E1476" t="s">
        <v>30</v>
      </c>
      <c r="F1476" t="s">
        <v>1582</v>
      </c>
      <c r="G1476" t="s">
        <v>1583</v>
      </c>
      <c r="H1476">
        <v>40</v>
      </c>
      <c r="I1476">
        <v>43</v>
      </c>
      <c r="J1476">
        <v>88</v>
      </c>
      <c r="K1476">
        <v>0</v>
      </c>
      <c r="L1476">
        <v>56</v>
      </c>
      <c r="M1476" s="2">
        <v>2371.27</v>
      </c>
      <c r="N1476">
        <v>3</v>
      </c>
      <c r="O1476">
        <v>4</v>
      </c>
      <c r="P1476" t="s">
        <v>24</v>
      </c>
      <c r="Q1476" t="s">
        <v>25</v>
      </c>
      <c r="R1476" t="s">
        <v>26</v>
      </c>
      <c r="S1476" s="2">
        <f t="shared" si="23"/>
        <v>0</v>
      </c>
    </row>
    <row r="1477" spans="1:19" x14ac:dyDescent="0.3">
      <c r="A1477" t="s">
        <v>1538</v>
      </c>
      <c r="B1477" s="1">
        <v>46089</v>
      </c>
      <c r="C1477" t="s">
        <v>55</v>
      </c>
      <c r="D1477" t="s">
        <v>50</v>
      </c>
      <c r="E1477" t="s">
        <v>75</v>
      </c>
      <c r="F1477" t="s">
        <v>22</v>
      </c>
      <c r="G1477" t="s">
        <v>23</v>
      </c>
      <c r="H1477">
        <v>165</v>
      </c>
      <c r="I1477">
        <v>110</v>
      </c>
      <c r="J1477">
        <v>56</v>
      </c>
      <c r="K1477">
        <v>219</v>
      </c>
      <c r="L1477">
        <v>53</v>
      </c>
      <c r="M1477" s="2">
        <v>1015.92</v>
      </c>
      <c r="N1477">
        <v>6</v>
      </c>
      <c r="O1477">
        <v>0</v>
      </c>
      <c r="P1477" t="s">
        <v>33</v>
      </c>
      <c r="Q1477" t="s">
        <v>47</v>
      </c>
      <c r="R1477" t="s">
        <v>26</v>
      </c>
      <c r="S1477" s="2">
        <f t="shared" si="23"/>
        <v>222486.47999999998</v>
      </c>
    </row>
    <row r="1478" spans="1:19" x14ac:dyDescent="0.3">
      <c r="A1478" t="s">
        <v>1539</v>
      </c>
      <c r="B1478" s="1">
        <v>46045</v>
      </c>
      <c r="C1478" t="s">
        <v>62</v>
      </c>
      <c r="D1478" t="s">
        <v>29</v>
      </c>
      <c r="E1478" t="s">
        <v>75</v>
      </c>
      <c r="F1478" t="s">
        <v>22</v>
      </c>
      <c r="G1478" t="s">
        <v>23</v>
      </c>
      <c r="H1478">
        <v>133</v>
      </c>
      <c r="I1478">
        <v>70</v>
      </c>
      <c r="J1478">
        <v>108</v>
      </c>
      <c r="K1478">
        <v>95</v>
      </c>
      <c r="L1478">
        <v>95</v>
      </c>
      <c r="M1478" s="2">
        <v>731.66</v>
      </c>
      <c r="N1478">
        <v>2</v>
      </c>
      <c r="O1478">
        <v>3</v>
      </c>
      <c r="P1478" t="s">
        <v>33</v>
      </c>
      <c r="Q1478" t="s">
        <v>34</v>
      </c>
      <c r="R1478" t="s">
        <v>26</v>
      </c>
      <c r="S1478" s="2">
        <f t="shared" si="23"/>
        <v>69507.7</v>
      </c>
    </row>
    <row r="1479" spans="1:19" x14ac:dyDescent="0.3">
      <c r="A1479" t="s">
        <v>1540</v>
      </c>
      <c r="B1479" s="1">
        <v>46383</v>
      </c>
      <c r="C1479" t="s">
        <v>146</v>
      </c>
      <c r="D1479" t="s">
        <v>46</v>
      </c>
      <c r="E1479" t="s">
        <v>30</v>
      </c>
      <c r="F1479" t="s">
        <v>1582</v>
      </c>
      <c r="G1479" t="s">
        <v>1583</v>
      </c>
      <c r="H1479">
        <v>172</v>
      </c>
      <c r="I1479">
        <v>84</v>
      </c>
      <c r="J1479">
        <v>79</v>
      </c>
      <c r="K1479">
        <v>177</v>
      </c>
      <c r="L1479">
        <v>100</v>
      </c>
      <c r="M1479" s="2">
        <v>1520.68</v>
      </c>
      <c r="N1479">
        <v>4</v>
      </c>
      <c r="O1479">
        <v>0</v>
      </c>
      <c r="P1479" t="s">
        <v>33</v>
      </c>
      <c r="Q1479" t="s">
        <v>34</v>
      </c>
      <c r="R1479" t="s">
        <v>59</v>
      </c>
      <c r="S1479" s="2">
        <f t="shared" si="23"/>
        <v>269160.36</v>
      </c>
    </row>
    <row r="1480" spans="1:19" x14ac:dyDescent="0.3">
      <c r="A1480" t="s">
        <v>1541</v>
      </c>
      <c r="B1480" s="1">
        <v>46043</v>
      </c>
      <c r="C1480" t="s">
        <v>45</v>
      </c>
      <c r="D1480" t="s">
        <v>46</v>
      </c>
      <c r="E1480" t="s">
        <v>42</v>
      </c>
      <c r="F1480" t="s">
        <v>22</v>
      </c>
      <c r="G1480" t="s">
        <v>23</v>
      </c>
      <c r="H1480">
        <v>203</v>
      </c>
      <c r="I1480">
        <v>88</v>
      </c>
      <c r="J1480">
        <v>65</v>
      </c>
      <c r="K1480">
        <v>226</v>
      </c>
      <c r="L1480">
        <v>48</v>
      </c>
      <c r="M1480" s="2">
        <v>847.79</v>
      </c>
      <c r="N1480">
        <v>8</v>
      </c>
      <c r="O1480">
        <v>0</v>
      </c>
      <c r="P1480" t="s">
        <v>33</v>
      </c>
      <c r="Q1480" t="s">
        <v>47</v>
      </c>
      <c r="R1480" t="s">
        <v>43</v>
      </c>
      <c r="S1480" s="2">
        <f t="shared" si="23"/>
        <v>191600.53999999998</v>
      </c>
    </row>
    <row r="1481" spans="1:19" x14ac:dyDescent="0.3">
      <c r="A1481" t="s">
        <v>1542</v>
      </c>
      <c r="B1481" s="1">
        <v>46258</v>
      </c>
      <c r="C1481" t="s">
        <v>62</v>
      </c>
      <c r="D1481" t="s">
        <v>29</v>
      </c>
      <c r="E1481" t="s">
        <v>21</v>
      </c>
      <c r="F1481" t="s">
        <v>37</v>
      </c>
      <c r="G1481" t="s">
        <v>38</v>
      </c>
      <c r="H1481">
        <v>100</v>
      </c>
      <c r="I1481">
        <v>69</v>
      </c>
      <c r="J1481">
        <v>97</v>
      </c>
      <c r="K1481">
        <v>72</v>
      </c>
      <c r="L1481">
        <v>50</v>
      </c>
      <c r="M1481" s="2">
        <v>744.05</v>
      </c>
      <c r="N1481">
        <v>8</v>
      </c>
      <c r="O1481">
        <v>0</v>
      </c>
      <c r="P1481" t="s">
        <v>33</v>
      </c>
      <c r="Q1481" t="s">
        <v>34</v>
      </c>
      <c r="R1481" t="s">
        <v>26</v>
      </c>
      <c r="S1481" s="2">
        <f t="shared" si="23"/>
        <v>53571.6</v>
      </c>
    </row>
    <row r="1482" spans="1:19" x14ac:dyDescent="0.3">
      <c r="A1482" t="s">
        <v>1543</v>
      </c>
      <c r="B1482" s="1">
        <v>46323</v>
      </c>
      <c r="C1482" t="s">
        <v>89</v>
      </c>
      <c r="D1482" t="s">
        <v>20</v>
      </c>
      <c r="E1482" t="s">
        <v>42</v>
      </c>
      <c r="F1482" t="s">
        <v>22</v>
      </c>
      <c r="G1482" t="s">
        <v>23</v>
      </c>
      <c r="H1482">
        <v>186</v>
      </c>
      <c r="I1482">
        <v>31</v>
      </c>
      <c r="J1482">
        <v>17</v>
      </c>
      <c r="K1482">
        <v>200</v>
      </c>
      <c r="L1482">
        <v>94</v>
      </c>
      <c r="M1482" s="2">
        <v>1115.81</v>
      </c>
      <c r="N1482">
        <v>6</v>
      </c>
      <c r="O1482">
        <v>0</v>
      </c>
      <c r="P1482" t="s">
        <v>24</v>
      </c>
      <c r="Q1482" t="s">
        <v>34</v>
      </c>
      <c r="R1482" t="s">
        <v>81</v>
      </c>
      <c r="S1482" s="2">
        <f t="shared" si="23"/>
        <v>223162</v>
      </c>
    </row>
    <row r="1483" spans="1:19" x14ac:dyDescent="0.3">
      <c r="A1483" t="s">
        <v>1544</v>
      </c>
      <c r="B1483" s="1">
        <v>46123</v>
      </c>
      <c r="C1483" t="s">
        <v>109</v>
      </c>
      <c r="D1483" t="s">
        <v>46</v>
      </c>
      <c r="E1483" t="s">
        <v>75</v>
      </c>
      <c r="F1483" t="s">
        <v>37</v>
      </c>
      <c r="G1483" t="s">
        <v>38</v>
      </c>
      <c r="H1483">
        <v>90</v>
      </c>
      <c r="I1483">
        <v>81</v>
      </c>
      <c r="J1483">
        <v>50</v>
      </c>
      <c r="K1483">
        <v>121</v>
      </c>
      <c r="L1483">
        <v>86</v>
      </c>
      <c r="M1483" s="2">
        <v>3435.43</v>
      </c>
      <c r="N1483">
        <v>6</v>
      </c>
      <c r="O1483">
        <v>0</v>
      </c>
      <c r="P1483" t="s">
        <v>33</v>
      </c>
      <c r="Q1483" t="s">
        <v>34</v>
      </c>
      <c r="R1483" t="s">
        <v>26</v>
      </c>
      <c r="S1483" s="2">
        <f t="shared" si="23"/>
        <v>415687.02999999997</v>
      </c>
    </row>
    <row r="1484" spans="1:19" x14ac:dyDescent="0.3">
      <c r="A1484" t="s">
        <v>1545</v>
      </c>
      <c r="B1484" s="1">
        <v>46100</v>
      </c>
      <c r="C1484" t="s">
        <v>40</v>
      </c>
      <c r="D1484" t="s">
        <v>20</v>
      </c>
      <c r="E1484" t="s">
        <v>58</v>
      </c>
      <c r="F1484" t="s">
        <v>31</v>
      </c>
      <c r="G1484" t="s">
        <v>32</v>
      </c>
      <c r="H1484">
        <v>93</v>
      </c>
      <c r="I1484">
        <v>107</v>
      </c>
      <c r="J1484">
        <v>90</v>
      </c>
      <c r="K1484">
        <v>110</v>
      </c>
      <c r="L1484">
        <v>76</v>
      </c>
      <c r="M1484" s="2">
        <v>826.73</v>
      </c>
      <c r="N1484">
        <v>2</v>
      </c>
      <c r="O1484">
        <v>0</v>
      </c>
      <c r="P1484" t="s">
        <v>24</v>
      </c>
      <c r="Q1484" t="s">
        <v>34</v>
      </c>
      <c r="R1484" t="s">
        <v>26</v>
      </c>
      <c r="S1484" s="2">
        <f t="shared" si="23"/>
        <v>90940.3</v>
      </c>
    </row>
    <row r="1485" spans="1:19" x14ac:dyDescent="0.3">
      <c r="A1485" t="s">
        <v>1546</v>
      </c>
      <c r="B1485" s="1">
        <v>46050</v>
      </c>
      <c r="C1485" t="s">
        <v>62</v>
      </c>
      <c r="D1485" t="s">
        <v>29</v>
      </c>
      <c r="E1485" t="s">
        <v>42</v>
      </c>
      <c r="F1485" t="s">
        <v>22</v>
      </c>
      <c r="G1485" t="s">
        <v>23</v>
      </c>
      <c r="H1485">
        <v>70</v>
      </c>
      <c r="I1485">
        <v>130</v>
      </c>
      <c r="J1485">
        <v>102</v>
      </c>
      <c r="K1485">
        <v>98</v>
      </c>
      <c r="L1485">
        <v>89</v>
      </c>
      <c r="M1485" s="2">
        <v>764.42</v>
      </c>
      <c r="N1485">
        <v>5</v>
      </c>
      <c r="O1485">
        <v>0</v>
      </c>
      <c r="P1485" t="s">
        <v>33</v>
      </c>
      <c r="Q1485" t="s">
        <v>34</v>
      </c>
      <c r="R1485" t="s">
        <v>26</v>
      </c>
      <c r="S1485" s="2">
        <f t="shared" si="23"/>
        <v>74913.159999999989</v>
      </c>
    </row>
    <row r="1486" spans="1:19" x14ac:dyDescent="0.3">
      <c r="A1486" t="s">
        <v>1547</v>
      </c>
      <c r="B1486" s="1">
        <v>46361</v>
      </c>
      <c r="C1486" t="s">
        <v>19</v>
      </c>
      <c r="D1486" t="s">
        <v>20</v>
      </c>
      <c r="E1486" t="s">
        <v>75</v>
      </c>
      <c r="F1486" t="s">
        <v>31</v>
      </c>
      <c r="G1486" t="s">
        <v>32</v>
      </c>
      <c r="H1486">
        <v>137</v>
      </c>
      <c r="I1486">
        <v>71</v>
      </c>
      <c r="J1486">
        <v>28</v>
      </c>
      <c r="K1486">
        <v>180</v>
      </c>
      <c r="L1486">
        <v>53</v>
      </c>
      <c r="M1486" s="2">
        <v>1948.78</v>
      </c>
      <c r="N1486">
        <v>4</v>
      </c>
      <c r="O1486">
        <v>1</v>
      </c>
      <c r="P1486" t="s">
        <v>24</v>
      </c>
      <c r="Q1486" t="s">
        <v>47</v>
      </c>
      <c r="R1486" t="s">
        <v>59</v>
      </c>
      <c r="S1486" s="2">
        <f t="shared" si="23"/>
        <v>350780.4</v>
      </c>
    </row>
    <row r="1487" spans="1:19" x14ac:dyDescent="0.3">
      <c r="A1487" t="s">
        <v>1548</v>
      </c>
      <c r="B1487" s="1">
        <v>46129</v>
      </c>
      <c r="C1487" t="s">
        <v>68</v>
      </c>
      <c r="D1487" t="s">
        <v>53</v>
      </c>
      <c r="E1487" t="s">
        <v>42</v>
      </c>
      <c r="F1487" t="s">
        <v>22</v>
      </c>
      <c r="G1487" t="s">
        <v>23</v>
      </c>
      <c r="H1487">
        <v>199</v>
      </c>
      <c r="I1487">
        <v>115</v>
      </c>
      <c r="J1487">
        <v>108</v>
      </c>
      <c r="K1487">
        <v>206</v>
      </c>
      <c r="L1487">
        <v>58</v>
      </c>
      <c r="M1487" s="2">
        <v>544.44000000000005</v>
      </c>
      <c r="N1487">
        <v>6</v>
      </c>
      <c r="O1487">
        <v>0</v>
      </c>
      <c r="P1487" t="s">
        <v>33</v>
      </c>
      <c r="Q1487" t="s">
        <v>47</v>
      </c>
      <c r="R1487" t="s">
        <v>26</v>
      </c>
      <c r="S1487" s="2">
        <f t="shared" si="23"/>
        <v>112154.64000000001</v>
      </c>
    </row>
    <row r="1488" spans="1:19" x14ac:dyDescent="0.3">
      <c r="A1488" t="s">
        <v>1549</v>
      </c>
      <c r="B1488" s="1">
        <v>46074</v>
      </c>
      <c r="C1488" t="s">
        <v>77</v>
      </c>
      <c r="D1488" t="s">
        <v>53</v>
      </c>
      <c r="E1488" t="s">
        <v>42</v>
      </c>
      <c r="F1488" t="s">
        <v>1582</v>
      </c>
      <c r="G1488" t="s">
        <v>1583</v>
      </c>
      <c r="H1488">
        <v>206</v>
      </c>
      <c r="I1488">
        <v>105</v>
      </c>
      <c r="J1488">
        <v>53</v>
      </c>
      <c r="K1488">
        <v>258</v>
      </c>
      <c r="L1488">
        <v>94</v>
      </c>
      <c r="M1488" s="2">
        <v>502.1</v>
      </c>
      <c r="N1488">
        <v>3</v>
      </c>
      <c r="O1488">
        <v>0</v>
      </c>
      <c r="P1488" t="s">
        <v>33</v>
      </c>
      <c r="Q1488" t="s">
        <v>47</v>
      </c>
      <c r="R1488" t="s">
        <v>26</v>
      </c>
      <c r="S1488" s="2">
        <f t="shared" si="23"/>
        <v>129541.8</v>
      </c>
    </row>
    <row r="1489" spans="1:19" x14ac:dyDescent="0.3">
      <c r="A1489" t="s">
        <v>1550</v>
      </c>
      <c r="B1489" s="1">
        <v>46099</v>
      </c>
      <c r="C1489" t="s">
        <v>89</v>
      </c>
      <c r="D1489" t="s">
        <v>20</v>
      </c>
      <c r="E1489" t="s">
        <v>75</v>
      </c>
      <c r="F1489" t="s">
        <v>1582</v>
      </c>
      <c r="G1489" t="s">
        <v>1583</v>
      </c>
      <c r="H1489">
        <v>200</v>
      </c>
      <c r="I1489">
        <v>87</v>
      </c>
      <c r="J1489">
        <v>32</v>
      </c>
      <c r="K1489">
        <v>255</v>
      </c>
      <c r="L1489">
        <v>66</v>
      </c>
      <c r="M1489" s="2">
        <v>1286.3599999999999</v>
      </c>
      <c r="N1489">
        <v>6</v>
      </c>
      <c r="O1489">
        <v>0</v>
      </c>
      <c r="P1489" t="s">
        <v>33</v>
      </c>
      <c r="Q1489" t="s">
        <v>47</v>
      </c>
      <c r="R1489" t="s">
        <v>81</v>
      </c>
      <c r="S1489" s="2">
        <f t="shared" si="23"/>
        <v>328021.8</v>
      </c>
    </row>
    <row r="1490" spans="1:19" x14ac:dyDescent="0.3">
      <c r="A1490" t="s">
        <v>1551</v>
      </c>
      <c r="B1490" s="1">
        <v>46217</v>
      </c>
      <c r="C1490" t="s">
        <v>52</v>
      </c>
      <c r="D1490" t="s">
        <v>53</v>
      </c>
      <c r="E1490" t="s">
        <v>58</v>
      </c>
      <c r="F1490" t="s">
        <v>22</v>
      </c>
      <c r="G1490" t="s">
        <v>23</v>
      </c>
      <c r="H1490">
        <v>44</v>
      </c>
      <c r="I1490">
        <v>127</v>
      </c>
      <c r="J1490">
        <v>90</v>
      </c>
      <c r="K1490">
        <v>81</v>
      </c>
      <c r="L1490">
        <v>57</v>
      </c>
      <c r="M1490" s="2">
        <v>676.08</v>
      </c>
      <c r="N1490">
        <v>4</v>
      </c>
      <c r="O1490">
        <v>0</v>
      </c>
      <c r="P1490" t="s">
        <v>33</v>
      </c>
      <c r="Q1490" t="s">
        <v>34</v>
      </c>
      <c r="R1490" t="s">
        <v>26</v>
      </c>
      <c r="S1490" s="2">
        <f t="shared" si="23"/>
        <v>54762.48</v>
      </c>
    </row>
    <row r="1491" spans="1:19" x14ac:dyDescent="0.3">
      <c r="A1491" t="s">
        <v>1552</v>
      </c>
      <c r="B1491" s="1">
        <v>46255</v>
      </c>
      <c r="C1491" t="s">
        <v>19</v>
      </c>
      <c r="D1491" t="s">
        <v>20</v>
      </c>
      <c r="E1491" t="s">
        <v>42</v>
      </c>
      <c r="F1491" t="s">
        <v>37</v>
      </c>
      <c r="G1491" t="s">
        <v>38</v>
      </c>
      <c r="H1491">
        <v>72</v>
      </c>
      <c r="I1491">
        <v>119</v>
      </c>
      <c r="J1491">
        <v>103</v>
      </c>
      <c r="K1491">
        <v>88</v>
      </c>
      <c r="L1491">
        <v>82</v>
      </c>
      <c r="M1491" s="2">
        <v>1798.76</v>
      </c>
      <c r="N1491">
        <v>2</v>
      </c>
      <c r="O1491">
        <v>0</v>
      </c>
      <c r="P1491" t="s">
        <v>33</v>
      </c>
      <c r="Q1491" t="s">
        <v>34</v>
      </c>
      <c r="R1491" t="s">
        <v>26</v>
      </c>
      <c r="S1491" s="2">
        <f t="shared" si="23"/>
        <v>158290.88</v>
      </c>
    </row>
    <row r="1492" spans="1:19" x14ac:dyDescent="0.3">
      <c r="A1492" t="s">
        <v>1553</v>
      </c>
      <c r="B1492" s="1">
        <v>46131</v>
      </c>
      <c r="C1492" t="s">
        <v>98</v>
      </c>
      <c r="D1492" t="s">
        <v>20</v>
      </c>
      <c r="E1492" t="s">
        <v>21</v>
      </c>
      <c r="F1492" t="s">
        <v>22</v>
      </c>
      <c r="G1492" t="s">
        <v>23</v>
      </c>
      <c r="H1492">
        <v>148</v>
      </c>
      <c r="I1492">
        <v>65</v>
      </c>
      <c r="J1492">
        <v>85</v>
      </c>
      <c r="K1492">
        <v>128</v>
      </c>
      <c r="L1492">
        <v>65</v>
      </c>
      <c r="M1492" s="2">
        <v>1411.1</v>
      </c>
      <c r="N1492">
        <v>5</v>
      </c>
      <c r="O1492">
        <v>0</v>
      </c>
      <c r="P1492" t="s">
        <v>33</v>
      </c>
      <c r="Q1492" t="s">
        <v>34</v>
      </c>
      <c r="R1492" t="s">
        <v>81</v>
      </c>
      <c r="S1492" s="2">
        <f t="shared" si="23"/>
        <v>180620.79999999999</v>
      </c>
    </row>
    <row r="1493" spans="1:19" x14ac:dyDescent="0.3">
      <c r="A1493" t="s">
        <v>1554</v>
      </c>
      <c r="B1493" s="1">
        <v>46276</v>
      </c>
      <c r="C1493" t="s">
        <v>89</v>
      </c>
      <c r="D1493" t="s">
        <v>20</v>
      </c>
      <c r="E1493" t="s">
        <v>75</v>
      </c>
      <c r="F1493" t="s">
        <v>22</v>
      </c>
      <c r="G1493" t="s">
        <v>23</v>
      </c>
      <c r="H1493">
        <v>46</v>
      </c>
      <c r="I1493">
        <v>38</v>
      </c>
      <c r="J1493">
        <v>76</v>
      </c>
      <c r="K1493">
        <v>8</v>
      </c>
      <c r="L1493">
        <v>48</v>
      </c>
      <c r="M1493" s="2">
        <v>1181.3900000000001</v>
      </c>
      <c r="N1493">
        <v>4</v>
      </c>
      <c r="O1493">
        <v>8</v>
      </c>
      <c r="P1493" t="s">
        <v>33</v>
      </c>
      <c r="Q1493" t="s">
        <v>25</v>
      </c>
      <c r="R1493" t="s">
        <v>26</v>
      </c>
      <c r="S1493" s="2">
        <f t="shared" si="23"/>
        <v>9451.1200000000008</v>
      </c>
    </row>
    <row r="1494" spans="1:19" x14ac:dyDescent="0.3">
      <c r="A1494" t="s">
        <v>1555</v>
      </c>
      <c r="B1494" s="1">
        <v>46089</v>
      </c>
      <c r="C1494" t="s">
        <v>109</v>
      </c>
      <c r="D1494" t="s">
        <v>46</v>
      </c>
      <c r="E1494" t="s">
        <v>42</v>
      </c>
      <c r="F1494" t="s">
        <v>31</v>
      </c>
      <c r="G1494" t="s">
        <v>32</v>
      </c>
      <c r="H1494">
        <v>153</v>
      </c>
      <c r="I1494">
        <v>112</v>
      </c>
      <c r="J1494">
        <v>107</v>
      </c>
      <c r="K1494">
        <v>158</v>
      </c>
      <c r="L1494">
        <v>50</v>
      </c>
      <c r="M1494" s="2">
        <v>3155.98</v>
      </c>
      <c r="N1494">
        <v>8</v>
      </c>
      <c r="O1494">
        <v>0</v>
      </c>
      <c r="P1494" t="s">
        <v>33</v>
      </c>
      <c r="Q1494" t="s">
        <v>47</v>
      </c>
      <c r="R1494" t="s">
        <v>26</v>
      </c>
      <c r="S1494" s="2">
        <f t="shared" si="23"/>
        <v>498644.84</v>
      </c>
    </row>
    <row r="1495" spans="1:19" x14ac:dyDescent="0.3">
      <c r="A1495" t="s">
        <v>1556</v>
      </c>
      <c r="B1495" s="1">
        <v>46382</v>
      </c>
      <c r="C1495" t="s">
        <v>83</v>
      </c>
      <c r="D1495" t="s">
        <v>29</v>
      </c>
      <c r="E1495" t="s">
        <v>30</v>
      </c>
      <c r="F1495" t="s">
        <v>31</v>
      </c>
      <c r="G1495" t="s">
        <v>32</v>
      </c>
      <c r="H1495">
        <v>127</v>
      </c>
      <c r="I1495">
        <v>60</v>
      </c>
      <c r="J1495">
        <v>48</v>
      </c>
      <c r="K1495">
        <v>139</v>
      </c>
      <c r="L1495">
        <v>100</v>
      </c>
      <c r="M1495" s="2">
        <v>1490.75</v>
      </c>
      <c r="N1495">
        <v>7</v>
      </c>
      <c r="O1495">
        <v>0</v>
      </c>
      <c r="P1495" t="s">
        <v>33</v>
      </c>
      <c r="Q1495" t="s">
        <v>34</v>
      </c>
      <c r="R1495" t="s">
        <v>26</v>
      </c>
      <c r="S1495" s="2">
        <f t="shared" si="23"/>
        <v>207214.25</v>
      </c>
    </row>
    <row r="1496" spans="1:19" x14ac:dyDescent="0.3">
      <c r="A1496" t="s">
        <v>1557</v>
      </c>
      <c r="B1496" s="1">
        <v>46180</v>
      </c>
      <c r="C1496" t="s">
        <v>109</v>
      </c>
      <c r="D1496" t="s">
        <v>46</v>
      </c>
      <c r="E1496" t="s">
        <v>42</v>
      </c>
      <c r="F1496" t="s">
        <v>31</v>
      </c>
      <c r="G1496" t="s">
        <v>32</v>
      </c>
      <c r="H1496">
        <v>71</v>
      </c>
      <c r="I1496">
        <v>22</v>
      </c>
      <c r="J1496">
        <v>93</v>
      </c>
      <c r="K1496">
        <v>0</v>
      </c>
      <c r="L1496">
        <v>68</v>
      </c>
      <c r="M1496" s="2">
        <v>3461.11</v>
      </c>
      <c r="N1496">
        <v>5</v>
      </c>
      <c r="O1496">
        <v>8</v>
      </c>
      <c r="P1496" t="s">
        <v>33</v>
      </c>
      <c r="Q1496" t="s">
        <v>25</v>
      </c>
      <c r="R1496" t="s">
        <v>26</v>
      </c>
      <c r="S1496" s="2">
        <f t="shared" si="23"/>
        <v>0</v>
      </c>
    </row>
    <row r="1497" spans="1:19" x14ac:dyDescent="0.3">
      <c r="A1497" t="s">
        <v>1558</v>
      </c>
      <c r="B1497" s="1">
        <v>46268</v>
      </c>
      <c r="C1497" t="s">
        <v>77</v>
      </c>
      <c r="D1497" t="s">
        <v>53</v>
      </c>
      <c r="E1497" t="s">
        <v>21</v>
      </c>
      <c r="F1497" t="s">
        <v>1582</v>
      </c>
      <c r="G1497" t="s">
        <v>1583</v>
      </c>
      <c r="H1497">
        <v>191</v>
      </c>
      <c r="I1497">
        <v>106</v>
      </c>
      <c r="J1497">
        <v>59</v>
      </c>
      <c r="K1497">
        <v>238</v>
      </c>
      <c r="L1497">
        <v>68</v>
      </c>
      <c r="M1497" s="2">
        <v>478.5</v>
      </c>
      <c r="N1497">
        <v>8</v>
      </c>
      <c r="O1497">
        <v>0</v>
      </c>
      <c r="P1497" t="s">
        <v>33</v>
      </c>
      <c r="Q1497" t="s">
        <v>47</v>
      </c>
      <c r="R1497" t="s">
        <v>26</v>
      </c>
      <c r="S1497" s="2">
        <f t="shared" si="23"/>
        <v>113883</v>
      </c>
    </row>
    <row r="1498" spans="1:19" x14ac:dyDescent="0.3">
      <c r="A1498" t="s">
        <v>1559</v>
      </c>
      <c r="B1498" s="1">
        <v>46085</v>
      </c>
      <c r="C1498" t="s">
        <v>98</v>
      </c>
      <c r="D1498" t="s">
        <v>20</v>
      </c>
      <c r="E1498" t="s">
        <v>21</v>
      </c>
      <c r="F1498" t="s">
        <v>1582</v>
      </c>
      <c r="G1498" t="s">
        <v>1583</v>
      </c>
      <c r="H1498">
        <v>151</v>
      </c>
      <c r="I1498">
        <v>20</v>
      </c>
      <c r="J1498">
        <v>29</v>
      </c>
      <c r="K1498">
        <v>142</v>
      </c>
      <c r="L1498">
        <v>47</v>
      </c>
      <c r="M1498" s="2">
        <v>1415.38</v>
      </c>
      <c r="N1498">
        <v>8</v>
      </c>
      <c r="O1498">
        <v>0</v>
      </c>
      <c r="P1498" t="s">
        <v>24</v>
      </c>
      <c r="Q1498" t="s">
        <v>47</v>
      </c>
      <c r="R1498" t="s">
        <v>59</v>
      </c>
      <c r="S1498" s="2">
        <f t="shared" si="23"/>
        <v>200983.96000000002</v>
      </c>
    </row>
    <row r="1499" spans="1:19" x14ac:dyDescent="0.3">
      <c r="A1499" t="s">
        <v>1560</v>
      </c>
      <c r="B1499" s="1">
        <v>46239</v>
      </c>
      <c r="C1499" t="s">
        <v>98</v>
      </c>
      <c r="D1499" t="s">
        <v>20</v>
      </c>
      <c r="E1499" t="s">
        <v>75</v>
      </c>
      <c r="F1499" t="s">
        <v>1582</v>
      </c>
      <c r="G1499" t="s">
        <v>1583</v>
      </c>
      <c r="H1499">
        <v>181</v>
      </c>
      <c r="I1499">
        <v>49</v>
      </c>
      <c r="J1499">
        <v>27</v>
      </c>
      <c r="K1499">
        <v>203</v>
      </c>
      <c r="L1499">
        <v>73</v>
      </c>
      <c r="M1499" s="2">
        <v>1371.62</v>
      </c>
      <c r="N1499">
        <v>8</v>
      </c>
      <c r="O1499">
        <v>0</v>
      </c>
      <c r="P1499" t="s">
        <v>33</v>
      </c>
      <c r="Q1499" t="s">
        <v>47</v>
      </c>
      <c r="R1499" t="s">
        <v>26</v>
      </c>
      <c r="S1499" s="2">
        <f t="shared" si="23"/>
        <v>278438.86</v>
      </c>
    </row>
    <row r="1500" spans="1:19" x14ac:dyDescent="0.3">
      <c r="A1500" t="s">
        <v>1561</v>
      </c>
      <c r="B1500" s="1">
        <v>46078</v>
      </c>
      <c r="C1500" t="s">
        <v>77</v>
      </c>
      <c r="D1500" t="s">
        <v>53</v>
      </c>
      <c r="E1500" t="s">
        <v>30</v>
      </c>
      <c r="F1500" t="s">
        <v>31</v>
      </c>
      <c r="G1500" t="s">
        <v>32</v>
      </c>
      <c r="H1500">
        <v>172</v>
      </c>
      <c r="I1500">
        <v>32</v>
      </c>
      <c r="J1500">
        <v>108</v>
      </c>
      <c r="K1500">
        <v>96</v>
      </c>
      <c r="L1500">
        <v>87</v>
      </c>
      <c r="M1500" s="2">
        <v>486.62</v>
      </c>
      <c r="N1500">
        <v>2</v>
      </c>
      <c r="O1500">
        <v>0</v>
      </c>
      <c r="P1500" t="s">
        <v>24</v>
      </c>
      <c r="Q1500" t="s">
        <v>34</v>
      </c>
      <c r="R1500" t="s">
        <v>26</v>
      </c>
      <c r="S1500" s="2">
        <f t="shared" si="23"/>
        <v>46715.520000000004</v>
      </c>
    </row>
    <row r="1501" spans="1:19" x14ac:dyDescent="0.3">
      <c r="A1501" t="s">
        <v>1562</v>
      </c>
      <c r="B1501" s="1">
        <v>46170</v>
      </c>
      <c r="C1501" t="s">
        <v>109</v>
      </c>
      <c r="D1501" t="s">
        <v>46</v>
      </c>
      <c r="E1501" t="s">
        <v>58</v>
      </c>
      <c r="F1501" t="s">
        <v>31</v>
      </c>
      <c r="G1501" t="s">
        <v>32</v>
      </c>
      <c r="H1501">
        <v>90</v>
      </c>
      <c r="I1501">
        <v>85</v>
      </c>
      <c r="J1501">
        <v>20</v>
      </c>
      <c r="K1501">
        <v>155</v>
      </c>
      <c r="L1501">
        <v>71</v>
      </c>
      <c r="M1501" s="2">
        <v>3169.9</v>
      </c>
      <c r="N1501">
        <v>5</v>
      </c>
      <c r="O1501">
        <v>1</v>
      </c>
      <c r="P1501" t="s">
        <v>24</v>
      </c>
      <c r="Q1501" t="s">
        <v>34</v>
      </c>
      <c r="R1501" t="s">
        <v>81</v>
      </c>
      <c r="S1501" s="2">
        <f t="shared" si="23"/>
        <v>491334.5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93274-AE4C-4606-9D5B-4152763AA6D9}">
  <dimension ref="A3:U133"/>
  <sheetViews>
    <sheetView topLeftCell="F67" workbookViewId="0">
      <selection activeCell="T56" sqref="T56"/>
    </sheetView>
  </sheetViews>
  <sheetFormatPr defaultRowHeight="14.4" x14ac:dyDescent="0.3"/>
  <cols>
    <col min="1" max="1" width="12.5546875" bestFit="1" customWidth="1"/>
    <col min="2" max="2" width="21.109375" bestFit="1" customWidth="1"/>
    <col min="3" max="3" width="18.77734375" bestFit="1" customWidth="1"/>
    <col min="4" max="4" width="22.88671875" bestFit="1" customWidth="1"/>
    <col min="6" max="6" width="15.88671875" bestFit="1" customWidth="1"/>
    <col min="7" max="7" width="15.5546875" bestFit="1" customWidth="1"/>
    <col min="8" max="8" width="8" bestFit="1" customWidth="1"/>
    <col min="9" max="9" width="10.77734375" bestFit="1" customWidth="1"/>
    <col min="10" max="10" width="15.88671875" bestFit="1" customWidth="1"/>
    <col min="12" max="12" width="15.88671875" bestFit="1" customWidth="1"/>
    <col min="13" max="13" width="15.5546875" bestFit="1" customWidth="1"/>
    <col min="14" max="14" width="8.88671875" bestFit="1" customWidth="1"/>
    <col min="15" max="15" width="7.88671875" bestFit="1" customWidth="1"/>
    <col min="16" max="16" width="8.77734375" bestFit="1" customWidth="1"/>
    <col min="17" max="17" width="10.77734375" bestFit="1" customWidth="1"/>
    <col min="20" max="20" width="12.5546875" bestFit="1" customWidth="1"/>
    <col min="21" max="21" width="21.33203125" bestFit="1" customWidth="1"/>
  </cols>
  <sheetData>
    <row r="3" spans="1:16" x14ac:dyDescent="0.3">
      <c r="A3" s="3" t="s">
        <v>1563</v>
      </c>
      <c r="B3" t="s">
        <v>1565</v>
      </c>
      <c r="C3" t="s">
        <v>1566</v>
      </c>
      <c r="F3" s="3" t="s">
        <v>1565</v>
      </c>
      <c r="G3" s="3" t="s">
        <v>1573</v>
      </c>
      <c r="L3" s="3" t="s">
        <v>1565</v>
      </c>
      <c r="M3" s="3" t="s">
        <v>1573</v>
      </c>
    </row>
    <row r="4" spans="1:16" x14ac:dyDescent="0.3">
      <c r="A4" s="4" t="s">
        <v>34</v>
      </c>
      <c r="B4">
        <v>768</v>
      </c>
      <c r="C4">
        <v>87436</v>
      </c>
      <c r="F4" s="3" t="s">
        <v>1563</v>
      </c>
      <c r="G4" t="s">
        <v>24</v>
      </c>
      <c r="H4" t="s">
        <v>33</v>
      </c>
      <c r="I4" t="s">
        <v>1564</v>
      </c>
      <c r="J4" s="8" t="s">
        <v>1574</v>
      </c>
      <c r="L4" s="3" t="s">
        <v>1563</v>
      </c>
      <c r="M4" t="s">
        <v>34</v>
      </c>
      <c r="N4" t="s">
        <v>25</v>
      </c>
      <c r="O4" t="s">
        <v>47</v>
      </c>
      <c r="P4" t="s">
        <v>1564</v>
      </c>
    </row>
    <row r="5" spans="1:16" x14ac:dyDescent="0.3">
      <c r="A5" s="4" t="s">
        <v>25</v>
      </c>
      <c r="B5">
        <v>128</v>
      </c>
      <c r="C5">
        <v>3365</v>
      </c>
      <c r="F5" s="4" t="s">
        <v>30</v>
      </c>
      <c r="G5">
        <v>43</v>
      </c>
      <c r="H5">
        <v>232</v>
      </c>
      <c r="I5">
        <v>275</v>
      </c>
      <c r="J5" s="5">
        <f>GETPIVOTDATA("Order ID",$F$3,"Supplier","DirectWholesale","Supplier Delivery Status","Late")/GETPIVOTDATA("Order ID",$F$3,"Supplier","DirectWholesale")</f>
        <v>0.15636363636363637</v>
      </c>
      <c r="L5" s="4" t="s">
        <v>38</v>
      </c>
      <c r="M5">
        <v>197</v>
      </c>
      <c r="N5">
        <v>42</v>
      </c>
      <c r="O5">
        <v>151</v>
      </c>
      <c r="P5">
        <v>390</v>
      </c>
    </row>
    <row r="6" spans="1:16" x14ac:dyDescent="0.3">
      <c r="A6" s="4" t="s">
        <v>47</v>
      </c>
      <c r="B6">
        <v>604</v>
      </c>
      <c r="C6">
        <v>121094</v>
      </c>
      <c r="F6" s="4" t="s">
        <v>58</v>
      </c>
      <c r="G6">
        <v>64</v>
      </c>
      <c r="H6">
        <v>269</v>
      </c>
      <c r="I6">
        <v>333</v>
      </c>
      <c r="J6" s="5">
        <f>GETPIVOTDATA("Order ID",$F$3,"Supplier","GlobalMart","Supplier Delivery Status","Late")/GETPIVOTDATA("Order ID",$F$3,"Supplier","GlobalMart")</f>
        <v>0.19219219219219219</v>
      </c>
      <c r="L6" s="4" t="s">
        <v>32</v>
      </c>
      <c r="M6">
        <v>195</v>
      </c>
      <c r="N6">
        <v>25</v>
      </c>
      <c r="O6">
        <v>154</v>
      </c>
      <c r="P6">
        <v>374</v>
      </c>
    </row>
    <row r="7" spans="1:16" x14ac:dyDescent="0.3">
      <c r="A7" s="4" t="s">
        <v>1564</v>
      </c>
      <c r="B7">
        <v>1500</v>
      </c>
      <c r="C7">
        <v>211895</v>
      </c>
      <c r="F7" s="4" t="s">
        <v>42</v>
      </c>
      <c r="G7">
        <v>56</v>
      </c>
      <c r="H7">
        <v>255</v>
      </c>
      <c r="I7">
        <v>311</v>
      </c>
      <c r="J7" s="5">
        <f>GETPIVOTDATA("Order ID",$F$3,"Supplier","PrimeGoods","Supplier Delivery Status","Late")/GETPIVOTDATA("Order ID",$F$3,"Supplier","PrimeGoods")</f>
        <v>0.18006430868167203</v>
      </c>
      <c r="L7" s="4" t="s">
        <v>23</v>
      </c>
      <c r="M7">
        <v>200</v>
      </c>
      <c r="N7">
        <v>35</v>
      </c>
      <c r="O7">
        <v>136</v>
      </c>
      <c r="P7">
        <v>371</v>
      </c>
    </row>
    <row r="8" spans="1:16" x14ac:dyDescent="0.3">
      <c r="F8" s="4" t="s">
        <v>75</v>
      </c>
      <c r="G8">
        <v>55</v>
      </c>
      <c r="H8">
        <v>228</v>
      </c>
      <c r="I8">
        <v>283</v>
      </c>
      <c r="J8" s="5">
        <f>GETPIVOTDATA("Order ID",$F$3,"Supplier","DirectWholesale","Supplier Delivery Status","Late")/GETPIVOTDATA("Order ID",$F$3,"Supplier","DirectWholesale")</f>
        <v>0.15636363636363637</v>
      </c>
      <c r="L8" s="4" t="s">
        <v>1583</v>
      </c>
      <c r="M8">
        <v>176</v>
      </c>
      <c r="N8">
        <v>26</v>
      </c>
      <c r="O8">
        <v>163</v>
      </c>
      <c r="P8">
        <v>365</v>
      </c>
    </row>
    <row r="9" spans="1:16" x14ac:dyDescent="0.3">
      <c r="A9" s="4" t="s">
        <v>1567</v>
      </c>
      <c r="B9" s="5">
        <f>GETPIVOTDATA("Count of Order ID",$A$3,"Inventory Status","Healthy")/GETPIVOTDATA("Count of Order ID",$A$3)</f>
        <v>0.51200000000000001</v>
      </c>
      <c r="F9" s="4" t="s">
        <v>21</v>
      </c>
      <c r="G9">
        <v>55</v>
      </c>
      <c r="H9">
        <v>243</v>
      </c>
      <c r="I9">
        <v>298</v>
      </c>
      <c r="J9" s="5">
        <f>GETPIVOTDATA("Order ID",$F$3,"Supplier","GlobalMart","Supplier Delivery Status","Late")/GETPIVOTDATA("Order ID",$F$3,"Supplier","GlobalMart")</f>
        <v>0.19219219219219219</v>
      </c>
      <c r="L9" s="4" t="s">
        <v>1564</v>
      </c>
      <c r="M9">
        <v>768</v>
      </c>
      <c r="N9">
        <v>128</v>
      </c>
      <c r="O9">
        <v>604</v>
      </c>
      <c r="P9">
        <v>1500</v>
      </c>
    </row>
    <row r="10" spans="1:16" x14ac:dyDescent="0.3">
      <c r="A10" s="4" t="s">
        <v>1568</v>
      </c>
      <c r="B10" s="5">
        <f>GETPIVOTDATA("Count of Order ID",$A$3,"Inventory Status","Low Stock")/GETPIVOTDATA("Count of Order ID",$A$3)</f>
        <v>8.533333333333333E-2</v>
      </c>
      <c r="F10" s="4" t="s">
        <v>1564</v>
      </c>
      <c r="G10">
        <v>273</v>
      </c>
      <c r="H10">
        <v>1227</v>
      </c>
      <c r="I10">
        <v>1500</v>
      </c>
    </row>
    <row r="11" spans="1:16" x14ac:dyDescent="0.3">
      <c r="A11" s="4" t="s">
        <v>1569</v>
      </c>
      <c r="B11" s="5">
        <f>GETPIVOTDATA("Count of Order ID",$A$3,"Inventory Status","Overstock")/GETPIVOTDATA("Count of Order ID",$A$3)</f>
        <v>0.40266666666666667</v>
      </c>
      <c r="L11" s="10" t="s">
        <v>6</v>
      </c>
      <c r="M11" s="13" t="s">
        <v>1584</v>
      </c>
      <c r="N11" s="13" t="s">
        <v>1569</v>
      </c>
    </row>
    <row r="12" spans="1:16" x14ac:dyDescent="0.3">
      <c r="L12" s="11" t="s">
        <v>38</v>
      </c>
      <c r="M12" s="14">
        <f>GETPIVOTDATA("Order ID",$L$3,"Region","North","Inventory Status","Low Stock")/GETPIVOTDATA("Order ID",$L$3,"Region","North")</f>
        <v>0.1076923076923077</v>
      </c>
      <c r="N12" s="14">
        <f>GETPIVOTDATA("Order ID",$L$3,"Region","North","Inventory Status","Overstock")/GETPIVOTDATA("Order ID",$L$3,"Region","North")</f>
        <v>0.38717948717948719</v>
      </c>
    </row>
    <row r="13" spans="1:16" x14ac:dyDescent="0.3">
      <c r="A13" s="3" t="s">
        <v>1563</v>
      </c>
      <c r="B13" t="s">
        <v>1571</v>
      </c>
      <c r="F13" s="3" t="s">
        <v>1565</v>
      </c>
      <c r="G13" s="3" t="s">
        <v>1573</v>
      </c>
      <c r="L13" s="11" t="s">
        <v>32</v>
      </c>
      <c r="M13" s="14">
        <f>GETPIVOTDATA("Order ID",$L$3,"Region","South","Inventory Status","Low Stock")/GETPIVOTDATA("Order ID",$L$3,"Region","South")</f>
        <v>6.684491978609626E-2</v>
      </c>
      <c r="N13" s="14">
        <f>GETPIVOTDATA("Order ID",$L$3,"Region","South","Inventory Status","Overstock")/GETPIVOTDATA("Order ID",$L$3,"Region","South")</f>
        <v>0.41176470588235292</v>
      </c>
    </row>
    <row r="14" spans="1:16" x14ac:dyDescent="0.3">
      <c r="A14" s="4" t="s">
        <v>34</v>
      </c>
      <c r="B14" s="6">
        <v>122069231.53999993</v>
      </c>
      <c r="F14" s="3" t="s">
        <v>1563</v>
      </c>
      <c r="G14" t="s">
        <v>24</v>
      </c>
      <c r="H14" t="s">
        <v>33</v>
      </c>
      <c r="I14" t="s">
        <v>1564</v>
      </c>
      <c r="L14" s="11" t="s">
        <v>23</v>
      </c>
      <c r="M14" s="14">
        <f>GETPIVOTDATA("Order ID",$L$3,"Region","West","Inventory Status","Low Stock")/GETPIVOTDATA("Order ID",$L$3,"Region","West")</f>
        <v>9.4339622641509441E-2</v>
      </c>
      <c r="N14" s="14">
        <f>GETPIVOTDATA("Order ID",$L$3,"Region","West","Inventory Status","Overstock")/GETPIVOTDATA("Order ID",$L$3,"Region","West")</f>
        <v>0.36657681940700809</v>
      </c>
    </row>
    <row r="15" spans="1:16" x14ac:dyDescent="0.3">
      <c r="A15" s="4" t="s">
        <v>25</v>
      </c>
      <c r="B15" s="6">
        <v>4178555.4299999997</v>
      </c>
      <c r="F15" s="4" t="s">
        <v>30</v>
      </c>
      <c r="G15">
        <v>43</v>
      </c>
      <c r="H15">
        <v>232</v>
      </c>
      <c r="I15">
        <v>275</v>
      </c>
      <c r="L15" s="11" t="s">
        <v>1583</v>
      </c>
      <c r="M15" s="14">
        <f>GETPIVOTDATA("Order ID",$L$3,"Region","East","Inventory Status","Low Stock")/GETPIVOTDATA("Order ID",$L$3,"Region","East")</f>
        <v>7.1232876712328766E-2</v>
      </c>
      <c r="N15" s="14">
        <f>GETPIVOTDATA("Order ID",$L$3,"Region","East","Inventory Status","Overstock")/GETPIVOTDATA("Order ID",$L$3,"Region","East")</f>
        <v>0.44657534246575342</v>
      </c>
    </row>
    <row r="16" spans="1:16" x14ac:dyDescent="0.3">
      <c r="A16" s="4" t="s">
        <v>47</v>
      </c>
      <c r="B16" s="6">
        <v>163037957.04000014</v>
      </c>
      <c r="F16" s="9" t="s">
        <v>146</v>
      </c>
      <c r="H16">
        <v>11</v>
      </c>
      <c r="I16">
        <v>11</v>
      </c>
    </row>
    <row r="17" spans="1:16" x14ac:dyDescent="0.3">
      <c r="A17" s="4" t="s">
        <v>1564</v>
      </c>
      <c r="B17" s="6">
        <v>289285744.01000011</v>
      </c>
      <c r="F17" s="9" t="s">
        <v>19</v>
      </c>
      <c r="G17">
        <v>2</v>
      </c>
      <c r="H17">
        <v>9</v>
      </c>
      <c r="I17">
        <v>11</v>
      </c>
      <c r="L17" s="3" t="s">
        <v>1563</v>
      </c>
      <c r="M17" t="s">
        <v>1580</v>
      </c>
      <c r="N17" t="s">
        <v>1581</v>
      </c>
      <c r="O17" t="s">
        <v>1565</v>
      </c>
    </row>
    <row r="18" spans="1:16" x14ac:dyDescent="0.3">
      <c r="F18" s="9" t="s">
        <v>109</v>
      </c>
      <c r="G18">
        <v>1</v>
      </c>
      <c r="H18">
        <v>16</v>
      </c>
      <c r="I18">
        <v>17</v>
      </c>
      <c r="L18" s="4" t="s">
        <v>1583</v>
      </c>
      <c r="M18">
        <v>251</v>
      </c>
      <c r="N18">
        <v>0.68767123287671228</v>
      </c>
      <c r="O18">
        <v>365</v>
      </c>
    </row>
    <row r="19" spans="1:16" x14ac:dyDescent="0.3">
      <c r="A19" s="7" t="s">
        <v>1572</v>
      </c>
      <c r="B19" s="5">
        <f>GETPIVOTDATA("Inventory Value",$A$13,"Inventory Status","Overstock")/GETPIVOTDATA("Inventory Value",$A$13)</f>
        <v>0.5635879417354358</v>
      </c>
      <c r="F19" s="9" t="s">
        <v>72</v>
      </c>
      <c r="G19">
        <v>1</v>
      </c>
      <c r="H19">
        <v>10</v>
      </c>
      <c r="I19">
        <v>11</v>
      </c>
      <c r="L19" s="4" t="s">
        <v>38</v>
      </c>
      <c r="M19">
        <v>328</v>
      </c>
      <c r="N19">
        <v>0.84102564102564104</v>
      </c>
      <c r="O19">
        <v>390</v>
      </c>
    </row>
    <row r="20" spans="1:16" x14ac:dyDescent="0.3">
      <c r="F20" s="9" t="s">
        <v>80</v>
      </c>
      <c r="G20">
        <v>3</v>
      </c>
      <c r="H20">
        <v>12</v>
      </c>
      <c r="I20">
        <v>15</v>
      </c>
      <c r="L20" s="4" t="s">
        <v>32</v>
      </c>
      <c r="M20">
        <v>363</v>
      </c>
      <c r="N20">
        <v>0.97058823529411764</v>
      </c>
      <c r="O20">
        <v>374</v>
      </c>
    </row>
    <row r="21" spans="1:16" x14ac:dyDescent="0.3">
      <c r="A21" s="3" t="s">
        <v>16</v>
      </c>
      <c r="B21" t="s">
        <v>47</v>
      </c>
      <c r="F21" s="9" t="s">
        <v>87</v>
      </c>
      <c r="G21">
        <v>3</v>
      </c>
      <c r="H21">
        <v>13</v>
      </c>
      <c r="I21">
        <v>16</v>
      </c>
      <c r="L21" s="4" t="s">
        <v>23</v>
      </c>
      <c r="M21">
        <v>306</v>
      </c>
      <c r="N21">
        <v>0.82479784366576825</v>
      </c>
      <c r="O21">
        <v>371</v>
      </c>
    </row>
    <row r="22" spans="1:16" x14ac:dyDescent="0.3">
      <c r="F22" s="9" t="s">
        <v>49</v>
      </c>
      <c r="G22">
        <v>1</v>
      </c>
      <c r="H22">
        <v>12</v>
      </c>
      <c r="I22">
        <v>13</v>
      </c>
      <c r="L22" s="4" t="s">
        <v>1564</v>
      </c>
      <c r="M22">
        <v>1248</v>
      </c>
      <c r="N22">
        <v>0.83199999999999996</v>
      </c>
      <c r="O22">
        <v>1500</v>
      </c>
    </row>
    <row r="23" spans="1:16" x14ac:dyDescent="0.3">
      <c r="A23" s="3" t="s">
        <v>1563</v>
      </c>
      <c r="B23" t="s">
        <v>1571</v>
      </c>
      <c r="C23" t="s">
        <v>1566</v>
      </c>
      <c r="F23" s="9" t="s">
        <v>28</v>
      </c>
      <c r="G23">
        <v>3</v>
      </c>
      <c r="H23">
        <v>13</v>
      </c>
      <c r="I23">
        <v>16</v>
      </c>
    </row>
    <row r="24" spans="1:16" x14ac:dyDescent="0.3">
      <c r="A24" s="4" t="s">
        <v>109</v>
      </c>
      <c r="B24" s="6">
        <v>24860656.920000006</v>
      </c>
      <c r="C24">
        <v>7707</v>
      </c>
      <c r="F24" s="9" t="s">
        <v>83</v>
      </c>
      <c r="G24">
        <v>3</v>
      </c>
      <c r="H24">
        <v>11</v>
      </c>
      <c r="I24">
        <v>14</v>
      </c>
    </row>
    <row r="25" spans="1:16" x14ac:dyDescent="0.3">
      <c r="A25" s="4" t="s">
        <v>57</v>
      </c>
      <c r="B25" s="6">
        <v>18461005.73</v>
      </c>
      <c r="C25">
        <v>6745</v>
      </c>
      <c r="F25" s="9" t="s">
        <v>98</v>
      </c>
      <c r="G25">
        <v>2</v>
      </c>
      <c r="H25">
        <v>7</v>
      </c>
      <c r="I25">
        <v>9</v>
      </c>
      <c r="L25" s="3" t="s">
        <v>1571</v>
      </c>
      <c r="M25" s="3" t="s">
        <v>1573</v>
      </c>
    </row>
    <row r="26" spans="1:16" x14ac:dyDescent="0.3">
      <c r="A26" s="4" t="s">
        <v>36</v>
      </c>
      <c r="B26" s="6">
        <v>13839151.17</v>
      </c>
      <c r="C26">
        <v>5738</v>
      </c>
      <c r="F26" s="9" t="s">
        <v>68</v>
      </c>
      <c r="G26">
        <v>2</v>
      </c>
      <c r="H26">
        <v>9</v>
      </c>
      <c r="I26">
        <v>11</v>
      </c>
      <c r="L26" s="3" t="s">
        <v>1563</v>
      </c>
      <c r="M26" t="s">
        <v>34</v>
      </c>
      <c r="N26" t="s">
        <v>25</v>
      </c>
      <c r="O26" t="s">
        <v>47</v>
      </c>
      <c r="P26" t="s">
        <v>1564</v>
      </c>
    </row>
    <row r="27" spans="1:16" x14ac:dyDescent="0.3">
      <c r="A27" s="4" t="s">
        <v>72</v>
      </c>
      <c r="B27" s="6">
        <v>10052261.93</v>
      </c>
      <c r="C27">
        <v>4597</v>
      </c>
      <c r="F27" s="9" t="s">
        <v>57</v>
      </c>
      <c r="H27">
        <v>14</v>
      </c>
      <c r="I27">
        <v>14</v>
      </c>
      <c r="L27" s="4" t="s">
        <v>1583</v>
      </c>
      <c r="M27" s="2">
        <v>29924269.269999992</v>
      </c>
      <c r="N27" s="2">
        <v>729352.61</v>
      </c>
      <c r="O27" s="2">
        <v>48066939.309999987</v>
      </c>
      <c r="P27" s="2">
        <v>78720561.189999983</v>
      </c>
    </row>
    <row r="28" spans="1:16" x14ac:dyDescent="0.3">
      <c r="A28" s="4" t="s">
        <v>83</v>
      </c>
      <c r="B28" s="6">
        <v>9533097.5</v>
      </c>
      <c r="C28">
        <v>5943</v>
      </c>
      <c r="F28" s="9" t="s">
        <v>77</v>
      </c>
      <c r="G28">
        <v>2</v>
      </c>
      <c r="H28">
        <v>17</v>
      </c>
      <c r="I28">
        <v>19</v>
      </c>
      <c r="L28" s="4" t="s">
        <v>38</v>
      </c>
      <c r="M28" s="2">
        <v>30128827.359999999</v>
      </c>
      <c r="N28" s="2">
        <v>1513096.7899999998</v>
      </c>
      <c r="O28" s="2">
        <v>41674320.769999973</v>
      </c>
      <c r="P28" s="2">
        <v>73316244.919999972</v>
      </c>
    </row>
    <row r="29" spans="1:16" x14ac:dyDescent="0.3">
      <c r="A29" s="4" t="s">
        <v>19</v>
      </c>
      <c r="B29" s="6">
        <v>8811293.8000000026</v>
      </c>
      <c r="C29">
        <v>4989</v>
      </c>
      <c r="F29" s="9" t="s">
        <v>36</v>
      </c>
      <c r="G29">
        <v>4</v>
      </c>
      <c r="H29">
        <v>13</v>
      </c>
      <c r="I29">
        <v>17</v>
      </c>
      <c r="L29" s="4" t="s">
        <v>32</v>
      </c>
      <c r="M29" s="2">
        <v>30040346.780000001</v>
      </c>
      <c r="N29" s="2">
        <v>722773.07</v>
      </c>
      <c r="O29" s="2">
        <v>42207556.539999992</v>
      </c>
      <c r="P29" s="2">
        <v>72970676.389999986</v>
      </c>
    </row>
    <row r="30" spans="1:16" x14ac:dyDescent="0.3">
      <c r="A30" s="4" t="s">
        <v>146</v>
      </c>
      <c r="B30" s="6">
        <v>7791975.2200000007</v>
      </c>
      <c r="C30">
        <v>5162</v>
      </c>
      <c r="F30" s="9" t="s">
        <v>45</v>
      </c>
      <c r="G30">
        <v>2</v>
      </c>
      <c r="H30">
        <v>5</v>
      </c>
      <c r="I30">
        <v>7</v>
      </c>
      <c r="L30" s="4" t="s">
        <v>23</v>
      </c>
      <c r="M30" s="2">
        <v>31975788.13000001</v>
      </c>
      <c r="N30" s="2">
        <v>1213332.96</v>
      </c>
      <c r="O30" s="2">
        <v>31089140.420000006</v>
      </c>
      <c r="P30" s="2">
        <v>64278261.51000002</v>
      </c>
    </row>
    <row r="31" spans="1:16" x14ac:dyDescent="0.3">
      <c r="A31" s="4" t="s">
        <v>80</v>
      </c>
      <c r="B31" s="6">
        <v>7760927.7100000009</v>
      </c>
      <c r="C31">
        <v>6965</v>
      </c>
      <c r="F31" s="9" t="s">
        <v>52</v>
      </c>
      <c r="G31">
        <v>4</v>
      </c>
      <c r="H31">
        <v>12</v>
      </c>
      <c r="I31">
        <v>16</v>
      </c>
      <c r="L31" s="4" t="s">
        <v>1564</v>
      </c>
      <c r="M31" s="2">
        <v>122069231.54000001</v>
      </c>
      <c r="N31" s="2">
        <v>4178555.4299999997</v>
      </c>
      <c r="O31" s="2">
        <v>163037957.03999996</v>
      </c>
      <c r="P31" s="2">
        <v>289285744.00999999</v>
      </c>
    </row>
    <row r="32" spans="1:16" x14ac:dyDescent="0.3">
      <c r="A32" s="4" t="s">
        <v>49</v>
      </c>
      <c r="B32" s="6">
        <v>7268247.1499999976</v>
      </c>
      <c r="C32">
        <v>5529</v>
      </c>
      <c r="F32" s="9" t="s">
        <v>62</v>
      </c>
      <c r="G32">
        <v>5</v>
      </c>
      <c r="H32">
        <v>17</v>
      </c>
      <c r="I32">
        <v>22</v>
      </c>
    </row>
    <row r="33" spans="1:17" x14ac:dyDescent="0.3">
      <c r="A33" s="4" t="s">
        <v>89</v>
      </c>
      <c r="B33" s="6">
        <v>6705179.7699999986</v>
      </c>
      <c r="C33">
        <v>5558</v>
      </c>
      <c r="F33" s="9" t="s">
        <v>89</v>
      </c>
      <c r="G33">
        <v>2</v>
      </c>
      <c r="H33">
        <v>7</v>
      </c>
      <c r="I33">
        <v>9</v>
      </c>
      <c r="L33" s="3" t="s">
        <v>1563</v>
      </c>
      <c r="M33" t="s">
        <v>1565</v>
      </c>
    </row>
    <row r="34" spans="1:17" x14ac:dyDescent="0.3">
      <c r="A34" s="4" t="s">
        <v>28</v>
      </c>
      <c r="B34" s="6">
        <v>6315870.1699999999</v>
      </c>
      <c r="C34">
        <v>4834</v>
      </c>
      <c r="F34" s="9" t="s">
        <v>40</v>
      </c>
      <c r="G34">
        <v>3</v>
      </c>
      <c r="H34">
        <v>17</v>
      </c>
      <c r="I34">
        <v>20</v>
      </c>
      <c r="L34" s="4" t="s">
        <v>43</v>
      </c>
      <c r="M34">
        <v>178</v>
      </c>
    </row>
    <row r="35" spans="1:17" x14ac:dyDescent="0.3">
      <c r="A35" s="4" t="s">
        <v>45</v>
      </c>
      <c r="B35" s="6">
        <v>5754653.120000001</v>
      </c>
      <c r="C35">
        <v>7121</v>
      </c>
      <c r="F35" s="9" t="s">
        <v>55</v>
      </c>
      <c r="H35">
        <v>7</v>
      </c>
      <c r="I35">
        <v>7</v>
      </c>
      <c r="L35" s="4" t="s">
        <v>26</v>
      </c>
      <c r="M35">
        <v>1008</v>
      </c>
    </row>
    <row r="36" spans="1:17" x14ac:dyDescent="0.3">
      <c r="A36" s="4" t="s">
        <v>52</v>
      </c>
      <c r="B36" s="6">
        <v>5304948.4100000011</v>
      </c>
      <c r="C36">
        <v>8160</v>
      </c>
      <c r="F36" s="4" t="s">
        <v>58</v>
      </c>
      <c r="G36">
        <v>64</v>
      </c>
      <c r="H36">
        <v>269</v>
      </c>
      <c r="I36">
        <v>333</v>
      </c>
      <c r="L36" s="4" t="s">
        <v>59</v>
      </c>
      <c r="M36">
        <v>192</v>
      </c>
    </row>
    <row r="37" spans="1:17" x14ac:dyDescent="0.3">
      <c r="A37" s="4" t="s">
        <v>55</v>
      </c>
      <c r="B37" s="6">
        <v>5177807.62</v>
      </c>
      <c r="C37">
        <v>5138</v>
      </c>
      <c r="F37" s="9" t="s">
        <v>146</v>
      </c>
      <c r="G37">
        <v>3</v>
      </c>
      <c r="H37">
        <v>10</v>
      </c>
      <c r="I37">
        <v>13</v>
      </c>
      <c r="L37" s="4" t="s">
        <v>81</v>
      </c>
      <c r="M37">
        <v>122</v>
      </c>
    </row>
    <row r="38" spans="1:17" x14ac:dyDescent="0.3">
      <c r="A38" s="4" t="s">
        <v>98</v>
      </c>
      <c r="B38" s="6">
        <v>5089560.79</v>
      </c>
      <c r="C38">
        <v>3600</v>
      </c>
      <c r="F38" s="9" t="s">
        <v>19</v>
      </c>
      <c r="G38">
        <v>5</v>
      </c>
      <c r="H38">
        <v>12</v>
      </c>
      <c r="I38">
        <v>17</v>
      </c>
      <c r="L38" s="4" t="s">
        <v>1564</v>
      </c>
      <c r="M38">
        <v>1500</v>
      </c>
    </row>
    <row r="39" spans="1:17" x14ac:dyDescent="0.3">
      <c r="A39" s="4" t="s">
        <v>40</v>
      </c>
      <c r="B39" s="6">
        <v>4770463.95</v>
      </c>
      <c r="C39">
        <v>5383</v>
      </c>
      <c r="F39" s="9" t="s">
        <v>109</v>
      </c>
      <c r="G39">
        <v>8</v>
      </c>
      <c r="H39">
        <v>8</v>
      </c>
      <c r="I39">
        <v>16</v>
      </c>
    </row>
    <row r="40" spans="1:17" x14ac:dyDescent="0.3">
      <c r="A40" s="4" t="s">
        <v>77</v>
      </c>
      <c r="B40" s="6">
        <v>4680707.59</v>
      </c>
      <c r="C40">
        <v>9225</v>
      </c>
      <c r="F40" s="9" t="s">
        <v>72</v>
      </c>
      <c r="G40">
        <v>3</v>
      </c>
      <c r="H40">
        <v>17</v>
      </c>
      <c r="I40">
        <v>20</v>
      </c>
      <c r="L40" s="7" t="s">
        <v>1585</v>
      </c>
      <c r="M40" s="5">
        <f>GETPIVOTDATA("Order ID",$L$33,"Order Status","Cancelled")/GETPIVOTDATA("Order ID",$L$33)</f>
        <v>0.11866666666666667</v>
      </c>
    </row>
    <row r="41" spans="1:17" x14ac:dyDescent="0.3">
      <c r="A41" s="4" t="s">
        <v>62</v>
      </c>
      <c r="B41" s="6">
        <v>4364116.13</v>
      </c>
      <c r="C41">
        <v>6230</v>
      </c>
      <c r="F41" s="9" t="s">
        <v>80</v>
      </c>
      <c r="H41">
        <v>15</v>
      </c>
      <c r="I41">
        <v>15</v>
      </c>
      <c r="L41" s="7" t="s">
        <v>1586</v>
      </c>
      <c r="M41" s="5">
        <f>GETPIVOTDATA("Order ID",$L$33,"Order Status","Pending")/GETPIVOTDATA("Order ID",$L$33)</f>
        <v>0.128</v>
      </c>
    </row>
    <row r="42" spans="1:17" x14ac:dyDescent="0.3">
      <c r="A42" s="4" t="s">
        <v>68</v>
      </c>
      <c r="B42" s="6">
        <v>3478640.899999999</v>
      </c>
      <c r="C42">
        <v>5857</v>
      </c>
      <c r="F42" s="9" t="s">
        <v>87</v>
      </c>
      <c r="G42">
        <v>6</v>
      </c>
      <c r="H42">
        <v>16</v>
      </c>
      <c r="I42">
        <v>22</v>
      </c>
      <c r="L42" s="7" t="s">
        <v>1587</v>
      </c>
      <c r="M42" s="5">
        <f>GETPIVOTDATA("Order ID",$L$33,"Order Status","Returned")/GETPIVOTDATA("Order ID",$L$33)</f>
        <v>8.1333333333333327E-2</v>
      </c>
    </row>
    <row r="43" spans="1:17" x14ac:dyDescent="0.3">
      <c r="A43" s="4" t="s">
        <v>87</v>
      </c>
      <c r="B43" s="6">
        <v>3017391.4600000004</v>
      </c>
      <c r="C43">
        <v>6613</v>
      </c>
      <c r="F43" s="9" t="s">
        <v>49</v>
      </c>
      <c r="G43">
        <v>2</v>
      </c>
      <c r="H43">
        <v>14</v>
      </c>
      <c r="I43">
        <v>16</v>
      </c>
      <c r="L43" s="7" t="s">
        <v>1588</v>
      </c>
      <c r="M43" s="5">
        <f>GETPIVOTDATA("Order ID",$L$33,"Order Status","Delivered")/GETPIVOTDATA("Order ID",$L$33)</f>
        <v>0.67200000000000004</v>
      </c>
    </row>
    <row r="44" spans="1:17" x14ac:dyDescent="0.3">
      <c r="A44" s="4" t="s">
        <v>1564</v>
      </c>
      <c r="B44" s="6">
        <v>163037957.04000002</v>
      </c>
      <c r="C44">
        <v>121094</v>
      </c>
      <c r="F44" s="9" t="s">
        <v>28</v>
      </c>
      <c r="G44">
        <v>2</v>
      </c>
      <c r="H44">
        <v>12</v>
      </c>
      <c r="I44">
        <v>14</v>
      </c>
    </row>
    <row r="45" spans="1:17" x14ac:dyDescent="0.3">
      <c r="F45" s="9" t="s">
        <v>83</v>
      </c>
      <c r="G45">
        <v>1</v>
      </c>
      <c r="H45">
        <v>12</v>
      </c>
      <c r="I45">
        <v>13</v>
      </c>
      <c r="L45" s="3" t="s">
        <v>1565</v>
      </c>
      <c r="M45" s="3" t="s">
        <v>1573</v>
      </c>
    </row>
    <row r="46" spans="1:17" x14ac:dyDescent="0.3">
      <c r="F46" s="9" t="s">
        <v>98</v>
      </c>
      <c r="G46">
        <v>1</v>
      </c>
      <c r="H46">
        <v>14</v>
      </c>
      <c r="I46">
        <v>15</v>
      </c>
      <c r="L46" s="3" t="s">
        <v>1563</v>
      </c>
      <c r="M46" t="s">
        <v>43</v>
      </c>
      <c r="N46" t="s">
        <v>26</v>
      </c>
      <c r="O46" t="s">
        <v>59</v>
      </c>
      <c r="P46" t="s">
        <v>81</v>
      </c>
      <c r="Q46" t="s">
        <v>1564</v>
      </c>
    </row>
    <row r="47" spans="1:17" x14ac:dyDescent="0.3">
      <c r="F47" s="9" t="s">
        <v>68</v>
      </c>
      <c r="G47">
        <v>2</v>
      </c>
      <c r="H47">
        <v>6</v>
      </c>
      <c r="I47">
        <v>8</v>
      </c>
      <c r="L47" s="4" t="s">
        <v>1583</v>
      </c>
      <c r="M47">
        <v>50</v>
      </c>
      <c r="N47">
        <v>238</v>
      </c>
      <c r="O47">
        <v>53</v>
      </c>
      <c r="P47">
        <v>24</v>
      </c>
      <c r="Q47">
        <v>365</v>
      </c>
    </row>
    <row r="48" spans="1:17" x14ac:dyDescent="0.3">
      <c r="A48" s="3" t="s">
        <v>1563</v>
      </c>
      <c r="B48" t="s">
        <v>1580</v>
      </c>
      <c r="C48" t="s">
        <v>1565</v>
      </c>
      <c r="D48" t="s">
        <v>1581</v>
      </c>
      <c r="F48" s="9" t="s">
        <v>57</v>
      </c>
      <c r="G48">
        <v>1</v>
      </c>
      <c r="H48">
        <v>17</v>
      </c>
      <c r="I48">
        <v>18</v>
      </c>
      <c r="L48" s="4" t="s">
        <v>38</v>
      </c>
      <c r="M48">
        <v>45</v>
      </c>
      <c r="N48">
        <v>265</v>
      </c>
      <c r="O48">
        <v>43</v>
      </c>
      <c r="P48">
        <v>37</v>
      </c>
      <c r="Q48">
        <v>390</v>
      </c>
    </row>
    <row r="49" spans="1:21" x14ac:dyDescent="0.3">
      <c r="A49" s="4" t="s">
        <v>72</v>
      </c>
      <c r="B49">
        <v>89</v>
      </c>
      <c r="C49">
        <v>71</v>
      </c>
      <c r="D49">
        <v>1.2535211267605635</v>
      </c>
      <c r="F49" s="9" t="s">
        <v>77</v>
      </c>
      <c r="G49">
        <v>2</v>
      </c>
      <c r="H49">
        <v>17</v>
      </c>
      <c r="I49">
        <v>19</v>
      </c>
      <c r="L49" s="4" t="s">
        <v>32</v>
      </c>
      <c r="M49">
        <v>38</v>
      </c>
      <c r="N49">
        <v>241</v>
      </c>
      <c r="O49">
        <v>57</v>
      </c>
      <c r="P49">
        <v>38</v>
      </c>
      <c r="Q49">
        <v>374</v>
      </c>
    </row>
    <row r="50" spans="1:21" x14ac:dyDescent="0.3">
      <c r="A50" s="4" t="s">
        <v>28</v>
      </c>
      <c r="B50">
        <v>90</v>
      </c>
      <c r="C50">
        <v>77</v>
      </c>
      <c r="D50">
        <v>1.1688311688311688</v>
      </c>
      <c r="F50" s="9" t="s">
        <v>36</v>
      </c>
      <c r="G50">
        <v>9</v>
      </c>
      <c r="H50">
        <v>5</v>
      </c>
      <c r="I50">
        <v>14</v>
      </c>
      <c r="L50" s="4" t="s">
        <v>23</v>
      </c>
      <c r="M50">
        <v>45</v>
      </c>
      <c r="N50">
        <v>264</v>
      </c>
      <c r="O50">
        <v>39</v>
      </c>
      <c r="P50">
        <v>23</v>
      </c>
      <c r="Q50">
        <v>371</v>
      </c>
    </row>
    <row r="51" spans="1:21" x14ac:dyDescent="0.3">
      <c r="A51" s="4" t="s">
        <v>68</v>
      </c>
      <c r="B51">
        <v>79</v>
      </c>
      <c r="C51">
        <v>70</v>
      </c>
      <c r="D51">
        <v>1.1285714285714286</v>
      </c>
      <c r="F51" s="9" t="s">
        <v>45</v>
      </c>
      <c r="G51">
        <v>3</v>
      </c>
      <c r="H51">
        <v>16</v>
      </c>
      <c r="I51">
        <v>19</v>
      </c>
      <c r="L51" s="4" t="s">
        <v>1564</v>
      </c>
      <c r="M51">
        <v>178</v>
      </c>
      <c r="N51">
        <v>1008</v>
      </c>
      <c r="O51">
        <v>192</v>
      </c>
      <c r="P51">
        <v>122</v>
      </c>
      <c r="Q51">
        <v>1500</v>
      </c>
    </row>
    <row r="52" spans="1:21" x14ac:dyDescent="0.3">
      <c r="A52" s="4" t="s">
        <v>62</v>
      </c>
      <c r="B52">
        <v>98</v>
      </c>
      <c r="C52">
        <v>88</v>
      </c>
      <c r="D52">
        <v>1.1136363636363635</v>
      </c>
      <c r="F52" s="9" t="s">
        <v>52</v>
      </c>
      <c r="G52">
        <v>3</v>
      </c>
      <c r="H52">
        <v>16</v>
      </c>
      <c r="I52">
        <v>19</v>
      </c>
    </row>
    <row r="53" spans="1:21" x14ac:dyDescent="0.3">
      <c r="A53" s="4" t="s">
        <v>77</v>
      </c>
      <c r="B53">
        <v>81</v>
      </c>
      <c r="C53">
        <v>85</v>
      </c>
      <c r="D53">
        <v>0.95294117647058818</v>
      </c>
      <c r="F53" s="9" t="s">
        <v>62</v>
      </c>
      <c r="G53">
        <v>3</v>
      </c>
      <c r="H53">
        <v>13</v>
      </c>
      <c r="I53">
        <v>16</v>
      </c>
      <c r="L53" s="7" t="s">
        <v>6</v>
      </c>
      <c r="M53" s="8" t="s">
        <v>1589</v>
      </c>
    </row>
    <row r="54" spans="1:21" x14ac:dyDescent="0.3">
      <c r="A54" s="4" t="s">
        <v>36</v>
      </c>
      <c r="B54">
        <v>78</v>
      </c>
      <c r="C54">
        <v>83</v>
      </c>
      <c r="D54">
        <v>0.93975903614457834</v>
      </c>
      <c r="F54" s="9" t="s">
        <v>89</v>
      </c>
      <c r="G54">
        <v>3</v>
      </c>
      <c r="H54">
        <v>23</v>
      </c>
      <c r="I54">
        <v>26</v>
      </c>
      <c r="L54" s="7" t="s">
        <v>1583</v>
      </c>
      <c r="M54" s="5">
        <f>GETPIVOTDATA("Order ID",$L$45,"Region","East","Order Status","Delivered")/GETPIVOTDATA("Order ID",$L$45,"Region","East")</f>
        <v>0.65205479452054793</v>
      </c>
    </row>
    <row r="55" spans="1:21" x14ac:dyDescent="0.3">
      <c r="A55" s="4" t="s">
        <v>98</v>
      </c>
      <c r="B55">
        <v>57</v>
      </c>
      <c r="C55">
        <v>61</v>
      </c>
      <c r="D55">
        <v>0.93442622950819676</v>
      </c>
      <c r="F55" s="9" t="s">
        <v>40</v>
      </c>
      <c r="G55">
        <v>5</v>
      </c>
      <c r="H55">
        <v>11</v>
      </c>
      <c r="I55">
        <v>16</v>
      </c>
      <c r="L55" s="7" t="s">
        <v>38</v>
      </c>
      <c r="M55" s="5">
        <f>GETPIVOTDATA("Order ID",$L$45,"Region","North","Order Status","Delivered")/GETPIVOTDATA("Order ID",$L$45,"Region","North")</f>
        <v>0.67948717948717952</v>
      </c>
    </row>
    <row r="56" spans="1:21" x14ac:dyDescent="0.3">
      <c r="A56" s="4" t="s">
        <v>146</v>
      </c>
      <c r="B56">
        <v>58</v>
      </c>
      <c r="C56">
        <v>63</v>
      </c>
      <c r="D56">
        <v>0.92063492063492058</v>
      </c>
      <c r="F56" s="9" t="s">
        <v>55</v>
      </c>
      <c r="G56">
        <v>2</v>
      </c>
      <c r="H56">
        <v>15</v>
      </c>
      <c r="I56">
        <v>17</v>
      </c>
      <c r="L56" s="7" t="s">
        <v>32</v>
      </c>
      <c r="M56" s="5">
        <f>GETPIVOTDATA("Order ID",$L$45,"Region","South","Order Status","Delivered")/GETPIVOTDATA("Order ID",$L$45,"Region","South")</f>
        <v>0.64438502673796794</v>
      </c>
      <c r="T56" s="3" t="s">
        <v>1563</v>
      </c>
      <c r="U56" t="s">
        <v>1598</v>
      </c>
    </row>
    <row r="57" spans="1:21" x14ac:dyDescent="0.3">
      <c r="A57" s="4" t="s">
        <v>55</v>
      </c>
      <c r="B57">
        <v>59</v>
      </c>
      <c r="C57">
        <v>65</v>
      </c>
      <c r="D57">
        <v>0.90769230769230769</v>
      </c>
      <c r="F57" s="4" t="s">
        <v>42</v>
      </c>
      <c r="G57">
        <v>56</v>
      </c>
      <c r="H57">
        <v>255</v>
      </c>
      <c r="I57">
        <v>311</v>
      </c>
      <c r="L57" s="7" t="s">
        <v>23</v>
      </c>
      <c r="M57" s="5">
        <f>GETPIVOTDATA("Order ID",$L$45,"Region","West","Order Status","Delivered")/GETPIVOTDATA("Order ID",$L$45,"Region","West")</f>
        <v>0.71159029649595684</v>
      </c>
      <c r="T57" s="4" t="s">
        <v>1583</v>
      </c>
      <c r="U57" s="21">
        <v>0.65205479452054793</v>
      </c>
    </row>
    <row r="58" spans="1:21" x14ac:dyDescent="0.3">
      <c r="A58" s="4" t="s">
        <v>19</v>
      </c>
      <c r="B58">
        <v>62</v>
      </c>
      <c r="C58">
        <v>74</v>
      </c>
      <c r="D58">
        <v>0.83783783783783783</v>
      </c>
      <c r="F58" s="9" t="s">
        <v>146</v>
      </c>
      <c r="G58">
        <v>3</v>
      </c>
      <c r="H58">
        <v>8</v>
      </c>
      <c r="I58">
        <v>11</v>
      </c>
      <c r="T58" s="4" t="s">
        <v>38</v>
      </c>
      <c r="U58" s="21">
        <v>0.67948717948717952</v>
      </c>
    </row>
    <row r="59" spans="1:21" x14ac:dyDescent="0.3">
      <c r="A59" s="4" t="s">
        <v>40</v>
      </c>
      <c r="B59">
        <v>60</v>
      </c>
      <c r="C59">
        <v>76</v>
      </c>
      <c r="D59">
        <v>0.78947368421052633</v>
      </c>
      <c r="F59" s="9" t="s">
        <v>19</v>
      </c>
      <c r="G59">
        <v>2</v>
      </c>
      <c r="H59">
        <v>13</v>
      </c>
      <c r="I59">
        <v>15</v>
      </c>
      <c r="L59" s="3" t="s">
        <v>1565</v>
      </c>
      <c r="M59" s="3" t="s">
        <v>1573</v>
      </c>
      <c r="T59" s="4" t="s">
        <v>32</v>
      </c>
      <c r="U59" s="21">
        <v>0.64438502673796794</v>
      </c>
    </row>
    <row r="60" spans="1:21" x14ac:dyDescent="0.3">
      <c r="A60" s="4" t="s">
        <v>109</v>
      </c>
      <c r="B60">
        <v>61</v>
      </c>
      <c r="C60">
        <v>79</v>
      </c>
      <c r="D60">
        <v>0.77215189873417722</v>
      </c>
      <c r="F60" s="9" t="s">
        <v>109</v>
      </c>
      <c r="H60">
        <v>24</v>
      </c>
      <c r="I60">
        <v>24</v>
      </c>
      <c r="L60" s="3" t="s">
        <v>1563</v>
      </c>
      <c r="M60" t="s">
        <v>43</v>
      </c>
      <c r="N60" t="s">
        <v>26</v>
      </c>
      <c r="O60" t="s">
        <v>59</v>
      </c>
      <c r="P60" t="s">
        <v>81</v>
      </c>
      <c r="Q60" t="s">
        <v>1564</v>
      </c>
      <c r="T60" s="4" t="s">
        <v>23</v>
      </c>
      <c r="U60" s="21">
        <v>0.71159029649595684</v>
      </c>
    </row>
    <row r="61" spans="1:21" x14ac:dyDescent="0.3">
      <c r="A61" s="4" t="s">
        <v>49</v>
      </c>
      <c r="B61">
        <v>54</v>
      </c>
      <c r="C61">
        <v>70</v>
      </c>
      <c r="D61">
        <v>0.77142857142857146</v>
      </c>
      <c r="F61" s="9" t="s">
        <v>72</v>
      </c>
      <c r="G61">
        <v>8</v>
      </c>
      <c r="H61">
        <v>7</v>
      </c>
      <c r="I61">
        <v>15</v>
      </c>
      <c r="L61" s="4" t="s">
        <v>77</v>
      </c>
      <c r="M61">
        <v>11</v>
      </c>
      <c r="N61">
        <v>52</v>
      </c>
      <c r="O61">
        <v>12</v>
      </c>
      <c r="P61">
        <v>10</v>
      </c>
      <c r="Q61">
        <v>85</v>
      </c>
      <c r="T61" s="4" t="s">
        <v>1564</v>
      </c>
      <c r="U61" s="21">
        <v>2.6875172972416523</v>
      </c>
    </row>
    <row r="62" spans="1:21" x14ac:dyDescent="0.3">
      <c r="A62" s="4" t="s">
        <v>83</v>
      </c>
      <c r="B62">
        <v>53</v>
      </c>
      <c r="C62">
        <v>72</v>
      </c>
      <c r="D62">
        <v>0.73611111111111116</v>
      </c>
      <c r="F62" s="9" t="s">
        <v>80</v>
      </c>
      <c r="G62">
        <v>3</v>
      </c>
      <c r="H62">
        <v>13</v>
      </c>
      <c r="I62">
        <v>16</v>
      </c>
      <c r="L62" s="4" t="s">
        <v>89</v>
      </c>
      <c r="M62">
        <v>9</v>
      </c>
      <c r="N62">
        <v>52</v>
      </c>
      <c r="O62">
        <v>2</v>
      </c>
      <c r="P62">
        <v>9</v>
      </c>
      <c r="Q62">
        <v>72</v>
      </c>
    </row>
    <row r="63" spans="1:21" x14ac:dyDescent="0.3">
      <c r="A63" s="4" t="s">
        <v>45</v>
      </c>
      <c r="B63">
        <v>51</v>
      </c>
      <c r="C63">
        <v>70</v>
      </c>
      <c r="D63">
        <v>0.72857142857142854</v>
      </c>
      <c r="F63" s="9" t="s">
        <v>87</v>
      </c>
      <c r="G63">
        <v>3</v>
      </c>
      <c r="H63">
        <v>12</v>
      </c>
      <c r="I63">
        <v>15</v>
      </c>
      <c r="L63" s="4" t="s">
        <v>52</v>
      </c>
      <c r="M63">
        <v>11</v>
      </c>
      <c r="N63">
        <v>58</v>
      </c>
      <c r="O63">
        <v>8</v>
      </c>
      <c r="P63">
        <v>8</v>
      </c>
      <c r="Q63">
        <v>85</v>
      </c>
    </row>
    <row r="64" spans="1:21" x14ac:dyDescent="0.3">
      <c r="A64" s="4" t="s">
        <v>52</v>
      </c>
      <c r="B64">
        <v>59</v>
      </c>
      <c r="C64">
        <v>85</v>
      </c>
      <c r="D64">
        <v>0.69411764705882351</v>
      </c>
      <c r="F64" s="9" t="s">
        <v>49</v>
      </c>
      <c r="G64">
        <v>3</v>
      </c>
      <c r="H64">
        <v>10</v>
      </c>
      <c r="I64">
        <v>13</v>
      </c>
      <c r="L64" s="4" t="s">
        <v>28</v>
      </c>
      <c r="M64">
        <v>10</v>
      </c>
      <c r="N64">
        <v>44</v>
      </c>
      <c r="O64">
        <v>15</v>
      </c>
      <c r="P64">
        <v>8</v>
      </c>
      <c r="Q64">
        <v>77</v>
      </c>
    </row>
    <row r="65" spans="1:17" x14ac:dyDescent="0.3">
      <c r="A65" s="4" t="s">
        <v>89</v>
      </c>
      <c r="B65">
        <v>47</v>
      </c>
      <c r="C65">
        <v>72</v>
      </c>
      <c r="D65">
        <v>0.65277777777777779</v>
      </c>
      <c r="F65" s="9" t="s">
        <v>28</v>
      </c>
      <c r="G65">
        <v>2</v>
      </c>
      <c r="H65">
        <v>16</v>
      </c>
      <c r="I65">
        <v>18</v>
      </c>
      <c r="L65" s="4" t="s">
        <v>146</v>
      </c>
      <c r="M65">
        <v>8</v>
      </c>
      <c r="N65">
        <v>42</v>
      </c>
      <c r="O65">
        <v>5</v>
      </c>
      <c r="P65">
        <v>8</v>
      </c>
      <c r="Q65">
        <v>63</v>
      </c>
    </row>
    <row r="66" spans="1:17" x14ac:dyDescent="0.3">
      <c r="A66" s="4" t="s">
        <v>80</v>
      </c>
      <c r="B66">
        <v>51</v>
      </c>
      <c r="C66">
        <v>81</v>
      </c>
      <c r="D66">
        <v>0.62962962962962965</v>
      </c>
      <c r="F66" s="9" t="s">
        <v>83</v>
      </c>
      <c r="G66">
        <v>2</v>
      </c>
      <c r="H66">
        <v>13</v>
      </c>
      <c r="I66">
        <v>15</v>
      </c>
      <c r="L66" s="4" t="s">
        <v>80</v>
      </c>
      <c r="M66">
        <v>7</v>
      </c>
      <c r="N66">
        <v>61</v>
      </c>
      <c r="O66">
        <v>6</v>
      </c>
      <c r="P66">
        <v>7</v>
      </c>
      <c r="Q66">
        <v>81</v>
      </c>
    </row>
    <row r="67" spans="1:17" x14ac:dyDescent="0.3">
      <c r="A67" s="4" t="s">
        <v>57</v>
      </c>
      <c r="B67">
        <v>39</v>
      </c>
      <c r="C67">
        <v>75</v>
      </c>
      <c r="D67">
        <v>0.52</v>
      </c>
      <c r="F67" s="9" t="s">
        <v>98</v>
      </c>
      <c r="G67">
        <v>3</v>
      </c>
      <c r="H67">
        <v>14</v>
      </c>
      <c r="I67">
        <v>17</v>
      </c>
      <c r="L67" s="4" t="s">
        <v>36</v>
      </c>
      <c r="M67">
        <v>10</v>
      </c>
      <c r="N67">
        <v>49</v>
      </c>
      <c r="O67">
        <v>17</v>
      </c>
      <c r="P67">
        <v>7</v>
      </c>
      <c r="Q67">
        <v>83</v>
      </c>
    </row>
    <row r="68" spans="1:17" x14ac:dyDescent="0.3">
      <c r="A68" s="4" t="s">
        <v>87</v>
      </c>
      <c r="B68">
        <v>22</v>
      </c>
      <c r="C68">
        <v>83</v>
      </c>
      <c r="D68">
        <v>0.26506024096385544</v>
      </c>
      <c r="F68" s="9" t="s">
        <v>68</v>
      </c>
      <c r="G68">
        <v>3</v>
      </c>
      <c r="H68">
        <v>12</v>
      </c>
      <c r="I68">
        <v>15</v>
      </c>
      <c r="L68" s="4" t="s">
        <v>68</v>
      </c>
      <c r="M68">
        <v>10</v>
      </c>
      <c r="N68">
        <v>46</v>
      </c>
      <c r="O68">
        <v>7</v>
      </c>
      <c r="P68">
        <v>7</v>
      </c>
      <c r="Q68">
        <v>70</v>
      </c>
    </row>
    <row r="69" spans="1:17" x14ac:dyDescent="0.3">
      <c r="A69" s="4" t="s">
        <v>1564</v>
      </c>
      <c r="B69">
        <v>1248</v>
      </c>
      <c r="C69">
        <v>1500</v>
      </c>
      <c r="D69">
        <v>0.83199999999999996</v>
      </c>
      <c r="F69" s="9" t="s">
        <v>57</v>
      </c>
      <c r="G69">
        <v>1</v>
      </c>
      <c r="H69">
        <v>13</v>
      </c>
      <c r="I69">
        <v>14</v>
      </c>
      <c r="L69" s="4" t="s">
        <v>62</v>
      </c>
      <c r="M69">
        <v>8</v>
      </c>
      <c r="N69">
        <v>59</v>
      </c>
      <c r="O69">
        <v>15</v>
      </c>
      <c r="P69">
        <v>6</v>
      </c>
      <c r="Q69">
        <v>88</v>
      </c>
    </row>
    <row r="70" spans="1:17" x14ac:dyDescent="0.3">
      <c r="F70" s="9" t="s">
        <v>77</v>
      </c>
      <c r="G70">
        <v>3</v>
      </c>
      <c r="H70">
        <v>13</v>
      </c>
      <c r="I70">
        <v>16</v>
      </c>
      <c r="L70" s="4" t="s">
        <v>49</v>
      </c>
      <c r="M70">
        <v>7</v>
      </c>
      <c r="N70">
        <v>49</v>
      </c>
      <c r="O70">
        <v>8</v>
      </c>
      <c r="P70">
        <v>6</v>
      </c>
      <c r="Q70">
        <v>70</v>
      </c>
    </row>
    <row r="71" spans="1:17" x14ac:dyDescent="0.3">
      <c r="F71" s="9" t="s">
        <v>36</v>
      </c>
      <c r="G71">
        <v>3</v>
      </c>
      <c r="H71">
        <v>21</v>
      </c>
      <c r="I71">
        <v>24</v>
      </c>
      <c r="L71" s="4" t="s">
        <v>87</v>
      </c>
      <c r="M71">
        <v>9</v>
      </c>
      <c r="N71">
        <v>54</v>
      </c>
      <c r="O71">
        <v>14</v>
      </c>
      <c r="P71">
        <v>6</v>
      </c>
      <c r="Q71">
        <v>83</v>
      </c>
    </row>
    <row r="72" spans="1:17" x14ac:dyDescent="0.3">
      <c r="F72" s="9" t="s">
        <v>45</v>
      </c>
      <c r="G72">
        <v>2</v>
      </c>
      <c r="H72">
        <v>12</v>
      </c>
      <c r="I72">
        <v>14</v>
      </c>
      <c r="L72" s="4" t="s">
        <v>45</v>
      </c>
      <c r="M72">
        <v>17</v>
      </c>
      <c r="N72">
        <v>40</v>
      </c>
      <c r="O72">
        <v>8</v>
      </c>
      <c r="P72">
        <v>5</v>
      </c>
      <c r="Q72">
        <v>70</v>
      </c>
    </row>
    <row r="73" spans="1:17" x14ac:dyDescent="0.3">
      <c r="A73" s="3" t="s">
        <v>1563</v>
      </c>
      <c r="B73" t="s">
        <v>1580</v>
      </c>
      <c r="C73" t="s">
        <v>1581</v>
      </c>
      <c r="D73" t="s">
        <v>1565</v>
      </c>
      <c r="F73" s="9" t="s">
        <v>52</v>
      </c>
      <c r="G73">
        <v>5</v>
      </c>
      <c r="H73">
        <v>13</v>
      </c>
      <c r="I73">
        <v>18</v>
      </c>
      <c r="L73" s="4" t="s">
        <v>83</v>
      </c>
      <c r="M73">
        <v>4</v>
      </c>
      <c r="N73">
        <v>52</v>
      </c>
      <c r="O73">
        <v>11</v>
      </c>
      <c r="P73">
        <v>5</v>
      </c>
      <c r="Q73">
        <v>72</v>
      </c>
    </row>
    <row r="74" spans="1:17" x14ac:dyDescent="0.3">
      <c r="A74" s="4" t="s">
        <v>34</v>
      </c>
      <c r="B74">
        <v>606</v>
      </c>
      <c r="C74">
        <v>0.7890625</v>
      </c>
      <c r="D74">
        <v>768</v>
      </c>
      <c r="F74" s="9" t="s">
        <v>62</v>
      </c>
      <c r="G74">
        <v>1</v>
      </c>
      <c r="H74">
        <v>11</v>
      </c>
      <c r="I74">
        <v>12</v>
      </c>
      <c r="L74" s="4" t="s">
        <v>72</v>
      </c>
      <c r="M74">
        <v>13</v>
      </c>
      <c r="N74">
        <v>42</v>
      </c>
      <c r="O74">
        <v>11</v>
      </c>
      <c r="P74">
        <v>5</v>
      </c>
      <c r="Q74">
        <v>71</v>
      </c>
    </row>
    <row r="75" spans="1:17" x14ac:dyDescent="0.3">
      <c r="A75" s="4" t="s">
        <v>25</v>
      </c>
      <c r="B75">
        <v>632</v>
      </c>
      <c r="C75">
        <v>4.9375</v>
      </c>
      <c r="D75">
        <v>128</v>
      </c>
      <c r="F75" s="9" t="s">
        <v>89</v>
      </c>
      <c r="G75">
        <v>3</v>
      </c>
      <c r="H75">
        <v>11</v>
      </c>
      <c r="I75">
        <v>14</v>
      </c>
      <c r="L75" s="4" t="s">
        <v>57</v>
      </c>
      <c r="M75">
        <v>4</v>
      </c>
      <c r="N75">
        <v>60</v>
      </c>
      <c r="O75">
        <v>6</v>
      </c>
      <c r="P75">
        <v>5</v>
      </c>
      <c r="Q75">
        <v>75</v>
      </c>
    </row>
    <row r="76" spans="1:17" x14ac:dyDescent="0.3">
      <c r="A76" s="4" t="s">
        <v>47</v>
      </c>
      <c r="B76">
        <v>10</v>
      </c>
      <c r="C76">
        <v>1.6556291390728478E-2</v>
      </c>
      <c r="D76">
        <v>604</v>
      </c>
      <c r="F76" s="9" t="s">
        <v>40</v>
      </c>
      <c r="G76">
        <v>4</v>
      </c>
      <c r="H76">
        <v>9</v>
      </c>
      <c r="I76">
        <v>13</v>
      </c>
      <c r="L76" s="4" t="s">
        <v>40</v>
      </c>
      <c r="M76">
        <v>7</v>
      </c>
      <c r="N76">
        <v>58</v>
      </c>
      <c r="O76">
        <v>7</v>
      </c>
      <c r="P76">
        <v>4</v>
      </c>
      <c r="Q76">
        <v>76</v>
      </c>
    </row>
    <row r="77" spans="1:17" x14ac:dyDescent="0.3">
      <c r="A77" s="4" t="s">
        <v>1564</v>
      </c>
      <c r="B77">
        <v>1248</v>
      </c>
      <c r="C77">
        <v>0.83199999999999996</v>
      </c>
      <c r="D77">
        <v>1500</v>
      </c>
      <c r="F77" s="9" t="s">
        <v>55</v>
      </c>
      <c r="G77">
        <v>2</v>
      </c>
      <c r="H77">
        <v>10</v>
      </c>
      <c r="I77">
        <v>12</v>
      </c>
      <c r="L77" s="4" t="s">
        <v>55</v>
      </c>
      <c r="M77">
        <v>7</v>
      </c>
      <c r="N77">
        <v>50</v>
      </c>
      <c r="O77">
        <v>4</v>
      </c>
      <c r="P77">
        <v>4</v>
      </c>
      <c r="Q77">
        <v>65</v>
      </c>
    </row>
    <row r="78" spans="1:17" x14ac:dyDescent="0.3">
      <c r="F78" s="4" t="s">
        <v>75</v>
      </c>
      <c r="G78">
        <v>55</v>
      </c>
      <c r="H78">
        <v>228</v>
      </c>
      <c r="I78">
        <v>283</v>
      </c>
      <c r="L78" s="4" t="s">
        <v>109</v>
      </c>
      <c r="M78">
        <v>16</v>
      </c>
      <c r="N78">
        <v>46</v>
      </c>
      <c r="O78">
        <v>13</v>
      </c>
      <c r="P78">
        <v>4</v>
      </c>
      <c r="Q78">
        <v>79</v>
      </c>
    </row>
    <row r="79" spans="1:17" x14ac:dyDescent="0.3">
      <c r="F79" s="9" t="s">
        <v>146</v>
      </c>
      <c r="G79">
        <v>4</v>
      </c>
      <c r="H79">
        <v>8</v>
      </c>
      <c r="I79">
        <v>12</v>
      </c>
      <c r="L79" s="4" t="s">
        <v>19</v>
      </c>
      <c r="M79">
        <v>5</v>
      </c>
      <c r="N79">
        <v>54</v>
      </c>
      <c r="O79">
        <v>11</v>
      </c>
      <c r="P79">
        <v>4</v>
      </c>
      <c r="Q79">
        <v>74</v>
      </c>
    </row>
    <row r="80" spans="1:17" x14ac:dyDescent="0.3">
      <c r="F80" s="9" t="s">
        <v>19</v>
      </c>
      <c r="G80">
        <v>10</v>
      </c>
      <c r="H80">
        <v>2</v>
      </c>
      <c r="I80">
        <v>12</v>
      </c>
      <c r="L80" s="4" t="s">
        <v>98</v>
      </c>
      <c r="M80">
        <v>5</v>
      </c>
      <c r="N80">
        <v>40</v>
      </c>
      <c r="O80">
        <v>12</v>
      </c>
      <c r="P80">
        <v>4</v>
      </c>
      <c r="Q80">
        <v>61</v>
      </c>
    </row>
    <row r="81" spans="6:17" x14ac:dyDescent="0.3">
      <c r="F81" s="9" t="s">
        <v>109</v>
      </c>
      <c r="G81">
        <v>1</v>
      </c>
      <c r="H81">
        <v>13</v>
      </c>
      <c r="I81">
        <v>14</v>
      </c>
      <c r="L81" s="4" t="s">
        <v>1564</v>
      </c>
      <c r="M81">
        <v>178</v>
      </c>
      <c r="N81">
        <v>1008</v>
      </c>
      <c r="O81">
        <v>192</v>
      </c>
      <c r="P81">
        <v>122</v>
      </c>
      <c r="Q81">
        <v>1500</v>
      </c>
    </row>
    <row r="82" spans="6:17" x14ac:dyDescent="0.3">
      <c r="F82" s="9" t="s">
        <v>72</v>
      </c>
      <c r="G82">
        <v>1</v>
      </c>
      <c r="H82">
        <v>10</v>
      </c>
      <c r="I82">
        <v>11</v>
      </c>
    </row>
    <row r="83" spans="6:17" ht="43.2" x14ac:dyDescent="0.3">
      <c r="F83" s="9" t="s">
        <v>80</v>
      </c>
      <c r="G83">
        <v>3</v>
      </c>
      <c r="H83">
        <v>12</v>
      </c>
      <c r="I83">
        <v>15</v>
      </c>
      <c r="L83" s="10" t="s">
        <v>2</v>
      </c>
      <c r="M83" s="13" t="s">
        <v>43</v>
      </c>
      <c r="N83" s="13" t="s">
        <v>1590</v>
      </c>
      <c r="O83" s="13" t="s">
        <v>1585</v>
      </c>
    </row>
    <row r="84" spans="6:17" x14ac:dyDescent="0.3">
      <c r="F84" s="9" t="s">
        <v>87</v>
      </c>
      <c r="G84">
        <v>3</v>
      </c>
      <c r="H84">
        <v>16</v>
      </c>
      <c r="I84">
        <v>19</v>
      </c>
      <c r="L84" s="11" t="s">
        <v>45</v>
      </c>
      <c r="M84" s="12">
        <v>17</v>
      </c>
      <c r="N84" s="12">
        <v>70</v>
      </c>
      <c r="O84" s="14">
        <f>M84/N84</f>
        <v>0.24285714285714285</v>
      </c>
    </row>
    <row r="85" spans="6:17" x14ac:dyDescent="0.3">
      <c r="F85" s="9" t="s">
        <v>49</v>
      </c>
      <c r="G85">
        <v>1</v>
      </c>
      <c r="H85">
        <v>11</v>
      </c>
      <c r="I85">
        <v>12</v>
      </c>
      <c r="L85" s="11" t="s">
        <v>109</v>
      </c>
      <c r="M85" s="12">
        <v>16</v>
      </c>
      <c r="N85" s="12">
        <v>79</v>
      </c>
      <c r="O85" s="14">
        <f t="shared" ref="O85:O88" si="0">M85/N85</f>
        <v>0.20253164556962025</v>
      </c>
    </row>
    <row r="86" spans="6:17" x14ac:dyDescent="0.3">
      <c r="F86" s="9" t="s">
        <v>28</v>
      </c>
      <c r="G86">
        <v>1</v>
      </c>
      <c r="H86">
        <v>15</v>
      </c>
      <c r="I86">
        <v>16</v>
      </c>
      <c r="L86" s="11" t="s">
        <v>72</v>
      </c>
      <c r="M86" s="12">
        <v>13</v>
      </c>
      <c r="N86" s="12">
        <v>71</v>
      </c>
      <c r="O86" s="14">
        <f t="shared" si="0"/>
        <v>0.18309859154929578</v>
      </c>
    </row>
    <row r="87" spans="6:17" x14ac:dyDescent="0.3">
      <c r="F87" s="9" t="s">
        <v>83</v>
      </c>
      <c r="G87">
        <v>2</v>
      </c>
      <c r="H87">
        <v>11</v>
      </c>
      <c r="I87">
        <v>13</v>
      </c>
      <c r="L87" s="11" t="s">
        <v>52</v>
      </c>
      <c r="M87" s="12">
        <v>11</v>
      </c>
      <c r="N87" s="12">
        <v>85</v>
      </c>
      <c r="O87" s="14">
        <f t="shared" si="0"/>
        <v>0.12941176470588237</v>
      </c>
    </row>
    <row r="88" spans="6:17" x14ac:dyDescent="0.3">
      <c r="F88" s="9" t="s">
        <v>98</v>
      </c>
      <c r="G88">
        <v>3</v>
      </c>
      <c r="H88">
        <v>8</v>
      </c>
      <c r="I88">
        <v>11</v>
      </c>
      <c r="L88" s="11" t="s">
        <v>77</v>
      </c>
      <c r="M88" s="12">
        <v>11</v>
      </c>
      <c r="N88" s="12">
        <v>85</v>
      </c>
      <c r="O88" s="14">
        <f t="shared" si="0"/>
        <v>0.12941176470588237</v>
      </c>
    </row>
    <row r="89" spans="6:17" x14ac:dyDescent="0.3">
      <c r="F89" s="9" t="s">
        <v>68</v>
      </c>
      <c r="G89">
        <v>3</v>
      </c>
      <c r="H89">
        <v>15</v>
      </c>
      <c r="I89">
        <v>18</v>
      </c>
    </row>
    <row r="90" spans="6:17" ht="28.8" x14ac:dyDescent="0.3">
      <c r="F90" s="9" t="s">
        <v>57</v>
      </c>
      <c r="G90">
        <v>2</v>
      </c>
      <c r="H90">
        <v>8</v>
      </c>
      <c r="I90">
        <v>10</v>
      </c>
      <c r="L90" s="10" t="s">
        <v>2</v>
      </c>
      <c r="M90" s="13" t="s">
        <v>59</v>
      </c>
      <c r="N90" s="13" t="s">
        <v>1590</v>
      </c>
      <c r="O90" s="13" t="s">
        <v>1586</v>
      </c>
    </row>
    <row r="91" spans="6:17" x14ac:dyDescent="0.3">
      <c r="F91" s="9" t="s">
        <v>77</v>
      </c>
      <c r="G91">
        <v>4</v>
      </c>
      <c r="H91">
        <v>13</v>
      </c>
      <c r="I91">
        <v>17</v>
      </c>
      <c r="L91" s="15" t="s">
        <v>36</v>
      </c>
      <c r="M91" s="13">
        <v>17</v>
      </c>
      <c r="N91" s="12">
        <v>83</v>
      </c>
      <c r="O91" s="14">
        <f>M91/N91</f>
        <v>0.20481927710843373</v>
      </c>
    </row>
    <row r="92" spans="6:17" x14ac:dyDescent="0.3">
      <c r="F92" s="9" t="s">
        <v>36</v>
      </c>
      <c r="G92">
        <v>2</v>
      </c>
      <c r="H92">
        <v>8</v>
      </c>
      <c r="I92">
        <v>10</v>
      </c>
      <c r="L92" s="15" t="s">
        <v>28</v>
      </c>
      <c r="M92" s="13">
        <v>15</v>
      </c>
      <c r="N92" s="12">
        <v>77</v>
      </c>
      <c r="O92" s="14">
        <f t="shared" ref="O92:O95" si="1">M92/N92</f>
        <v>0.19480519480519481</v>
      </c>
    </row>
    <row r="93" spans="6:17" x14ac:dyDescent="0.3">
      <c r="F93" s="9" t="s">
        <v>45</v>
      </c>
      <c r="G93">
        <v>2</v>
      </c>
      <c r="H93">
        <v>14</v>
      </c>
      <c r="I93">
        <v>16</v>
      </c>
      <c r="L93" s="15" t="s">
        <v>62</v>
      </c>
      <c r="M93" s="13">
        <v>15</v>
      </c>
      <c r="N93" s="12">
        <v>88</v>
      </c>
      <c r="O93" s="14">
        <f t="shared" si="1"/>
        <v>0.17045454545454544</v>
      </c>
    </row>
    <row r="94" spans="6:17" x14ac:dyDescent="0.3">
      <c r="F94" s="9" t="s">
        <v>52</v>
      </c>
      <c r="G94">
        <v>2</v>
      </c>
      <c r="H94">
        <v>16</v>
      </c>
      <c r="I94">
        <v>18</v>
      </c>
      <c r="L94" s="11" t="s">
        <v>87</v>
      </c>
      <c r="M94" s="12">
        <v>14</v>
      </c>
      <c r="N94" s="12">
        <v>83</v>
      </c>
      <c r="O94" s="14">
        <f t="shared" si="1"/>
        <v>0.16867469879518071</v>
      </c>
    </row>
    <row r="95" spans="6:17" x14ac:dyDescent="0.3">
      <c r="F95" s="9" t="s">
        <v>62</v>
      </c>
      <c r="G95">
        <v>2</v>
      </c>
      <c r="H95">
        <v>17</v>
      </c>
      <c r="I95">
        <v>19</v>
      </c>
      <c r="L95" s="11" t="s">
        <v>109</v>
      </c>
      <c r="M95" s="12">
        <v>13</v>
      </c>
      <c r="N95" s="12">
        <v>79</v>
      </c>
      <c r="O95" s="14">
        <f t="shared" si="1"/>
        <v>0.16455696202531644</v>
      </c>
    </row>
    <row r="96" spans="6:17" x14ac:dyDescent="0.3">
      <c r="F96" s="9" t="s">
        <v>89</v>
      </c>
      <c r="G96">
        <v>3</v>
      </c>
      <c r="H96">
        <v>11</v>
      </c>
      <c r="I96">
        <v>14</v>
      </c>
    </row>
    <row r="97" spans="6:15" x14ac:dyDescent="0.3">
      <c r="F97" s="9" t="s">
        <v>40</v>
      </c>
      <c r="G97">
        <v>4</v>
      </c>
      <c r="H97">
        <v>6</v>
      </c>
      <c r="I97">
        <v>10</v>
      </c>
    </row>
    <row r="98" spans="6:15" ht="28.8" x14ac:dyDescent="0.3">
      <c r="F98" s="9" t="s">
        <v>55</v>
      </c>
      <c r="G98">
        <v>2</v>
      </c>
      <c r="H98">
        <v>14</v>
      </c>
      <c r="I98">
        <v>16</v>
      </c>
      <c r="L98" s="10" t="s">
        <v>2</v>
      </c>
      <c r="M98" s="13" t="s">
        <v>81</v>
      </c>
      <c r="N98" s="13" t="s">
        <v>1590</v>
      </c>
      <c r="O98" s="13" t="s">
        <v>1587</v>
      </c>
    </row>
    <row r="99" spans="6:15" x14ac:dyDescent="0.3">
      <c r="F99" s="4" t="s">
        <v>21</v>
      </c>
      <c r="G99">
        <v>55</v>
      </c>
      <c r="H99">
        <v>243</v>
      </c>
      <c r="I99">
        <v>298</v>
      </c>
      <c r="L99" s="15" t="s">
        <v>77</v>
      </c>
      <c r="M99" s="12">
        <v>10</v>
      </c>
      <c r="N99" s="12">
        <v>85</v>
      </c>
      <c r="O99" s="14">
        <f>M99/N99</f>
        <v>0.11764705882352941</v>
      </c>
    </row>
    <row r="100" spans="6:15" x14ac:dyDescent="0.3">
      <c r="F100" s="9" t="s">
        <v>146</v>
      </c>
      <c r="G100">
        <v>2</v>
      </c>
      <c r="H100">
        <v>14</v>
      </c>
      <c r="I100">
        <v>16</v>
      </c>
      <c r="L100" s="15" t="s">
        <v>89</v>
      </c>
      <c r="M100" s="12">
        <v>9</v>
      </c>
      <c r="N100" s="12">
        <v>72</v>
      </c>
      <c r="O100" s="14">
        <f t="shared" ref="O100:O103" si="2">M100/N100</f>
        <v>0.125</v>
      </c>
    </row>
    <row r="101" spans="6:15" x14ac:dyDescent="0.3">
      <c r="F101" s="9" t="s">
        <v>19</v>
      </c>
      <c r="G101">
        <v>5</v>
      </c>
      <c r="H101">
        <v>14</v>
      </c>
      <c r="I101">
        <v>19</v>
      </c>
      <c r="L101" s="11" t="s">
        <v>52</v>
      </c>
      <c r="M101" s="12">
        <v>8</v>
      </c>
      <c r="N101" s="12">
        <v>85</v>
      </c>
      <c r="O101" s="14">
        <f t="shared" si="2"/>
        <v>9.4117647058823528E-2</v>
      </c>
    </row>
    <row r="102" spans="6:15" x14ac:dyDescent="0.3">
      <c r="F102" s="9" t="s">
        <v>109</v>
      </c>
      <c r="G102">
        <v>3</v>
      </c>
      <c r="H102">
        <v>5</v>
      </c>
      <c r="I102">
        <v>8</v>
      </c>
      <c r="L102" s="11" t="s">
        <v>28</v>
      </c>
      <c r="M102" s="12">
        <v>8</v>
      </c>
      <c r="N102" s="12">
        <v>77</v>
      </c>
      <c r="O102" s="14">
        <f t="shared" si="2"/>
        <v>0.1038961038961039</v>
      </c>
    </row>
    <row r="103" spans="6:15" x14ac:dyDescent="0.3">
      <c r="F103" s="9" t="s">
        <v>72</v>
      </c>
      <c r="G103">
        <v>2</v>
      </c>
      <c r="H103">
        <v>12</v>
      </c>
      <c r="I103">
        <v>14</v>
      </c>
      <c r="L103" s="11" t="s">
        <v>146</v>
      </c>
      <c r="M103" s="12">
        <v>8</v>
      </c>
      <c r="N103" s="12">
        <v>63</v>
      </c>
      <c r="O103" s="14">
        <f t="shared" si="2"/>
        <v>0.12698412698412698</v>
      </c>
    </row>
    <row r="104" spans="6:15" x14ac:dyDescent="0.3">
      <c r="F104" s="9" t="s">
        <v>80</v>
      </c>
      <c r="G104">
        <v>2</v>
      </c>
      <c r="H104">
        <v>18</v>
      </c>
      <c r="I104">
        <v>20</v>
      </c>
    </row>
    <row r="105" spans="6:15" x14ac:dyDescent="0.3">
      <c r="F105" s="9" t="s">
        <v>87</v>
      </c>
      <c r="G105">
        <v>1</v>
      </c>
      <c r="H105">
        <v>10</v>
      </c>
      <c r="I105">
        <v>11</v>
      </c>
    </row>
    <row r="106" spans="6:15" x14ac:dyDescent="0.3">
      <c r="F106" s="9" t="s">
        <v>49</v>
      </c>
      <c r="G106">
        <v>3</v>
      </c>
      <c r="H106">
        <v>13</v>
      </c>
      <c r="I106">
        <v>16</v>
      </c>
      <c r="L106" s="3" t="s">
        <v>1563</v>
      </c>
      <c r="M106" t="s">
        <v>1581</v>
      </c>
    </row>
    <row r="107" spans="6:15" x14ac:dyDescent="0.3">
      <c r="F107" s="9" t="s">
        <v>28</v>
      </c>
      <c r="G107">
        <v>7</v>
      </c>
      <c r="H107">
        <v>6</v>
      </c>
      <c r="I107">
        <v>13</v>
      </c>
      <c r="L107" s="4" t="s">
        <v>72</v>
      </c>
      <c r="M107">
        <v>1.2535211267605635</v>
      </c>
    </row>
    <row r="108" spans="6:15" x14ac:dyDescent="0.3">
      <c r="F108" s="9" t="s">
        <v>83</v>
      </c>
      <c r="G108">
        <v>2</v>
      </c>
      <c r="H108">
        <v>15</v>
      </c>
      <c r="I108">
        <v>17</v>
      </c>
      <c r="L108" s="4" t="s">
        <v>28</v>
      </c>
      <c r="M108">
        <v>1.1688311688311688</v>
      </c>
    </row>
    <row r="109" spans="6:15" x14ac:dyDescent="0.3">
      <c r="F109" s="9" t="s">
        <v>98</v>
      </c>
      <c r="G109">
        <v>1</v>
      </c>
      <c r="H109">
        <v>8</v>
      </c>
      <c r="I109">
        <v>9</v>
      </c>
      <c r="L109" s="4" t="s">
        <v>68</v>
      </c>
      <c r="M109">
        <v>1.1285714285714286</v>
      </c>
    </row>
    <row r="110" spans="6:15" x14ac:dyDescent="0.3">
      <c r="F110" s="9" t="s">
        <v>68</v>
      </c>
      <c r="G110">
        <v>5</v>
      </c>
      <c r="H110">
        <v>13</v>
      </c>
      <c r="I110">
        <v>18</v>
      </c>
      <c r="L110" s="4" t="s">
        <v>62</v>
      </c>
      <c r="M110">
        <v>1.1136363636363635</v>
      </c>
    </row>
    <row r="111" spans="6:15" x14ac:dyDescent="0.3">
      <c r="F111" s="9" t="s">
        <v>57</v>
      </c>
      <c r="G111">
        <v>4</v>
      </c>
      <c r="H111">
        <v>15</v>
      </c>
      <c r="I111">
        <v>19</v>
      </c>
      <c r="L111" s="4" t="s">
        <v>77</v>
      </c>
      <c r="M111">
        <v>0.95294117647058818</v>
      </c>
    </row>
    <row r="112" spans="6:15" x14ac:dyDescent="0.3">
      <c r="F112" s="9" t="s">
        <v>77</v>
      </c>
      <c r="G112">
        <v>1</v>
      </c>
      <c r="H112">
        <v>13</v>
      </c>
      <c r="I112">
        <v>14</v>
      </c>
      <c r="L112" s="4" t="s">
        <v>36</v>
      </c>
      <c r="M112">
        <v>0.93975903614457834</v>
      </c>
    </row>
    <row r="113" spans="6:13" x14ac:dyDescent="0.3">
      <c r="F113" s="9" t="s">
        <v>36</v>
      </c>
      <c r="G113">
        <v>4</v>
      </c>
      <c r="H113">
        <v>14</v>
      </c>
      <c r="I113">
        <v>18</v>
      </c>
      <c r="L113" s="4" t="s">
        <v>98</v>
      </c>
      <c r="M113">
        <v>0.93442622950819676</v>
      </c>
    </row>
    <row r="114" spans="6:13" x14ac:dyDescent="0.3">
      <c r="F114" s="9" t="s">
        <v>45</v>
      </c>
      <c r="G114">
        <v>1</v>
      </c>
      <c r="H114">
        <v>13</v>
      </c>
      <c r="I114">
        <v>14</v>
      </c>
      <c r="L114" s="4" t="s">
        <v>146</v>
      </c>
      <c r="M114">
        <v>0.92063492063492058</v>
      </c>
    </row>
    <row r="115" spans="6:13" x14ac:dyDescent="0.3">
      <c r="F115" s="9" t="s">
        <v>52</v>
      </c>
      <c r="G115">
        <v>2</v>
      </c>
      <c r="H115">
        <v>12</v>
      </c>
      <c r="I115">
        <v>14</v>
      </c>
      <c r="L115" s="4" t="s">
        <v>55</v>
      </c>
      <c r="M115">
        <v>0.90769230769230769</v>
      </c>
    </row>
    <row r="116" spans="6:13" x14ac:dyDescent="0.3">
      <c r="F116" s="9" t="s">
        <v>62</v>
      </c>
      <c r="G116">
        <v>4</v>
      </c>
      <c r="H116">
        <v>15</v>
      </c>
      <c r="I116">
        <v>19</v>
      </c>
      <c r="L116" s="4" t="s">
        <v>19</v>
      </c>
      <c r="M116">
        <v>0.83783783783783783</v>
      </c>
    </row>
    <row r="117" spans="6:13" x14ac:dyDescent="0.3">
      <c r="F117" s="9" t="s">
        <v>89</v>
      </c>
      <c r="G117">
        <v>1</v>
      </c>
      <c r="H117">
        <v>8</v>
      </c>
      <c r="I117">
        <v>9</v>
      </c>
      <c r="L117" s="4" t="s">
        <v>40</v>
      </c>
      <c r="M117">
        <v>0.78947368421052633</v>
      </c>
    </row>
    <row r="118" spans="6:13" x14ac:dyDescent="0.3">
      <c r="F118" s="9" t="s">
        <v>40</v>
      </c>
      <c r="G118">
        <v>3</v>
      </c>
      <c r="H118">
        <v>14</v>
      </c>
      <c r="I118">
        <v>17</v>
      </c>
      <c r="L118" s="4" t="s">
        <v>109</v>
      </c>
      <c r="M118">
        <v>0.77215189873417722</v>
      </c>
    </row>
    <row r="119" spans="6:13" x14ac:dyDescent="0.3">
      <c r="F119" s="9" t="s">
        <v>55</v>
      </c>
      <c r="G119">
        <v>2</v>
      </c>
      <c r="H119">
        <v>11</v>
      </c>
      <c r="I119">
        <v>13</v>
      </c>
      <c r="L119" s="4" t="s">
        <v>49</v>
      </c>
      <c r="M119">
        <v>0.77142857142857146</v>
      </c>
    </row>
    <row r="120" spans="6:13" x14ac:dyDescent="0.3">
      <c r="F120" s="4" t="s">
        <v>1564</v>
      </c>
      <c r="G120">
        <v>273</v>
      </c>
      <c r="H120">
        <v>1227</v>
      </c>
      <c r="I120">
        <v>1500</v>
      </c>
      <c r="L120" s="4" t="s">
        <v>83</v>
      </c>
      <c r="M120">
        <v>0.73611111111111116</v>
      </c>
    </row>
    <row r="121" spans="6:13" x14ac:dyDescent="0.3">
      <c r="L121" s="4" t="s">
        <v>45</v>
      </c>
      <c r="M121">
        <v>0.72857142857142854</v>
      </c>
    </row>
    <row r="122" spans="6:13" x14ac:dyDescent="0.3">
      <c r="F122" s="9" t="s">
        <v>1575</v>
      </c>
      <c r="G122" s="5">
        <f>GETPIVOTDATA("Order ID",$F$13,"Product","Sneakers","Supplier","GlobalMart","Supplier Delivery Status","Late")/GETPIVOTDATA("Order ID",$F$13,"Product","Sneakers","Supplier","GlobalMart")</f>
        <v>0.6428571428571429</v>
      </c>
      <c r="L122" s="4" t="s">
        <v>52</v>
      </c>
      <c r="M122">
        <v>0.69411764705882351</v>
      </c>
    </row>
    <row r="123" spans="6:13" x14ac:dyDescent="0.3">
      <c r="F123" s="9" t="s">
        <v>1576</v>
      </c>
      <c r="G123" s="5">
        <f>GETPIVOTDATA("Order ID",$F$13,"Product","Bluetooth Speaker","Supplier","TechSource","Supplier Delivery Status","Late")/GETPIVOTDATA("Order ID",$F$13,"Product","Bluetooth Speaker","Supplier","TechSource")</f>
        <v>0.83333333333333337</v>
      </c>
      <c r="L123" s="4" t="s">
        <v>89</v>
      </c>
      <c r="M123">
        <v>0.65277777777777779</v>
      </c>
    </row>
    <row r="124" spans="6:13" x14ac:dyDescent="0.3">
      <c r="F124" s="9" t="s">
        <v>1577</v>
      </c>
      <c r="G124" s="5">
        <f>GETPIVOTDATA("Order ID",$F$13,"Product","Coffee Maker","Supplier","GlobalMart","Supplier Delivery Status","Late")/GETPIVOTDATA("Order ID",$F$13,"Product","Coffee Maker","Supplier","GlobalMart")</f>
        <v>0.5</v>
      </c>
      <c r="L124" s="4" t="s">
        <v>80</v>
      </c>
      <c r="M124">
        <v>0.62962962962962965</v>
      </c>
    </row>
    <row r="125" spans="6:13" x14ac:dyDescent="0.3">
      <c r="F125" s="9" t="s">
        <v>1578</v>
      </c>
      <c r="G125" s="5">
        <f>GETPIVOTDATA("Order ID",$F$13,"Product","Cricket Bat","Supplier","PrimeGoods","Supplier Delivery Status","Late")/GETPIVOTDATA("Order ID",$F$13,"Product","Cricket Bat","Supplier","PrimeGoods")</f>
        <v>0.53333333333333333</v>
      </c>
      <c r="L125" s="4" t="s">
        <v>57</v>
      </c>
      <c r="M125">
        <v>0.52</v>
      </c>
    </row>
    <row r="126" spans="6:13" x14ac:dyDescent="0.3">
      <c r="F126" s="9" t="s">
        <v>1579</v>
      </c>
      <c r="G126" s="5">
        <f>GETPIVOTDATA("Order ID",$F$13,"Product","Hoodie","Supplier","UrbanSupply","Supplier Delivery Status","Late")/GETPIVOTDATA("Order ID",$F$13,"Product","Hoodie","Supplier","UrbanSupply")</f>
        <v>0.53846153846153844</v>
      </c>
      <c r="L126" s="4" t="s">
        <v>87</v>
      </c>
      <c r="M126">
        <v>0.26506024096385544</v>
      </c>
    </row>
    <row r="127" spans="6:13" x14ac:dyDescent="0.3">
      <c r="L127" s="4" t="s">
        <v>1564</v>
      </c>
      <c r="M127">
        <v>0.83199999999999996</v>
      </c>
    </row>
    <row r="128" spans="6:13" ht="28.8" x14ac:dyDescent="0.3">
      <c r="F128" s="10" t="s">
        <v>4</v>
      </c>
      <c r="G128" s="13" t="s">
        <v>1574</v>
      </c>
    </row>
    <row r="129" spans="6:7" x14ac:dyDescent="0.3">
      <c r="F129" s="11" t="s">
        <v>58</v>
      </c>
      <c r="G129" s="20">
        <v>0.19220000000000001</v>
      </c>
    </row>
    <row r="130" spans="6:7" x14ac:dyDescent="0.3">
      <c r="F130" s="11" t="s">
        <v>21</v>
      </c>
      <c r="G130" s="20">
        <v>0.19220000000000001</v>
      </c>
    </row>
    <row r="131" spans="6:7" x14ac:dyDescent="0.3">
      <c r="F131" s="11" t="s">
        <v>42</v>
      </c>
      <c r="G131" s="20">
        <v>0.18010000000000001</v>
      </c>
    </row>
    <row r="132" spans="6:7" x14ac:dyDescent="0.3">
      <c r="F132" s="11" t="s">
        <v>30</v>
      </c>
      <c r="G132" s="20">
        <v>0.15640000000000001</v>
      </c>
    </row>
    <row r="133" spans="6:7" x14ac:dyDescent="0.3">
      <c r="F133" s="11" t="s">
        <v>75</v>
      </c>
      <c r="G133" s="20">
        <v>0.15640000000000001</v>
      </c>
    </row>
  </sheetData>
  <pageMargins left="0.7" right="0.7" top="0.75" bottom="0.75" header="0.3" footer="0.3"/>
  <pageSetup orientation="portrait" r:id="rId16"/>
  <tableParts count="2">
    <tablePart r:id="rId17"/>
    <tablePart r:id="rId1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F3C83-3ED1-4F8C-B7C7-70BE2CDDC1D3}">
  <dimension ref="A1:F102"/>
  <sheetViews>
    <sheetView tabSelected="1" zoomScale="90" zoomScaleNormal="90" workbookViewId="0">
      <selection activeCell="J62" sqref="J62"/>
    </sheetView>
  </sheetViews>
  <sheetFormatPr defaultRowHeight="14.4" x14ac:dyDescent="0.3"/>
  <cols>
    <col min="1" max="1" width="13.5546875" bestFit="1" customWidth="1"/>
    <col min="2" max="2" width="17.21875" bestFit="1" customWidth="1"/>
    <col min="3" max="3" width="18.6640625" bestFit="1" customWidth="1"/>
    <col min="4" max="4" width="15.88671875" bestFit="1" customWidth="1"/>
    <col min="5" max="5" width="22.77734375" bestFit="1" customWidth="1"/>
    <col min="6" max="6" width="27.109375" customWidth="1"/>
  </cols>
  <sheetData>
    <row r="1" spans="1:6" x14ac:dyDescent="0.3">
      <c r="A1" s="22" t="s">
        <v>1591</v>
      </c>
      <c r="B1" s="22"/>
      <c r="C1" s="22"/>
      <c r="D1" s="22"/>
      <c r="E1" s="22"/>
      <c r="F1" s="22"/>
    </row>
    <row r="2" spans="1:6" ht="28.8" customHeight="1" x14ac:dyDescent="0.3">
      <c r="A2" s="16" t="s">
        <v>1592</v>
      </c>
      <c r="B2" s="16" t="s">
        <v>1593</v>
      </c>
      <c r="C2" s="16" t="s">
        <v>1594</v>
      </c>
      <c r="D2" s="16" t="s">
        <v>1595</v>
      </c>
      <c r="E2" s="16" t="s">
        <v>1596</v>
      </c>
      <c r="F2" s="16" t="s">
        <v>1597</v>
      </c>
    </row>
    <row r="3" spans="1:6" ht="26.4" customHeight="1" x14ac:dyDescent="0.3">
      <c r="A3" s="17">
        <f>GETPIVOTDATA("Count of Order ID",Analysis!$A$3)</f>
        <v>1500</v>
      </c>
      <c r="B3" s="18">
        <f>Analysis!M43</f>
        <v>0.67200000000000004</v>
      </c>
      <c r="C3" s="18">
        <f>Analysis!M40</f>
        <v>0.11866666666666667</v>
      </c>
      <c r="D3" s="17">
        <f>GETPIVOTDATA("Order ID",Analysis!$L$33,"Order Status","Pending")</f>
        <v>192</v>
      </c>
      <c r="E3" s="19">
        <f>GETPIVOTDATA("Inventory Value",Analysis!$L$25)</f>
        <v>289285744.00999999</v>
      </c>
      <c r="F3" s="19">
        <f>GETPIVOTDATA("Inventory Value",Analysis!$L$25,"Inventory Status","Overstock")</f>
        <v>163037957.03999996</v>
      </c>
    </row>
    <row r="84" spans="1:2" ht="18" x14ac:dyDescent="0.3">
      <c r="A84" s="23" t="s">
        <v>1599</v>
      </c>
      <c r="B84" s="23"/>
    </row>
    <row r="86" spans="1:2" x14ac:dyDescent="0.3">
      <c r="A86" s="8" t="s">
        <v>1600</v>
      </c>
    </row>
    <row r="87" spans="1:2" x14ac:dyDescent="0.3">
      <c r="A87" t="s">
        <v>1601</v>
      </c>
    </row>
    <row r="89" spans="1:2" x14ac:dyDescent="0.3">
      <c r="A89" s="8" t="s">
        <v>1602</v>
      </c>
    </row>
    <row r="90" spans="1:2" x14ac:dyDescent="0.3">
      <c r="A90" t="s">
        <v>1603</v>
      </c>
    </row>
    <row r="92" spans="1:2" x14ac:dyDescent="0.3">
      <c r="A92" s="8" t="s">
        <v>1604</v>
      </c>
    </row>
    <row r="93" spans="1:2" x14ac:dyDescent="0.3">
      <c r="A93" t="s">
        <v>1605</v>
      </c>
    </row>
    <row r="95" spans="1:2" x14ac:dyDescent="0.3">
      <c r="A95" s="8" t="s">
        <v>1606</v>
      </c>
    </row>
    <row r="96" spans="1:2" x14ac:dyDescent="0.3">
      <c r="A96" t="s">
        <v>1607</v>
      </c>
    </row>
    <row r="98" spans="1:1" x14ac:dyDescent="0.3">
      <c r="A98" s="8" t="s">
        <v>1608</v>
      </c>
    </row>
    <row r="99" spans="1:1" x14ac:dyDescent="0.3">
      <c r="A99" t="s">
        <v>1609</v>
      </c>
    </row>
    <row r="101" spans="1:1" x14ac:dyDescent="0.3">
      <c r="A101" s="8" t="s">
        <v>1610</v>
      </c>
    </row>
    <row r="102" spans="1:1" x14ac:dyDescent="0.3">
      <c r="A102" t="s">
        <v>1611</v>
      </c>
    </row>
  </sheetData>
  <mergeCells count="2">
    <mergeCell ref="A1:F1"/>
    <mergeCell ref="A84:B8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D2C897F-E986-4B89-B587-27390B77801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Nitish Viraktamath</cp:lastModifiedBy>
  <dcterms:created xsi:type="dcterms:W3CDTF">2026-08-28T05:37:09Z</dcterms:created>
  <dcterms:modified xsi:type="dcterms:W3CDTF">2026-08-28T08:42:43Z</dcterms:modified>
</cp:coreProperties>
</file>